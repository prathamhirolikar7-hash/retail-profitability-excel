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IS Report" sheetId="2" state="visible" r:id="rId4"/>
    <sheet name="Analysis" sheetId="3" state="visible" r:id="rId5"/>
    <sheet name="Cleaned Data" sheetId="4" state="visible" r:id="rId6"/>
    <sheet name="Raw Data" sheetId="5" state="visible" r:id="rId7"/>
    <sheet name="Product List" sheetId="6" state="visible" r:id="rId8"/>
    <sheet name="Targets" sheetId="7" state="visible" r:id="rId9"/>
    <sheet name="Cleaning Log" sheetId="8" state="visible" r:id="rId10"/>
  </sheets>
  <definedNames>
    <definedName function="false" hidden="false" localSheetId="0" name="_xlnm.Print_Area" vbProcedure="false">Dashboard!$A$1:$U$61</definedName>
    <definedName function="false" hidden="false" localSheetId="1" name="_xlnm.Print_Area" vbProcedure="false">'MIS Report'!$A$1:$J$52</definedName>
    <definedName function="false" hidden="false" name="Band" vbProcedure="false">'Cleaned Data'!$Q$2:$Q$1001</definedName>
    <definedName function="false" hidden="false" name="Category" vbProcedure="false">'Cleaned Data'!$G$2:$G$1001</definedName>
    <definedName function="false" hidden="false" name="Channel" vbProcedure="false">'Cleaned Data'!$F$2:$F$1001</definedName>
    <definedName function="false" hidden="false" name="City" vbProcedure="false">'Cleaned Data'!$D$2:$D$1001</definedName>
    <definedName function="false" hidden="false" name="Cost" vbProcedure="false">'Cleaned Data'!$N$2:$N$1001</definedName>
    <definedName function="false" hidden="false" name="Disc" vbProcedure="false">'Cleaned Data'!$K$2:$K$1001</definedName>
    <definedName function="false" hidden="false" name="DiscountCap" vbProcedure="false">Dashboard!$P$6</definedName>
    <definedName function="false" hidden="false" name="LostAboveCap" vbProcedure="false">'Cleaned Data'!$R$2:$R$1001</definedName>
    <definedName function="false" hidden="false" name="OrderMonth" vbProcedure="false">'Cleaned Data'!$C$2:$C$1001</definedName>
    <definedName function="false" hidden="false" name="Price" vbProcedure="false">'Cleaned Data'!$J$2:$J$1001</definedName>
    <definedName function="false" hidden="false" name="Product" vbProcedure="false">'Cleaned Data'!$H$2:$H$1001</definedName>
    <definedName function="false" hidden="false" name="Profit" vbProcedure="false">'Cleaned Data'!$O$2:$O$1001</definedName>
    <definedName function="false" hidden="false" name="Qty" vbProcedure="false">'Cleaned Data'!$I$2:$I$1001</definedName>
    <definedName function="false" hidden="false" name="Region" vbProcedure="false">'Cleaned Data'!$E$2:$E$1001</definedName>
    <definedName function="false" hidden="false" name="Revenue" vbProcedure="false">'Cleaned Data'!$M$2:$M$1001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<sst xmlns="http://schemas.openxmlformats.org/spreadsheetml/2006/main" count="12436" uniqueCount="1234">
  <si>
    <t xml:space="preserve">Kaveri Retail — Profitability Dashboard, FY 2025</t>
  </si>
  <si>
    <t xml:space="preserve">Fictional company · 1,000 orders · Jan–Dec 2025 · 12 cities · All amounts in ₹ after discounts</t>
  </si>
  <si>
    <t xml:space="preserve">Region:</t>
  </si>
  <si>
    <t xml:space="preserve">All</t>
  </si>
  <si>
    <t xml:space="preserve">Channel:</t>
  </si>
  <si>
    <t xml:space="preserve">Category:</t>
  </si>
  <si>
    <t xml:space="preserve">Discount cap:</t>
  </si>
  <si>
    <t xml:space="preserve">← Yellow cells can be changed</t>
  </si>
  <si>
    <t xml:space="preserve">TOTAL REVENUE</t>
  </si>
  <si>
    <t xml:space="preserve">TOTAL PROFIT</t>
  </si>
  <si>
    <t xml:space="preserve">PROFIT MARGIN</t>
  </si>
  <si>
    <t xml:space="preserve">ORDERS</t>
  </si>
  <si>
    <t xml:space="preserve">AVG ORDER VALUE</t>
  </si>
  <si>
    <t xml:space="preserve">KEY FINDINGS  (full year, all data; these do not change with the filters)</t>
  </si>
  <si>
    <t xml:space="preserve">RECOMMENDATIONS</t>
  </si>
  <si>
    <t xml:space="preserve">1. Electronics brings 41% of revenue but only 18% of profit (10.9% margin vs 24.3% overall).</t>
  </si>
  <si>
    <t xml:space="preserve">1. Cap Electronics discounts at 20%. Above that, every order lost money.</t>
  </si>
  <si>
    <t xml:space="preserve">2. Every Electronics order discounted above 20% lost money: 66 orders.</t>
  </si>
  <si>
    <t xml:space="preserve">2. In festive sales, put the deeper discounts on Fashion (41% margin) and</t>
  </si>
  <si>
    <t xml:space="preserve">3. Oct–Nov festive sale: the two biggest revenue months, but the lowest margins (19.2%, 20.6%).</t>
  </si>
  <si>
    <t xml:space="preserve">    Personal Care (34% margin), which can absorb them.</t>
  </si>
  <si>
    <t xml:space="preserve">    Revenue beat target (103%, 102%); profit reached only 76% and 81% of target.</t>
  </si>
  <si>
    <t xml:space="preserve">3. Report profit vs target every month, not just revenue. On revenue alone,</t>
  </si>
  <si>
    <t xml:space="preserve">4. Online margin is 21.8% vs 27.0% in store: 20% of online orders got discounts above 20%,</t>
  </si>
  <si>
    <t xml:space="preserve">    October and November looked like the best months of the year.</t>
  </si>
  <si>
    <t xml:space="preserve">    against 6% of store orders.</t>
  </si>
  <si>
    <t xml:space="preserve">Impact: capping all discounts at 20% adds up to ₹30,346 profit a year (about +4.6%).</t>
  </si>
  <si>
    <t xml:space="preserve">Monthly MIS Report — Revenue and Profit vs Target</t>
  </si>
  <si>
    <t xml:space="preserve">Kaveri Retail (fictional) · FY 2025 · Targets come from the Targets sheet</t>
  </si>
  <si>
    <t xml:space="preserve">Month:</t>
  </si>
  <si>
    <t xml:space="preserve">Oct</t>
  </si>
  <si>
    <t xml:space="preserve">← change this</t>
  </si>
  <si>
    <t xml:space="preserve">Month number:</t>
  </si>
  <si>
    <t xml:space="preserve">1. Region performance in the selected month</t>
  </si>
  <si>
    <t xml:space="preserve">Region</t>
  </si>
  <si>
    <t xml:space="preserve">Revenue Actual</t>
  </si>
  <si>
    <t xml:space="preserve">Revenue Target</t>
  </si>
  <si>
    <t xml:space="preserve">Variance</t>
  </si>
  <si>
    <t xml:space="preserve">Revenue Achieved %</t>
  </si>
  <si>
    <t xml:space="preserve">Profit Actual</t>
  </si>
  <si>
    <t xml:space="preserve">Profit Target</t>
  </si>
  <si>
    <t xml:space="preserve">Profit Achieved %</t>
  </si>
  <si>
    <t xml:space="preserve">Margin %</t>
  </si>
  <si>
    <t xml:space="preserve">Revenue vs Last Month</t>
  </si>
  <si>
    <t xml:space="preserve">North</t>
  </si>
  <si>
    <t xml:space="preserve">South</t>
  </si>
  <si>
    <t xml:space="preserve">East</t>
  </si>
  <si>
    <t xml:space="preserve">West</t>
  </si>
  <si>
    <t xml:space="preserve">Total</t>
  </si>
  <si>
    <t xml:space="preserve">2. Full year by month (all regions)</t>
  </si>
  <si>
    <t xml:space="preserve">Month No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</si>
  <si>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</si>
  <si>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</si>
  <si>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</si>
  <si>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</si>
  <si>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</si>
  <si>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</si>
  <si>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</si>
  <si>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</si>
  <si>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</si>
  <si>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</si>
  <si>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Nov</t>
  </si>
  <si>
    <t xml:space="preserve">Dec</t>
  </si>
  <si>
    <t xml:space="preserve">FY Total</t>
  </si>
  <si>
    <t xml:space="preserve">Colour key:  green = target met (100%+)   ·   amber = 95–99%   ·   red = below 95%</t>
  </si>
  <si>
    <t xml:space="preserve">Analysis tables (these feed the Dashboard; the filters come from the Dashboard)</t>
  </si>
  <si>
    <t xml:space="preserve">Filter</t>
  </si>
  <si>
    <t xml:space="preserve">Selected</t>
  </si>
  <si>
    <t xml:space="preserve">Used in formulas</t>
  </si>
  <si>
    <t xml:space="preserve">"*" means "any value", so "All" includes everything</t>
  </si>
  <si>
    <t xml:space="preserve">Channel</t>
  </si>
  <si>
    <t xml:space="preserve">Category</t>
  </si>
  <si>
    <t xml:space="preserve">KPI</t>
  </si>
  <si>
    <t xml:space="preserve">Value</t>
  </si>
  <si>
    <t xml:space="preserve">Total Revenue</t>
  </si>
  <si>
    <t xml:space="preserve">Total Profit</t>
  </si>
  <si>
    <t xml:space="preserve">Orders</t>
  </si>
  <si>
    <t xml:space="preserve">Average Order Value</t>
  </si>
  <si>
    <t xml:space="preserve">Profit Margin</t>
  </si>
  <si>
    <t xml:space="preserve">Loss-making orders</t>
  </si>
  <si>
    <t xml:space="preserve">Loss on those orders</t>
  </si>
  <si>
    <t xml:space="preserve">Orders above discount cap</t>
  </si>
  <si>
    <t xml:space="preserve">Extra profit if discounts capped</t>
  </si>
  <si>
    <t xml:space="preserve">By Region</t>
  </si>
  <si>
    <t xml:space="preserve">Revenue</t>
  </si>
  <si>
    <t xml:space="preserve">Profit</t>
  </si>
  <si>
    <t xml:space="preserve">By Month</t>
  </si>
  <si>
    <t xml:space="preserve">By Category</t>
  </si>
  <si>
    <t xml:space="preserve">Share of Revenue</t>
  </si>
  <si>
    <t xml:space="preserve">Share of Profit</t>
  </si>
  <si>
    <t xml:space="preserve">Electronics</t>
  </si>
  <si>
    <t xml:space="preserve">Fashion</t>
  </si>
  <si>
    <t xml:space="preserve">Home &amp; Kitchen</t>
  </si>
  <si>
    <t xml:space="preserve">Personal Care</t>
  </si>
  <si>
    <t xml:space="preserve">By Channel</t>
  </si>
  <si>
    <t xml:space="preserve">Orders above 20% discount</t>
  </si>
  <si>
    <t xml:space="preserve">Online</t>
  </si>
  <si>
    <t xml:space="preserve">Store</t>
  </si>
  <si>
    <t xml:space="preserve">By Discount Band</t>
  </si>
  <si>
    <t xml:space="preserve">Discount Band</t>
  </si>
  <si>
    <t xml:space="preserve">Profit per Order</t>
  </si>
  <si>
    <t xml:space="preserve">No discount</t>
  </si>
  <si>
    <t xml:space="preserve">1-10%</t>
  </si>
  <si>
    <t xml:space="preserve">11-20%</t>
  </si>
  <si>
    <t xml:space="preserve">21-30%</t>
  </si>
  <si>
    <t xml:space="preserve">Above 30%</t>
  </si>
  <si>
    <t xml:space="preserve">By Product</t>
  </si>
  <si>
    <t xml:space="preserve">Product</t>
  </si>
  <si>
    <t xml:space="preserve">Wireless Earbuds</t>
  </si>
  <si>
    <t xml:space="preserve">Smart Watch</t>
  </si>
  <si>
    <t xml:space="preserve">Power Bank</t>
  </si>
  <si>
    <t xml:space="preserve">Bluetooth Speaker</t>
  </si>
  <si>
    <t xml:space="preserve">Mixer Grinder</t>
  </si>
  <si>
    <t xml:space="preserve">Cookware Set</t>
  </si>
  <si>
    <t xml:space="preserve">Electric Kettle</t>
  </si>
  <si>
    <t xml:space="preserve">Dinner Set</t>
  </si>
  <si>
    <t xml:space="preserve">Cotton Kurta</t>
  </si>
  <si>
    <t xml:space="preserve">Denim Jeans</t>
  </si>
  <si>
    <t xml:space="preserve">Running Shoes</t>
  </si>
  <si>
    <t xml:space="preserve">Backpack</t>
  </si>
  <si>
    <t xml:space="preserve">Face Wash Combo</t>
  </si>
  <si>
    <t xml:space="preserve">Perfume</t>
  </si>
  <si>
    <t xml:space="preserve">Beard Trimmer</t>
  </si>
  <si>
    <t xml:space="preserve">Skincare Kit</t>
  </si>
  <si>
    <t xml:space="preserve">Order ID</t>
  </si>
  <si>
    <t xml:space="preserve">Order Date</t>
  </si>
  <si>
    <t xml:space="preserve">City</t>
  </si>
  <si>
    <t xml:space="preserve">Quantity</t>
  </si>
  <si>
    <t xml:space="preserve">Unit Price</t>
  </si>
  <si>
    <t xml:space="preserve">Discount %</t>
  </si>
  <si>
    <t xml:space="preserve">Unit Cost</t>
  </si>
  <si>
    <t xml:space="preserve">Cost</t>
  </si>
  <si>
    <t xml:space="preserve">Profit Lost Above Cap</t>
  </si>
  <si>
    <t xml:space="preserve">KR-25-0001</t>
  </si>
  <si>
    <t xml:space="preserve">Hyderabad</t>
  </si>
  <si>
    <t xml:space="preserve">KR-25-0002</t>
  </si>
  <si>
    <t xml:space="preserve">Ahmedabad</t>
  </si>
  <si>
    <t xml:space="preserve">KR-25-0003</t>
  </si>
  <si>
    <t xml:space="preserve">Kolkata</t>
  </si>
  <si>
    <t xml:space="preserve">KR-25-0004</t>
  </si>
  <si>
    <t xml:space="preserve">Lucknow</t>
  </si>
  <si>
    <t xml:space="preserve">KR-25-0005</t>
  </si>
  <si>
    <t xml:space="preserve">Pune</t>
  </si>
  <si>
    <t xml:space="preserve">KR-25-0006</t>
  </si>
  <si>
    <t xml:space="preserve">Bengaluru</t>
  </si>
  <si>
    <t xml:space="preserve">KR-25-0007</t>
  </si>
  <si>
    <t xml:space="preserve">Chennai</t>
  </si>
  <si>
    <t xml:space="preserve">KR-25-0008</t>
  </si>
  <si>
    <t xml:space="preserve">KR-25-0009</t>
  </si>
  <si>
    <t xml:space="preserve">KR-25-0010</t>
  </si>
  <si>
    <t xml:space="preserve">KR-25-0011</t>
  </si>
  <si>
    <t xml:space="preserve">KR-25-0012</t>
  </si>
  <si>
    <t xml:space="preserve">KR-25-0013</t>
  </si>
  <si>
    <t xml:space="preserve">KR-25-0014</t>
  </si>
  <si>
    <t xml:space="preserve">Mumbai</t>
  </si>
  <si>
    <t xml:space="preserve">KR-25-0015</t>
  </si>
  <si>
    <t xml:space="preserve">KR-25-0016</t>
  </si>
  <si>
    <t xml:space="preserve">KR-25-0017</t>
  </si>
  <si>
    <t xml:space="preserve">KR-25-0018</t>
  </si>
  <si>
    <t xml:space="preserve">KR-25-0019</t>
  </si>
  <si>
    <t xml:space="preserve">Bhubaneswar</t>
  </si>
  <si>
    <t xml:space="preserve">KR-25-0020</t>
  </si>
  <si>
    <t xml:space="preserve">KR-25-0021</t>
  </si>
  <si>
    <t xml:space="preserve">KR-25-0022</t>
  </si>
  <si>
    <t xml:space="preserve">KR-25-0023</t>
  </si>
  <si>
    <t xml:space="preserve">KR-25-0024</t>
  </si>
  <si>
    <t xml:space="preserve">New Delhi</t>
  </si>
  <si>
    <t xml:space="preserve">KR-25-0025</t>
  </si>
  <si>
    <t xml:space="preserve">KR-25-0026</t>
  </si>
  <si>
    <t xml:space="preserve">Jaipur</t>
  </si>
  <si>
    <t xml:space="preserve">KR-25-0027</t>
  </si>
  <si>
    <t xml:space="preserve">KR-25-0028</t>
  </si>
  <si>
    <t xml:space="preserve">Patna</t>
  </si>
  <si>
    <t xml:space="preserve">KR-25-0029</t>
  </si>
  <si>
    <t xml:space="preserve">KR-25-0030</t>
  </si>
  <si>
    <t xml:space="preserve">KR-25-0031</t>
  </si>
  <si>
    <t xml:space="preserve">KR-25-0032</t>
  </si>
  <si>
    <t xml:space="preserve">KR-25-0033</t>
  </si>
  <si>
    <t xml:space="preserve">KR-25-0034</t>
  </si>
  <si>
    <t xml:space="preserve">KR-25-0035</t>
  </si>
  <si>
    <t xml:space="preserve">KR-25-0036</t>
  </si>
  <si>
    <t xml:space="preserve">KR-25-0037</t>
  </si>
  <si>
    <t xml:space="preserve">Unknown</t>
  </si>
  <si>
    <t xml:space="preserve">KR-25-0038</t>
  </si>
  <si>
    <t xml:space="preserve">KR-25-0039</t>
  </si>
  <si>
    <t xml:space="preserve">KR-25-0040</t>
  </si>
  <si>
    <t xml:space="preserve">KR-25-0041</t>
  </si>
  <si>
    <t xml:space="preserve">KR-25-0042</t>
  </si>
  <si>
    <t xml:space="preserve">KR-25-0043</t>
  </si>
  <si>
    <t xml:space="preserve">KR-25-0044</t>
  </si>
  <si>
    <t xml:space="preserve">KR-25-0045</t>
  </si>
  <si>
    <t xml:space="preserve">KR-25-0046</t>
  </si>
  <si>
    <t xml:space="preserve">KR-25-0047</t>
  </si>
  <si>
    <t xml:space="preserve">KR-25-0048</t>
  </si>
  <si>
    <t xml:space="preserve">KR-25-0049</t>
  </si>
  <si>
    <t xml:space="preserve">KR-25-0050</t>
  </si>
  <si>
    <t xml:space="preserve">KR-25-0051</t>
  </si>
  <si>
    <t xml:space="preserve">KR-25-0052</t>
  </si>
  <si>
    <t xml:space="preserve">KR-25-0053</t>
  </si>
  <si>
    <t xml:space="preserve">KR-25-0054</t>
  </si>
  <si>
    <t xml:space="preserve">KR-25-0055</t>
  </si>
  <si>
    <t xml:space="preserve">KR-25-0056</t>
  </si>
  <si>
    <t xml:space="preserve">KR-25-0057</t>
  </si>
  <si>
    <t xml:space="preserve">KR-25-0058</t>
  </si>
  <si>
    <t xml:space="preserve">KR-25-0059</t>
  </si>
  <si>
    <t xml:space="preserve">KR-25-0060</t>
  </si>
  <si>
    <t xml:space="preserve">KR-25-0061</t>
  </si>
  <si>
    <t xml:space="preserve">KR-25-0062</t>
  </si>
  <si>
    <t xml:space="preserve">KR-25-0063</t>
  </si>
  <si>
    <t xml:space="preserve">KR-25-0064</t>
  </si>
  <si>
    <t xml:space="preserve">KR-25-0065</t>
  </si>
  <si>
    <t xml:space="preserve">KR-25-0066</t>
  </si>
  <si>
    <t xml:space="preserve">KR-25-0067</t>
  </si>
  <si>
    <t xml:space="preserve">KR-25-0068</t>
  </si>
  <si>
    <t xml:space="preserve">KR-25-0069</t>
  </si>
  <si>
    <t xml:space="preserve">KR-25-0070</t>
  </si>
  <si>
    <t xml:space="preserve">KR-25-0071</t>
  </si>
  <si>
    <t xml:space="preserve">KR-25-0072</t>
  </si>
  <si>
    <t xml:space="preserve">KR-25-0073</t>
  </si>
  <si>
    <t xml:space="preserve">KR-25-0074</t>
  </si>
  <si>
    <t xml:space="preserve">KR-25-0075</t>
  </si>
  <si>
    <t xml:space="preserve">KR-25-0076</t>
  </si>
  <si>
    <t xml:space="preserve">KR-25-0077</t>
  </si>
  <si>
    <t xml:space="preserve">KR-25-0078</t>
  </si>
  <si>
    <t xml:space="preserve">KR-25-0079</t>
  </si>
  <si>
    <t xml:space="preserve">KR-25-0080</t>
  </si>
  <si>
    <t xml:space="preserve">KR-25-0081</t>
  </si>
  <si>
    <t xml:space="preserve">KR-25-0082</t>
  </si>
  <si>
    <t xml:space="preserve">KR-25-0083</t>
  </si>
  <si>
    <t xml:space="preserve">KR-25-0084</t>
  </si>
  <si>
    <t xml:space="preserve">KR-25-0085</t>
  </si>
  <si>
    <t xml:space="preserve">KR-25-0086</t>
  </si>
  <si>
    <t xml:space="preserve">KR-25-0087</t>
  </si>
  <si>
    <t xml:space="preserve">KR-25-0088</t>
  </si>
  <si>
    <t xml:space="preserve">KR-25-0089</t>
  </si>
  <si>
    <t xml:space="preserve">KR-25-0090</t>
  </si>
  <si>
    <t xml:space="preserve">KR-25-0091</t>
  </si>
  <si>
    <t xml:space="preserve">KR-25-0092</t>
  </si>
  <si>
    <t xml:space="preserve">KR-25-0093</t>
  </si>
  <si>
    <t xml:space="preserve">KR-25-0094</t>
  </si>
  <si>
    <t xml:space="preserve">KR-25-0095</t>
  </si>
  <si>
    <t xml:space="preserve">KR-25-0096</t>
  </si>
  <si>
    <t xml:space="preserve">KR-25-0097</t>
  </si>
  <si>
    <t xml:space="preserve">KR-25-0098</t>
  </si>
  <si>
    <t xml:space="preserve">KR-25-0099</t>
  </si>
  <si>
    <t xml:space="preserve">KR-25-0100</t>
  </si>
  <si>
    <t xml:space="preserve">KR-25-0101</t>
  </si>
  <si>
    <t xml:space="preserve">KR-25-0102</t>
  </si>
  <si>
    <t xml:space="preserve">KR-25-0103</t>
  </si>
  <si>
    <t xml:space="preserve">KR-25-0104</t>
  </si>
  <si>
    <t xml:space="preserve">KR-25-0105</t>
  </si>
  <si>
    <t xml:space="preserve">KR-25-0106</t>
  </si>
  <si>
    <t xml:space="preserve">KR-25-0107</t>
  </si>
  <si>
    <t xml:space="preserve">KR-25-0108</t>
  </si>
  <si>
    <t xml:space="preserve">KR-25-0109</t>
  </si>
  <si>
    <t xml:space="preserve">KR-25-0110</t>
  </si>
  <si>
    <t xml:space="preserve">KR-25-0111</t>
  </si>
  <si>
    <t xml:space="preserve">KR-25-0112</t>
  </si>
  <si>
    <t xml:space="preserve">KR-25-0113</t>
  </si>
  <si>
    <t xml:space="preserve">KR-25-0114</t>
  </si>
  <si>
    <t xml:space="preserve">KR-25-0115</t>
  </si>
  <si>
    <t xml:space="preserve">KR-25-0116</t>
  </si>
  <si>
    <t xml:space="preserve">KR-25-0117</t>
  </si>
  <si>
    <t xml:space="preserve">KR-25-0118</t>
  </si>
  <si>
    <t xml:space="preserve">KR-25-0119</t>
  </si>
  <si>
    <t xml:space="preserve">KR-25-0120</t>
  </si>
  <si>
    <t xml:space="preserve">KR-25-0121</t>
  </si>
  <si>
    <t xml:space="preserve">KR-25-0122</t>
  </si>
  <si>
    <t xml:space="preserve">KR-25-0123</t>
  </si>
  <si>
    <t xml:space="preserve">KR-25-0124</t>
  </si>
  <si>
    <t xml:space="preserve">KR-25-0125</t>
  </si>
  <si>
    <t xml:space="preserve">KR-25-0126</t>
  </si>
  <si>
    <t xml:space="preserve">KR-25-0127</t>
  </si>
  <si>
    <t xml:space="preserve">KR-25-0128</t>
  </si>
  <si>
    <t xml:space="preserve">KR-25-0129</t>
  </si>
  <si>
    <t xml:space="preserve">KR-25-0130</t>
  </si>
  <si>
    <t xml:space="preserve">KR-25-0131</t>
  </si>
  <si>
    <t xml:space="preserve">KR-25-0132</t>
  </si>
  <si>
    <t xml:space="preserve">KR-25-0133</t>
  </si>
  <si>
    <t xml:space="preserve">KR-25-0134</t>
  </si>
  <si>
    <t xml:space="preserve">KR-25-0135</t>
  </si>
  <si>
    <t xml:space="preserve">KR-25-0136</t>
  </si>
  <si>
    <t xml:space="preserve">KR-25-0137</t>
  </si>
  <si>
    <t xml:space="preserve">KR-25-0138</t>
  </si>
  <si>
    <t xml:space="preserve">KR-25-0139</t>
  </si>
  <si>
    <t xml:space="preserve">KR-25-0140</t>
  </si>
  <si>
    <t xml:space="preserve">KR-25-0141</t>
  </si>
  <si>
    <t xml:space="preserve">KR-25-0142</t>
  </si>
  <si>
    <t xml:space="preserve">KR-25-0143</t>
  </si>
  <si>
    <t xml:space="preserve">KR-25-0144</t>
  </si>
  <si>
    <t xml:space="preserve">KR-25-0145</t>
  </si>
  <si>
    <t xml:space="preserve">KR-25-0146</t>
  </si>
  <si>
    <t xml:space="preserve">KR-25-0147</t>
  </si>
  <si>
    <t xml:space="preserve">KR-25-0148</t>
  </si>
  <si>
    <t xml:space="preserve">KR-25-0149</t>
  </si>
  <si>
    <t xml:space="preserve">KR-25-0150</t>
  </si>
  <si>
    <t xml:space="preserve">KR-25-0151</t>
  </si>
  <si>
    <t xml:space="preserve">KR-25-0152</t>
  </si>
  <si>
    <t xml:space="preserve">KR-25-0153</t>
  </si>
  <si>
    <t xml:space="preserve">KR-25-0154</t>
  </si>
  <si>
    <t xml:space="preserve">KR-25-0155</t>
  </si>
  <si>
    <t xml:space="preserve">KR-25-0156</t>
  </si>
  <si>
    <t xml:space="preserve">KR-25-0157</t>
  </si>
  <si>
    <t xml:space="preserve">KR-25-0158</t>
  </si>
  <si>
    <t xml:space="preserve">KR-25-0159</t>
  </si>
  <si>
    <t xml:space="preserve">KR-25-0160</t>
  </si>
  <si>
    <t xml:space="preserve">KR-25-0161</t>
  </si>
  <si>
    <t xml:space="preserve">KR-25-0162</t>
  </si>
  <si>
    <t xml:space="preserve">KR-25-0163</t>
  </si>
  <si>
    <t xml:space="preserve">KR-25-0164</t>
  </si>
  <si>
    <t xml:space="preserve">KR-25-0165</t>
  </si>
  <si>
    <t xml:space="preserve">KR-25-0166</t>
  </si>
  <si>
    <t xml:space="preserve">KR-25-0167</t>
  </si>
  <si>
    <t xml:space="preserve">KR-25-0168</t>
  </si>
  <si>
    <t xml:space="preserve">KR-25-0169</t>
  </si>
  <si>
    <t xml:space="preserve">KR-25-0170</t>
  </si>
  <si>
    <t xml:space="preserve">KR-25-0171</t>
  </si>
  <si>
    <t xml:space="preserve">KR-25-0172</t>
  </si>
  <si>
    <t xml:space="preserve">KR-25-0173</t>
  </si>
  <si>
    <t xml:space="preserve">KR-25-0174</t>
  </si>
  <si>
    <t xml:space="preserve">KR-25-0175</t>
  </si>
  <si>
    <t xml:space="preserve">KR-25-0176</t>
  </si>
  <si>
    <t xml:space="preserve">KR-25-0177</t>
  </si>
  <si>
    <t xml:space="preserve">KR-25-0178</t>
  </si>
  <si>
    <t xml:space="preserve">KR-25-0179</t>
  </si>
  <si>
    <t xml:space="preserve">KR-25-0180</t>
  </si>
  <si>
    <t xml:space="preserve">KR-25-0181</t>
  </si>
  <si>
    <t xml:space="preserve">KR-25-0182</t>
  </si>
  <si>
    <t xml:space="preserve">KR-25-0183</t>
  </si>
  <si>
    <t xml:space="preserve">KR-25-0184</t>
  </si>
  <si>
    <t xml:space="preserve">KR-25-0185</t>
  </si>
  <si>
    <t xml:space="preserve">KR-25-0186</t>
  </si>
  <si>
    <t xml:space="preserve">KR-25-0187</t>
  </si>
  <si>
    <t xml:space="preserve">KR-25-0188</t>
  </si>
  <si>
    <t xml:space="preserve">KR-25-0189</t>
  </si>
  <si>
    <t xml:space="preserve">KR-25-0190</t>
  </si>
  <si>
    <t xml:space="preserve">KR-25-0191</t>
  </si>
  <si>
    <t xml:space="preserve">KR-25-0192</t>
  </si>
  <si>
    <t xml:space="preserve">KR-25-0193</t>
  </si>
  <si>
    <t xml:space="preserve">KR-25-0194</t>
  </si>
  <si>
    <t xml:space="preserve">KR-25-0195</t>
  </si>
  <si>
    <t xml:space="preserve">KR-25-0196</t>
  </si>
  <si>
    <t xml:space="preserve">KR-25-0197</t>
  </si>
  <si>
    <t xml:space="preserve">KR-25-0198</t>
  </si>
  <si>
    <t xml:space="preserve">KR-25-0199</t>
  </si>
  <si>
    <t xml:space="preserve">KR-25-0200</t>
  </si>
  <si>
    <t xml:space="preserve">KR-25-0201</t>
  </si>
  <si>
    <t xml:space="preserve">KR-25-0202</t>
  </si>
  <si>
    <t xml:space="preserve">KR-25-0203</t>
  </si>
  <si>
    <t xml:space="preserve">KR-25-0204</t>
  </si>
  <si>
    <t xml:space="preserve">KR-25-0205</t>
  </si>
  <si>
    <t xml:space="preserve">KR-25-0206</t>
  </si>
  <si>
    <t xml:space="preserve">KR-25-0207</t>
  </si>
  <si>
    <t xml:space="preserve">KR-25-0208</t>
  </si>
  <si>
    <t xml:space="preserve">KR-25-0209</t>
  </si>
  <si>
    <t xml:space="preserve">KR-25-0210</t>
  </si>
  <si>
    <t xml:space="preserve">KR-25-0211</t>
  </si>
  <si>
    <t xml:space="preserve">KR-25-0212</t>
  </si>
  <si>
    <t xml:space="preserve">KR-25-0213</t>
  </si>
  <si>
    <t xml:space="preserve">KR-25-0214</t>
  </si>
  <si>
    <t xml:space="preserve">KR-25-0215</t>
  </si>
  <si>
    <t xml:space="preserve">KR-25-0216</t>
  </si>
  <si>
    <t xml:space="preserve">KR-25-0217</t>
  </si>
  <si>
    <t xml:space="preserve">KR-25-0218</t>
  </si>
  <si>
    <t xml:space="preserve">KR-25-0219</t>
  </si>
  <si>
    <t xml:space="preserve">KR-25-0220</t>
  </si>
  <si>
    <t xml:space="preserve">KR-25-0221</t>
  </si>
  <si>
    <t xml:space="preserve">KR-25-0222</t>
  </si>
  <si>
    <t xml:space="preserve">KR-25-0223</t>
  </si>
  <si>
    <t xml:space="preserve">KR-25-0224</t>
  </si>
  <si>
    <t xml:space="preserve">KR-25-0225</t>
  </si>
  <si>
    <t xml:space="preserve">KR-25-0226</t>
  </si>
  <si>
    <t xml:space="preserve">KR-25-0227</t>
  </si>
  <si>
    <t xml:space="preserve">KR-25-0228</t>
  </si>
  <si>
    <t xml:space="preserve">KR-25-0229</t>
  </si>
  <si>
    <t xml:space="preserve">KR-25-0230</t>
  </si>
  <si>
    <t xml:space="preserve">KR-25-0231</t>
  </si>
  <si>
    <t xml:space="preserve">KR-25-0232</t>
  </si>
  <si>
    <t xml:space="preserve">KR-25-0233</t>
  </si>
  <si>
    <t xml:space="preserve">KR-25-0234</t>
  </si>
  <si>
    <t xml:space="preserve">KR-25-0235</t>
  </si>
  <si>
    <t xml:space="preserve">KR-25-0236</t>
  </si>
  <si>
    <t xml:space="preserve">KR-25-0237</t>
  </si>
  <si>
    <t xml:space="preserve">KR-25-0238</t>
  </si>
  <si>
    <t xml:space="preserve">KR-25-0239</t>
  </si>
  <si>
    <t xml:space="preserve">KR-25-0240</t>
  </si>
  <si>
    <t xml:space="preserve">KR-25-0241</t>
  </si>
  <si>
    <t xml:space="preserve">KR-25-0242</t>
  </si>
  <si>
    <t xml:space="preserve">KR-25-0243</t>
  </si>
  <si>
    <t xml:space="preserve">KR-25-0244</t>
  </si>
  <si>
    <t xml:space="preserve">KR-25-0245</t>
  </si>
  <si>
    <t xml:space="preserve">KR-25-0246</t>
  </si>
  <si>
    <t xml:space="preserve">KR-25-0247</t>
  </si>
  <si>
    <t xml:space="preserve">KR-25-0248</t>
  </si>
  <si>
    <t xml:space="preserve">KR-25-0249</t>
  </si>
  <si>
    <t xml:space="preserve">KR-25-0250</t>
  </si>
  <si>
    <t xml:space="preserve">KR-25-0251</t>
  </si>
  <si>
    <t xml:space="preserve">KR-25-0252</t>
  </si>
  <si>
    <t xml:space="preserve">KR-25-0253</t>
  </si>
  <si>
    <t xml:space="preserve">KR-25-0254</t>
  </si>
  <si>
    <t xml:space="preserve">KR-25-0255</t>
  </si>
  <si>
    <t xml:space="preserve">KR-25-0256</t>
  </si>
  <si>
    <t xml:space="preserve">KR-25-0257</t>
  </si>
  <si>
    <t xml:space="preserve">KR-25-0258</t>
  </si>
  <si>
    <t xml:space="preserve">KR-25-0259</t>
  </si>
  <si>
    <t xml:space="preserve">KR-25-0260</t>
  </si>
  <si>
    <t xml:space="preserve">KR-25-0261</t>
  </si>
  <si>
    <t xml:space="preserve">KR-25-0262</t>
  </si>
  <si>
    <t xml:space="preserve">KR-25-0263</t>
  </si>
  <si>
    <t xml:space="preserve">KR-25-0264</t>
  </si>
  <si>
    <t xml:space="preserve">KR-25-0265</t>
  </si>
  <si>
    <t xml:space="preserve">KR-25-0266</t>
  </si>
  <si>
    <t xml:space="preserve">KR-25-0267</t>
  </si>
  <si>
    <t xml:space="preserve">KR-25-0268</t>
  </si>
  <si>
    <t xml:space="preserve">KR-25-0269</t>
  </si>
  <si>
    <t xml:space="preserve">KR-25-0270</t>
  </si>
  <si>
    <t xml:space="preserve">KR-25-0271</t>
  </si>
  <si>
    <t xml:space="preserve">KR-25-0272</t>
  </si>
  <si>
    <t xml:space="preserve">KR-25-0273</t>
  </si>
  <si>
    <t xml:space="preserve">KR-25-0274</t>
  </si>
  <si>
    <t xml:space="preserve">KR-25-0275</t>
  </si>
  <si>
    <t xml:space="preserve">KR-25-0276</t>
  </si>
  <si>
    <t xml:space="preserve">KR-25-0277</t>
  </si>
  <si>
    <t xml:space="preserve">KR-25-0278</t>
  </si>
  <si>
    <t xml:space="preserve">KR-25-0279</t>
  </si>
  <si>
    <t xml:space="preserve">KR-25-0280</t>
  </si>
  <si>
    <t xml:space="preserve">KR-25-0281</t>
  </si>
  <si>
    <t xml:space="preserve">KR-25-0282</t>
  </si>
  <si>
    <t xml:space="preserve">KR-25-0283</t>
  </si>
  <si>
    <t xml:space="preserve">KR-25-0284</t>
  </si>
  <si>
    <t xml:space="preserve">KR-25-0285</t>
  </si>
  <si>
    <t xml:space="preserve">KR-25-0286</t>
  </si>
  <si>
    <t xml:space="preserve">KR-25-0287</t>
  </si>
  <si>
    <t xml:space="preserve">KR-25-0288</t>
  </si>
  <si>
    <t xml:space="preserve">KR-25-0289</t>
  </si>
  <si>
    <t xml:space="preserve">KR-25-0290</t>
  </si>
  <si>
    <t xml:space="preserve">KR-25-0291</t>
  </si>
  <si>
    <t xml:space="preserve">KR-25-0292</t>
  </si>
  <si>
    <t xml:space="preserve">KR-25-0293</t>
  </si>
  <si>
    <t xml:space="preserve">KR-25-0294</t>
  </si>
  <si>
    <t xml:space="preserve">KR-25-0295</t>
  </si>
  <si>
    <t xml:space="preserve">KR-25-0296</t>
  </si>
  <si>
    <t xml:space="preserve">KR-25-0297</t>
  </si>
  <si>
    <t xml:space="preserve">KR-25-0298</t>
  </si>
  <si>
    <t xml:space="preserve">KR-25-0299</t>
  </si>
  <si>
    <t xml:space="preserve">KR-25-0300</t>
  </si>
  <si>
    <t xml:space="preserve">KR-25-0301</t>
  </si>
  <si>
    <t xml:space="preserve">KR-25-0302</t>
  </si>
  <si>
    <t xml:space="preserve">KR-25-0303</t>
  </si>
  <si>
    <t xml:space="preserve">KR-25-0304</t>
  </si>
  <si>
    <t xml:space="preserve">KR-25-0305</t>
  </si>
  <si>
    <t xml:space="preserve">KR-25-0306</t>
  </si>
  <si>
    <t xml:space="preserve">KR-25-0307</t>
  </si>
  <si>
    <t xml:space="preserve">KR-25-0308</t>
  </si>
  <si>
    <t xml:space="preserve">KR-25-0309</t>
  </si>
  <si>
    <t xml:space="preserve">KR-25-0310</t>
  </si>
  <si>
    <t xml:space="preserve">KR-25-0311</t>
  </si>
  <si>
    <t xml:space="preserve">KR-25-0312</t>
  </si>
  <si>
    <t xml:space="preserve">KR-25-0313</t>
  </si>
  <si>
    <t xml:space="preserve">KR-25-0314</t>
  </si>
  <si>
    <t xml:space="preserve">KR-25-0315</t>
  </si>
  <si>
    <t xml:space="preserve">KR-25-0316</t>
  </si>
  <si>
    <t xml:space="preserve">KR-25-0317</t>
  </si>
  <si>
    <t xml:space="preserve">KR-25-0318</t>
  </si>
  <si>
    <t xml:space="preserve">KR-25-0319</t>
  </si>
  <si>
    <t xml:space="preserve">KR-25-0320</t>
  </si>
  <si>
    <t xml:space="preserve">KR-25-0321</t>
  </si>
  <si>
    <t xml:space="preserve">KR-25-0322</t>
  </si>
  <si>
    <t xml:space="preserve">KR-25-0323</t>
  </si>
  <si>
    <t xml:space="preserve">KR-25-0324</t>
  </si>
  <si>
    <t xml:space="preserve">KR-25-0325</t>
  </si>
  <si>
    <t xml:space="preserve">KR-25-0326</t>
  </si>
  <si>
    <t xml:space="preserve">KR-25-0327</t>
  </si>
  <si>
    <t xml:space="preserve">KR-25-0328</t>
  </si>
  <si>
    <t xml:space="preserve">KR-25-0329</t>
  </si>
  <si>
    <t xml:space="preserve">KR-25-0330</t>
  </si>
  <si>
    <t xml:space="preserve">KR-25-0331</t>
  </si>
  <si>
    <t xml:space="preserve">KR-25-0332</t>
  </si>
  <si>
    <t xml:space="preserve">KR-25-0333</t>
  </si>
  <si>
    <t xml:space="preserve">KR-25-0334</t>
  </si>
  <si>
    <t xml:space="preserve">KR-25-0335</t>
  </si>
  <si>
    <t xml:space="preserve">KR-25-0336</t>
  </si>
  <si>
    <t xml:space="preserve">KR-25-0337</t>
  </si>
  <si>
    <t xml:space="preserve">KR-25-0338</t>
  </si>
  <si>
    <t xml:space="preserve">KR-25-0339</t>
  </si>
  <si>
    <t xml:space="preserve">KR-25-0340</t>
  </si>
  <si>
    <t xml:space="preserve">KR-25-0341</t>
  </si>
  <si>
    <t xml:space="preserve">KR-25-0342</t>
  </si>
  <si>
    <t xml:space="preserve">KR-25-0343</t>
  </si>
  <si>
    <t xml:space="preserve">KR-25-0344</t>
  </si>
  <si>
    <t xml:space="preserve">KR-25-0345</t>
  </si>
  <si>
    <t xml:space="preserve">KR-25-0346</t>
  </si>
  <si>
    <t xml:space="preserve">KR-25-0347</t>
  </si>
  <si>
    <t xml:space="preserve">KR-25-0348</t>
  </si>
  <si>
    <t xml:space="preserve">KR-25-0349</t>
  </si>
  <si>
    <t xml:space="preserve">KR-25-0350</t>
  </si>
  <si>
    <t xml:space="preserve">KR-25-0351</t>
  </si>
  <si>
    <t xml:space="preserve">KR-25-0352</t>
  </si>
  <si>
    <t xml:space="preserve">KR-25-0353</t>
  </si>
  <si>
    <t xml:space="preserve">KR-25-0354</t>
  </si>
  <si>
    <t xml:space="preserve">KR-25-0355</t>
  </si>
  <si>
    <t xml:space="preserve">KR-25-0356</t>
  </si>
  <si>
    <t xml:space="preserve">KR-25-0357</t>
  </si>
  <si>
    <t xml:space="preserve">KR-25-0358</t>
  </si>
  <si>
    <t xml:space="preserve">KR-25-0359</t>
  </si>
  <si>
    <t xml:space="preserve">KR-25-0360</t>
  </si>
  <si>
    <t xml:space="preserve">KR-25-0361</t>
  </si>
  <si>
    <t xml:space="preserve">KR-25-0362</t>
  </si>
  <si>
    <t xml:space="preserve">KR-25-0363</t>
  </si>
  <si>
    <t xml:space="preserve">KR-25-0364</t>
  </si>
  <si>
    <t xml:space="preserve">KR-25-0365</t>
  </si>
  <si>
    <t xml:space="preserve">KR-25-0366</t>
  </si>
  <si>
    <t xml:space="preserve">KR-25-0367</t>
  </si>
  <si>
    <t xml:space="preserve">KR-25-0368</t>
  </si>
  <si>
    <t xml:space="preserve">KR-25-0369</t>
  </si>
  <si>
    <t xml:space="preserve">KR-25-0370</t>
  </si>
  <si>
    <t xml:space="preserve">KR-25-0371</t>
  </si>
  <si>
    <t xml:space="preserve">KR-25-0372</t>
  </si>
  <si>
    <t xml:space="preserve">KR-25-0373</t>
  </si>
  <si>
    <t xml:space="preserve">KR-25-0374</t>
  </si>
  <si>
    <t xml:space="preserve">KR-25-0375</t>
  </si>
  <si>
    <t xml:space="preserve">KR-25-0376</t>
  </si>
  <si>
    <t xml:space="preserve">KR-25-0377</t>
  </si>
  <si>
    <t xml:space="preserve">KR-25-0378</t>
  </si>
  <si>
    <t xml:space="preserve">KR-25-0379</t>
  </si>
  <si>
    <t xml:space="preserve">KR-25-0380</t>
  </si>
  <si>
    <t xml:space="preserve">KR-25-0381</t>
  </si>
  <si>
    <t xml:space="preserve">KR-25-0382</t>
  </si>
  <si>
    <t xml:space="preserve">KR-25-0383</t>
  </si>
  <si>
    <t xml:space="preserve">KR-25-0384</t>
  </si>
  <si>
    <t xml:space="preserve">KR-25-0385</t>
  </si>
  <si>
    <t xml:space="preserve">KR-25-0386</t>
  </si>
  <si>
    <t xml:space="preserve">KR-25-0387</t>
  </si>
  <si>
    <t xml:space="preserve">KR-25-0388</t>
  </si>
  <si>
    <t xml:space="preserve">KR-25-0389</t>
  </si>
  <si>
    <t xml:space="preserve">KR-25-0390</t>
  </si>
  <si>
    <t xml:space="preserve">KR-25-0391</t>
  </si>
  <si>
    <t xml:space="preserve">KR-25-0392</t>
  </si>
  <si>
    <t xml:space="preserve">KR-25-0393</t>
  </si>
  <si>
    <t xml:space="preserve">KR-25-0394</t>
  </si>
  <si>
    <t xml:space="preserve">KR-25-0395</t>
  </si>
  <si>
    <t xml:space="preserve">KR-25-0396</t>
  </si>
  <si>
    <t xml:space="preserve">KR-25-0397</t>
  </si>
  <si>
    <t xml:space="preserve">KR-25-0398</t>
  </si>
  <si>
    <t xml:space="preserve">KR-25-0399</t>
  </si>
  <si>
    <t xml:space="preserve">KR-25-0400</t>
  </si>
  <si>
    <t xml:space="preserve">KR-25-0401</t>
  </si>
  <si>
    <t xml:space="preserve">KR-25-0402</t>
  </si>
  <si>
    <t xml:space="preserve">KR-25-0403</t>
  </si>
  <si>
    <t xml:space="preserve">KR-25-0404</t>
  </si>
  <si>
    <t xml:space="preserve">KR-25-0405</t>
  </si>
  <si>
    <t xml:space="preserve">KR-25-0406</t>
  </si>
  <si>
    <t xml:space="preserve">KR-25-0407</t>
  </si>
  <si>
    <t xml:space="preserve">KR-25-0408</t>
  </si>
  <si>
    <t xml:space="preserve">KR-25-0409</t>
  </si>
  <si>
    <t xml:space="preserve">KR-25-0410</t>
  </si>
  <si>
    <t xml:space="preserve">KR-25-0411</t>
  </si>
  <si>
    <t xml:space="preserve">KR-25-0412</t>
  </si>
  <si>
    <t xml:space="preserve">KR-25-0413</t>
  </si>
  <si>
    <t xml:space="preserve">KR-25-0414</t>
  </si>
  <si>
    <t xml:space="preserve">KR-25-0415</t>
  </si>
  <si>
    <t xml:space="preserve">KR-25-0416</t>
  </si>
  <si>
    <t xml:space="preserve">KR-25-0417</t>
  </si>
  <si>
    <t xml:space="preserve">KR-25-0418</t>
  </si>
  <si>
    <t xml:space="preserve">KR-25-0419</t>
  </si>
  <si>
    <t xml:space="preserve">KR-25-0420</t>
  </si>
  <si>
    <t xml:space="preserve">KR-25-0421</t>
  </si>
  <si>
    <t xml:space="preserve">KR-25-0422</t>
  </si>
  <si>
    <t xml:space="preserve">KR-25-0423</t>
  </si>
  <si>
    <t xml:space="preserve">KR-25-0424</t>
  </si>
  <si>
    <t xml:space="preserve">KR-25-0425</t>
  </si>
  <si>
    <t xml:space="preserve">KR-25-0426</t>
  </si>
  <si>
    <t xml:space="preserve">KR-25-0427</t>
  </si>
  <si>
    <t xml:space="preserve">KR-25-0428</t>
  </si>
  <si>
    <t xml:space="preserve">KR-25-0429</t>
  </si>
  <si>
    <t xml:space="preserve">KR-25-0430</t>
  </si>
  <si>
    <t xml:space="preserve">KR-25-0431</t>
  </si>
  <si>
    <t xml:space="preserve">KR-25-0432</t>
  </si>
  <si>
    <t xml:space="preserve">KR-25-0433</t>
  </si>
  <si>
    <t xml:space="preserve">KR-25-0434</t>
  </si>
  <si>
    <t xml:space="preserve">KR-25-0435</t>
  </si>
  <si>
    <t xml:space="preserve">KR-25-0436</t>
  </si>
  <si>
    <t xml:space="preserve">KR-25-0437</t>
  </si>
  <si>
    <t xml:space="preserve">KR-25-0438</t>
  </si>
  <si>
    <t xml:space="preserve">KR-25-0439</t>
  </si>
  <si>
    <t xml:space="preserve">KR-25-0440</t>
  </si>
  <si>
    <t xml:space="preserve">KR-25-0441</t>
  </si>
  <si>
    <t xml:space="preserve">KR-25-0442</t>
  </si>
  <si>
    <t xml:space="preserve">KR-25-0443</t>
  </si>
  <si>
    <t xml:space="preserve">KR-25-0444</t>
  </si>
  <si>
    <t xml:space="preserve">KR-25-0445</t>
  </si>
  <si>
    <t xml:space="preserve">KR-25-0446</t>
  </si>
  <si>
    <t xml:space="preserve">KR-25-0447</t>
  </si>
  <si>
    <t xml:space="preserve">KR-25-0448</t>
  </si>
  <si>
    <t xml:space="preserve">KR-25-0449</t>
  </si>
  <si>
    <t xml:space="preserve">KR-25-0450</t>
  </si>
  <si>
    <t xml:space="preserve">KR-25-0451</t>
  </si>
  <si>
    <t xml:space="preserve">KR-25-0452</t>
  </si>
  <si>
    <t xml:space="preserve">KR-25-0453</t>
  </si>
  <si>
    <t xml:space="preserve">KR-25-0454</t>
  </si>
  <si>
    <t xml:space="preserve">KR-25-0455</t>
  </si>
  <si>
    <t xml:space="preserve">KR-25-0456</t>
  </si>
  <si>
    <t xml:space="preserve">KR-25-0457</t>
  </si>
  <si>
    <t xml:space="preserve">KR-25-0458</t>
  </si>
  <si>
    <t xml:space="preserve">KR-25-0459</t>
  </si>
  <si>
    <t xml:space="preserve">KR-25-0460</t>
  </si>
  <si>
    <t xml:space="preserve">KR-25-0461</t>
  </si>
  <si>
    <t xml:space="preserve">KR-25-0462</t>
  </si>
  <si>
    <t xml:space="preserve">KR-25-0463</t>
  </si>
  <si>
    <t xml:space="preserve">KR-25-0464</t>
  </si>
  <si>
    <t xml:space="preserve">KR-25-0465</t>
  </si>
  <si>
    <t xml:space="preserve">KR-25-0466</t>
  </si>
  <si>
    <t xml:space="preserve">KR-25-0467</t>
  </si>
  <si>
    <t xml:space="preserve">KR-25-0468</t>
  </si>
  <si>
    <t xml:space="preserve">KR-25-0469</t>
  </si>
  <si>
    <t xml:space="preserve">KR-25-0470</t>
  </si>
  <si>
    <t xml:space="preserve">KR-25-0471</t>
  </si>
  <si>
    <t xml:space="preserve">KR-25-0472</t>
  </si>
  <si>
    <t xml:space="preserve">KR-25-0473</t>
  </si>
  <si>
    <t xml:space="preserve">KR-25-0474</t>
  </si>
  <si>
    <t xml:space="preserve">KR-25-0475</t>
  </si>
  <si>
    <t xml:space="preserve">KR-25-0476</t>
  </si>
  <si>
    <t xml:space="preserve">KR-25-0477</t>
  </si>
  <si>
    <t xml:space="preserve">KR-25-0478</t>
  </si>
  <si>
    <t xml:space="preserve">KR-25-0479</t>
  </si>
  <si>
    <t xml:space="preserve">KR-25-0480</t>
  </si>
  <si>
    <t xml:space="preserve">KR-25-0481</t>
  </si>
  <si>
    <t xml:space="preserve">KR-25-0482</t>
  </si>
  <si>
    <t xml:space="preserve">KR-25-0483</t>
  </si>
  <si>
    <t xml:space="preserve">KR-25-0484</t>
  </si>
  <si>
    <t xml:space="preserve">KR-25-0485</t>
  </si>
  <si>
    <t xml:space="preserve">KR-25-0486</t>
  </si>
  <si>
    <t xml:space="preserve">KR-25-0487</t>
  </si>
  <si>
    <t xml:space="preserve">KR-25-0488</t>
  </si>
  <si>
    <t xml:space="preserve">KR-25-0489</t>
  </si>
  <si>
    <t xml:space="preserve">KR-25-0490</t>
  </si>
  <si>
    <t xml:space="preserve">KR-25-0491</t>
  </si>
  <si>
    <t xml:space="preserve">KR-25-0492</t>
  </si>
  <si>
    <t xml:space="preserve">KR-25-0493</t>
  </si>
  <si>
    <t xml:space="preserve">KR-25-0494</t>
  </si>
  <si>
    <t xml:space="preserve">KR-25-0495</t>
  </si>
  <si>
    <t xml:space="preserve">KR-25-0496</t>
  </si>
  <si>
    <t xml:space="preserve">KR-25-0497</t>
  </si>
  <si>
    <t xml:space="preserve">KR-25-0498</t>
  </si>
  <si>
    <t xml:space="preserve">KR-25-0499</t>
  </si>
  <si>
    <t xml:space="preserve">KR-25-0500</t>
  </si>
  <si>
    <t xml:space="preserve">KR-25-0501</t>
  </si>
  <si>
    <t xml:space="preserve">KR-25-0502</t>
  </si>
  <si>
    <t xml:space="preserve">KR-25-0503</t>
  </si>
  <si>
    <t xml:space="preserve">KR-25-0504</t>
  </si>
  <si>
    <t xml:space="preserve">KR-25-0505</t>
  </si>
  <si>
    <t xml:space="preserve">KR-25-0506</t>
  </si>
  <si>
    <t xml:space="preserve">KR-25-0507</t>
  </si>
  <si>
    <t xml:space="preserve">KR-25-0508</t>
  </si>
  <si>
    <t xml:space="preserve">KR-25-0509</t>
  </si>
  <si>
    <t xml:space="preserve">KR-25-0510</t>
  </si>
  <si>
    <t xml:space="preserve">KR-25-0511</t>
  </si>
  <si>
    <t xml:space="preserve">KR-25-0512</t>
  </si>
  <si>
    <t xml:space="preserve">KR-25-0513</t>
  </si>
  <si>
    <t xml:space="preserve">KR-25-0514</t>
  </si>
  <si>
    <t xml:space="preserve">KR-25-0515</t>
  </si>
  <si>
    <t xml:space="preserve">KR-25-0516</t>
  </si>
  <si>
    <t xml:space="preserve">KR-25-0517</t>
  </si>
  <si>
    <t xml:space="preserve">KR-25-0518</t>
  </si>
  <si>
    <t xml:space="preserve">KR-25-0519</t>
  </si>
  <si>
    <t xml:space="preserve">KR-25-0520</t>
  </si>
  <si>
    <t xml:space="preserve">KR-25-0521</t>
  </si>
  <si>
    <t xml:space="preserve">KR-25-0522</t>
  </si>
  <si>
    <t xml:space="preserve">KR-25-0523</t>
  </si>
  <si>
    <t xml:space="preserve">KR-25-0524</t>
  </si>
  <si>
    <t xml:space="preserve">KR-25-0525</t>
  </si>
  <si>
    <t xml:space="preserve">KR-25-0526</t>
  </si>
  <si>
    <t xml:space="preserve">KR-25-0527</t>
  </si>
  <si>
    <t xml:space="preserve">KR-25-0528</t>
  </si>
  <si>
    <t xml:space="preserve">KR-25-0529</t>
  </si>
  <si>
    <t xml:space="preserve">KR-25-0530</t>
  </si>
  <si>
    <t xml:space="preserve">KR-25-0531</t>
  </si>
  <si>
    <t xml:space="preserve">KR-25-0532</t>
  </si>
  <si>
    <t xml:space="preserve">KR-25-0533</t>
  </si>
  <si>
    <t xml:space="preserve">KR-25-0534</t>
  </si>
  <si>
    <t xml:space="preserve">KR-25-0535</t>
  </si>
  <si>
    <t xml:space="preserve">KR-25-0536</t>
  </si>
  <si>
    <t xml:space="preserve">KR-25-0537</t>
  </si>
  <si>
    <t xml:space="preserve">KR-25-0538</t>
  </si>
  <si>
    <t xml:space="preserve">KR-25-0539</t>
  </si>
  <si>
    <t xml:space="preserve">KR-25-0540</t>
  </si>
  <si>
    <t xml:space="preserve">KR-25-0541</t>
  </si>
  <si>
    <t xml:space="preserve">KR-25-0542</t>
  </si>
  <si>
    <t xml:space="preserve">KR-25-0543</t>
  </si>
  <si>
    <t xml:space="preserve">KR-25-0544</t>
  </si>
  <si>
    <t xml:space="preserve">KR-25-0545</t>
  </si>
  <si>
    <t xml:space="preserve">KR-25-0546</t>
  </si>
  <si>
    <t xml:space="preserve">KR-25-0547</t>
  </si>
  <si>
    <t xml:space="preserve">KR-25-0548</t>
  </si>
  <si>
    <t xml:space="preserve">KR-25-0549</t>
  </si>
  <si>
    <t xml:space="preserve">KR-25-0550</t>
  </si>
  <si>
    <t xml:space="preserve">KR-25-0551</t>
  </si>
  <si>
    <t xml:space="preserve">KR-25-0552</t>
  </si>
  <si>
    <t xml:space="preserve">KR-25-0553</t>
  </si>
  <si>
    <t xml:space="preserve">KR-25-0554</t>
  </si>
  <si>
    <t xml:space="preserve">KR-25-0555</t>
  </si>
  <si>
    <t xml:space="preserve">KR-25-0556</t>
  </si>
  <si>
    <t xml:space="preserve">KR-25-0557</t>
  </si>
  <si>
    <t xml:space="preserve">KR-25-0558</t>
  </si>
  <si>
    <t xml:space="preserve">KR-25-0559</t>
  </si>
  <si>
    <t xml:space="preserve">KR-25-0560</t>
  </si>
  <si>
    <t xml:space="preserve">KR-25-0561</t>
  </si>
  <si>
    <t xml:space="preserve">KR-25-0562</t>
  </si>
  <si>
    <t xml:space="preserve">KR-25-0563</t>
  </si>
  <si>
    <t xml:space="preserve">KR-25-0564</t>
  </si>
  <si>
    <t xml:space="preserve">KR-25-0565</t>
  </si>
  <si>
    <t xml:space="preserve">KR-25-0566</t>
  </si>
  <si>
    <t xml:space="preserve">KR-25-0567</t>
  </si>
  <si>
    <t xml:space="preserve">KR-25-0568</t>
  </si>
  <si>
    <t xml:space="preserve">KR-25-0569</t>
  </si>
  <si>
    <t xml:space="preserve">KR-25-0570</t>
  </si>
  <si>
    <t xml:space="preserve">KR-25-0571</t>
  </si>
  <si>
    <t xml:space="preserve">KR-25-0572</t>
  </si>
  <si>
    <t xml:space="preserve">KR-25-0573</t>
  </si>
  <si>
    <t xml:space="preserve">KR-25-0574</t>
  </si>
  <si>
    <t xml:space="preserve">KR-25-0575</t>
  </si>
  <si>
    <t xml:space="preserve">KR-25-0576</t>
  </si>
  <si>
    <t xml:space="preserve">KR-25-0577</t>
  </si>
  <si>
    <t xml:space="preserve">KR-25-0578</t>
  </si>
  <si>
    <t xml:space="preserve">KR-25-0579</t>
  </si>
  <si>
    <t xml:space="preserve">KR-25-0580</t>
  </si>
  <si>
    <t xml:space="preserve">KR-25-0581</t>
  </si>
  <si>
    <t xml:space="preserve">KR-25-0582</t>
  </si>
  <si>
    <t xml:space="preserve">KR-25-0583</t>
  </si>
  <si>
    <t xml:space="preserve">KR-25-0584</t>
  </si>
  <si>
    <t xml:space="preserve">KR-25-0585</t>
  </si>
  <si>
    <t xml:space="preserve">KR-25-0586</t>
  </si>
  <si>
    <t xml:space="preserve">KR-25-0587</t>
  </si>
  <si>
    <t xml:space="preserve">KR-25-0588</t>
  </si>
  <si>
    <t xml:space="preserve">KR-25-0589</t>
  </si>
  <si>
    <t xml:space="preserve">KR-25-0590</t>
  </si>
  <si>
    <t xml:space="preserve">KR-25-0591</t>
  </si>
  <si>
    <t xml:space="preserve">KR-25-0592</t>
  </si>
  <si>
    <t xml:space="preserve">KR-25-0593</t>
  </si>
  <si>
    <t xml:space="preserve">KR-25-0594</t>
  </si>
  <si>
    <t xml:space="preserve">KR-25-0595</t>
  </si>
  <si>
    <t xml:space="preserve">KR-25-0596</t>
  </si>
  <si>
    <t xml:space="preserve">KR-25-0597</t>
  </si>
  <si>
    <t xml:space="preserve">KR-25-0598</t>
  </si>
  <si>
    <t xml:space="preserve">KR-25-0599</t>
  </si>
  <si>
    <t xml:space="preserve">KR-25-0600</t>
  </si>
  <si>
    <t xml:space="preserve">KR-25-0601</t>
  </si>
  <si>
    <t xml:space="preserve">KR-25-0602</t>
  </si>
  <si>
    <t xml:space="preserve">KR-25-0603</t>
  </si>
  <si>
    <t xml:space="preserve">KR-25-0604</t>
  </si>
  <si>
    <t xml:space="preserve">KR-25-0605</t>
  </si>
  <si>
    <t xml:space="preserve">KR-25-0606</t>
  </si>
  <si>
    <t xml:space="preserve">KR-25-0607</t>
  </si>
  <si>
    <t xml:space="preserve">KR-25-0608</t>
  </si>
  <si>
    <t xml:space="preserve">KR-25-0609</t>
  </si>
  <si>
    <t xml:space="preserve">KR-25-0610</t>
  </si>
  <si>
    <t xml:space="preserve">KR-25-0611</t>
  </si>
  <si>
    <t xml:space="preserve">KR-25-0612</t>
  </si>
  <si>
    <t xml:space="preserve">KR-25-0613</t>
  </si>
  <si>
    <t xml:space="preserve">KR-25-0614</t>
  </si>
  <si>
    <t xml:space="preserve">KR-25-0615</t>
  </si>
  <si>
    <t xml:space="preserve">KR-25-0616</t>
  </si>
  <si>
    <t xml:space="preserve">KR-25-0617</t>
  </si>
  <si>
    <t xml:space="preserve">KR-25-0618</t>
  </si>
  <si>
    <t xml:space="preserve">KR-25-0619</t>
  </si>
  <si>
    <t xml:space="preserve">KR-25-0620</t>
  </si>
  <si>
    <t xml:space="preserve">KR-25-0621</t>
  </si>
  <si>
    <t xml:space="preserve">KR-25-0622</t>
  </si>
  <si>
    <t xml:space="preserve">KR-25-0623</t>
  </si>
  <si>
    <t xml:space="preserve">KR-25-0624</t>
  </si>
  <si>
    <t xml:space="preserve">KR-25-0625</t>
  </si>
  <si>
    <t xml:space="preserve">KR-25-0626</t>
  </si>
  <si>
    <t xml:space="preserve">KR-25-0627</t>
  </si>
  <si>
    <t xml:space="preserve">KR-25-0628</t>
  </si>
  <si>
    <t xml:space="preserve">KR-25-0629</t>
  </si>
  <si>
    <t xml:space="preserve">KR-25-0630</t>
  </si>
  <si>
    <t xml:space="preserve">KR-25-0631</t>
  </si>
  <si>
    <t xml:space="preserve">KR-25-0632</t>
  </si>
  <si>
    <t xml:space="preserve">KR-25-0633</t>
  </si>
  <si>
    <t xml:space="preserve">KR-25-0634</t>
  </si>
  <si>
    <t xml:space="preserve">KR-25-0635</t>
  </si>
  <si>
    <t xml:space="preserve">KR-25-0636</t>
  </si>
  <si>
    <t xml:space="preserve">KR-25-0637</t>
  </si>
  <si>
    <t xml:space="preserve">KR-25-0638</t>
  </si>
  <si>
    <t xml:space="preserve">KR-25-0639</t>
  </si>
  <si>
    <t xml:space="preserve">KR-25-0640</t>
  </si>
  <si>
    <t xml:space="preserve">KR-25-0641</t>
  </si>
  <si>
    <t xml:space="preserve">KR-25-0642</t>
  </si>
  <si>
    <t xml:space="preserve">KR-25-0643</t>
  </si>
  <si>
    <t xml:space="preserve">KR-25-0644</t>
  </si>
  <si>
    <t xml:space="preserve">KR-25-0645</t>
  </si>
  <si>
    <t xml:space="preserve">KR-25-0646</t>
  </si>
  <si>
    <t xml:space="preserve">KR-25-0647</t>
  </si>
  <si>
    <t xml:space="preserve">KR-25-0648</t>
  </si>
  <si>
    <t xml:space="preserve">KR-25-0649</t>
  </si>
  <si>
    <t xml:space="preserve">KR-25-0650</t>
  </si>
  <si>
    <t xml:space="preserve">KR-25-0651</t>
  </si>
  <si>
    <t xml:space="preserve">KR-25-0652</t>
  </si>
  <si>
    <t xml:space="preserve">KR-25-0653</t>
  </si>
  <si>
    <t xml:space="preserve">KR-25-0654</t>
  </si>
  <si>
    <t xml:space="preserve">KR-25-0655</t>
  </si>
  <si>
    <t xml:space="preserve">KR-25-0656</t>
  </si>
  <si>
    <t xml:space="preserve">KR-25-0657</t>
  </si>
  <si>
    <t xml:space="preserve">KR-25-0658</t>
  </si>
  <si>
    <t xml:space="preserve">KR-25-0659</t>
  </si>
  <si>
    <t xml:space="preserve">KR-25-0660</t>
  </si>
  <si>
    <t xml:space="preserve">KR-25-0661</t>
  </si>
  <si>
    <t xml:space="preserve">KR-25-0662</t>
  </si>
  <si>
    <t xml:space="preserve">KR-25-0663</t>
  </si>
  <si>
    <t xml:space="preserve">KR-25-0664</t>
  </si>
  <si>
    <t xml:space="preserve">KR-25-0665</t>
  </si>
  <si>
    <t xml:space="preserve">KR-25-0666</t>
  </si>
  <si>
    <t xml:space="preserve">KR-25-0667</t>
  </si>
  <si>
    <t xml:space="preserve">KR-25-0668</t>
  </si>
  <si>
    <t xml:space="preserve">KR-25-0669</t>
  </si>
  <si>
    <t xml:space="preserve">KR-25-0670</t>
  </si>
  <si>
    <t xml:space="preserve">KR-25-0671</t>
  </si>
  <si>
    <t xml:space="preserve">KR-25-0672</t>
  </si>
  <si>
    <t xml:space="preserve">KR-25-0673</t>
  </si>
  <si>
    <t xml:space="preserve">KR-25-0674</t>
  </si>
  <si>
    <t xml:space="preserve">KR-25-0675</t>
  </si>
  <si>
    <t xml:space="preserve">KR-25-0676</t>
  </si>
  <si>
    <t xml:space="preserve">KR-25-0677</t>
  </si>
  <si>
    <t xml:space="preserve">KR-25-0678</t>
  </si>
  <si>
    <t xml:space="preserve">KR-25-0679</t>
  </si>
  <si>
    <t xml:space="preserve">KR-25-0680</t>
  </si>
  <si>
    <t xml:space="preserve">KR-25-0681</t>
  </si>
  <si>
    <t xml:space="preserve">KR-25-0682</t>
  </si>
  <si>
    <t xml:space="preserve">KR-25-0683</t>
  </si>
  <si>
    <t xml:space="preserve">KR-25-0684</t>
  </si>
  <si>
    <t xml:space="preserve">KR-25-0685</t>
  </si>
  <si>
    <t xml:space="preserve">KR-25-0686</t>
  </si>
  <si>
    <t xml:space="preserve">KR-25-0687</t>
  </si>
  <si>
    <t xml:space="preserve">KR-25-0688</t>
  </si>
  <si>
    <t xml:space="preserve">KR-25-0689</t>
  </si>
  <si>
    <t xml:space="preserve">KR-25-0690</t>
  </si>
  <si>
    <t xml:space="preserve">KR-25-0691</t>
  </si>
  <si>
    <t xml:space="preserve">KR-25-0692</t>
  </si>
  <si>
    <t xml:space="preserve">KR-25-0693</t>
  </si>
  <si>
    <t xml:space="preserve">KR-25-0694</t>
  </si>
  <si>
    <t xml:space="preserve">KR-25-0695</t>
  </si>
  <si>
    <t xml:space="preserve">KR-25-0696</t>
  </si>
  <si>
    <t xml:space="preserve">KR-25-0697</t>
  </si>
  <si>
    <t xml:space="preserve">KR-25-0698</t>
  </si>
  <si>
    <t xml:space="preserve">KR-25-0699</t>
  </si>
  <si>
    <t xml:space="preserve">KR-25-0700</t>
  </si>
  <si>
    <t xml:space="preserve">KR-25-0701</t>
  </si>
  <si>
    <t xml:space="preserve">KR-25-0702</t>
  </si>
  <si>
    <t xml:space="preserve">KR-25-0703</t>
  </si>
  <si>
    <t xml:space="preserve">KR-25-0704</t>
  </si>
  <si>
    <t xml:space="preserve">KR-25-0705</t>
  </si>
  <si>
    <t xml:space="preserve">KR-25-0706</t>
  </si>
  <si>
    <t xml:space="preserve">KR-25-0707</t>
  </si>
  <si>
    <t xml:space="preserve">KR-25-0708</t>
  </si>
  <si>
    <t xml:space="preserve">KR-25-0709</t>
  </si>
  <si>
    <t xml:space="preserve">KR-25-0710</t>
  </si>
  <si>
    <t xml:space="preserve">KR-25-0711</t>
  </si>
  <si>
    <t xml:space="preserve">KR-25-0712</t>
  </si>
  <si>
    <t xml:space="preserve">KR-25-0713</t>
  </si>
  <si>
    <t xml:space="preserve">KR-25-0714</t>
  </si>
  <si>
    <t xml:space="preserve">KR-25-0715</t>
  </si>
  <si>
    <t xml:space="preserve">KR-25-0716</t>
  </si>
  <si>
    <t xml:space="preserve">KR-25-0717</t>
  </si>
  <si>
    <t xml:space="preserve">KR-25-0718</t>
  </si>
  <si>
    <t xml:space="preserve">KR-25-0719</t>
  </si>
  <si>
    <t xml:space="preserve">KR-25-0720</t>
  </si>
  <si>
    <t xml:space="preserve">KR-25-0721</t>
  </si>
  <si>
    <t xml:space="preserve">KR-25-0722</t>
  </si>
  <si>
    <t xml:space="preserve">KR-25-0723</t>
  </si>
  <si>
    <t xml:space="preserve">KR-25-0724</t>
  </si>
  <si>
    <t xml:space="preserve">KR-25-0725</t>
  </si>
  <si>
    <t xml:space="preserve">KR-25-0726</t>
  </si>
  <si>
    <t xml:space="preserve">KR-25-0727</t>
  </si>
  <si>
    <t xml:space="preserve">KR-25-0728</t>
  </si>
  <si>
    <t xml:space="preserve">KR-25-0729</t>
  </si>
  <si>
    <t xml:space="preserve">KR-25-0730</t>
  </si>
  <si>
    <t xml:space="preserve">KR-25-0731</t>
  </si>
  <si>
    <t xml:space="preserve">KR-25-0732</t>
  </si>
  <si>
    <t xml:space="preserve">KR-25-0733</t>
  </si>
  <si>
    <t xml:space="preserve">KR-25-0734</t>
  </si>
  <si>
    <t xml:space="preserve">KR-25-0735</t>
  </si>
  <si>
    <t xml:space="preserve">KR-25-0736</t>
  </si>
  <si>
    <t xml:space="preserve">KR-25-0737</t>
  </si>
  <si>
    <t xml:space="preserve">KR-25-0738</t>
  </si>
  <si>
    <t xml:space="preserve">KR-25-0739</t>
  </si>
  <si>
    <t xml:space="preserve">KR-25-0740</t>
  </si>
  <si>
    <t xml:space="preserve">KR-25-0741</t>
  </si>
  <si>
    <t xml:space="preserve">KR-25-0742</t>
  </si>
  <si>
    <t xml:space="preserve">KR-25-0743</t>
  </si>
  <si>
    <t xml:space="preserve">KR-25-0744</t>
  </si>
  <si>
    <t xml:space="preserve">KR-25-0745</t>
  </si>
  <si>
    <t xml:space="preserve">KR-25-0746</t>
  </si>
  <si>
    <t xml:space="preserve">KR-25-0747</t>
  </si>
  <si>
    <t xml:space="preserve">KR-25-0748</t>
  </si>
  <si>
    <t xml:space="preserve">KR-25-0749</t>
  </si>
  <si>
    <t xml:space="preserve">KR-25-0750</t>
  </si>
  <si>
    <t xml:space="preserve">KR-25-0751</t>
  </si>
  <si>
    <t xml:space="preserve">KR-25-0752</t>
  </si>
  <si>
    <t xml:space="preserve">KR-25-0753</t>
  </si>
  <si>
    <t xml:space="preserve">KR-25-0754</t>
  </si>
  <si>
    <t xml:space="preserve">KR-25-0755</t>
  </si>
  <si>
    <t xml:space="preserve">KR-25-0756</t>
  </si>
  <si>
    <t xml:space="preserve">KR-25-0757</t>
  </si>
  <si>
    <t xml:space="preserve">KR-25-0758</t>
  </si>
  <si>
    <t xml:space="preserve">KR-25-0759</t>
  </si>
  <si>
    <t xml:space="preserve">KR-25-0760</t>
  </si>
  <si>
    <t xml:space="preserve">KR-25-0761</t>
  </si>
  <si>
    <t xml:space="preserve">KR-25-0762</t>
  </si>
  <si>
    <t xml:space="preserve">KR-25-0763</t>
  </si>
  <si>
    <t xml:space="preserve">KR-25-0764</t>
  </si>
  <si>
    <t xml:space="preserve">KR-25-0765</t>
  </si>
  <si>
    <t xml:space="preserve">KR-25-0766</t>
  </si>
  <si>
    <t xml:space="preserve">KR-25-0767</t>
  </si>
  <si>
    <t xml:space="preserve">KR-25-0768</t>
  </si>
  <si>
    <t xml:space="preserve">KR-25-0769</t>
  </si>
  <si>
    <t xml:space="preserve">KR-25-0770</t>
  </si>
  <si>
    <t xml:space="preserve">KR-25-0771</t>
  </si>
  <si>
    <t xml:space="preserve">KR-25-0772</t>
  </si>
  <si>
    <t xml:space="preserve">KR-25-0773</t>
  </si>
  <si>
    <t xml:space="preserve">KR-25-0774</t>
  </si>
  <si>
    <t xml:space="preserve">KR-25-0775</t>
  </si>
  <si>
    <t xml:space="preserve">KR-25-0776</t>
  </si>
  <si>
    <t xml:space="preserve">KR-25-0777</t>
  </si>
  <si>
    <t xml:space="preserve">KR-25-0778</t>
  </si>
  <si>
    <t xml:space="preserve">KR-25-0779</t>
  </si>
  <si>
    <t xml:space="preserve">KR-25-0780</t>
  </si>
  <si>
    <t xml:space="preserve">KR-25-0781</t>
  </si>
  <si>
    <t xml:space="preserve">KR-25-0782</t>
  </si>
  <si>
    <t xml:space="preserve">KR-25-0783</t>
  </si>
  <si>
    <t xml:space="preserve">KR-25-0784</t>
  </si>
  <si>
    <t xml:space="preserve">KR-25-0785</t>
  </si>
  <si>
    <t xml:space="preserve">KR-25-0786</t>
  </si>
  <si>
    <t xml:space="preserve">KR-25-0787</t>
  </si>
  <si>
    <t xml:space="preserve">KR-25-0788</t>
  </si>
  <si>
    <t xml:space="preserve">KR-25-0789</t>
  </si>
  <si>
    <t xml:space="preserve">KR-25-0790</t>
  </si>
  <si>
    <t xml:space="preserve">KR-25-0791</t>
  </si>
  <si>
    <t xml:space="preserve">KR-25-0792</t>
  </si>
  <si>
    <t xml:space="preserve">KR-25-0793</t>
  </si>
  <si>
    <t xml:space="preserve">KR-25-0794</t>
  </si>
  <si>
    <t xml:space="preserve">KR-25-0795</t>
  </si>
  <si>
    <t xml:space="preserve">KR-25-0796</t>
  </si>
  <si>
    <t xml:space="preserve">KR-25-0797</t>
  </si>
  <si>
    <t xml:space="preserve">KR-25-0798</t>
  </si>
  <si>
    <t xml:space="preserve">KR-25-0799</t>
  </si>
  <si>
    <t xml:space="preserve">KR-25-0800</t>
  </si>
  <si>
    <t xml:space="preserve">KR-25-0801</t>
  </si>
  <si>
    <t xml:space="preserve">KR-25-0802</t>
  </si>
  <si>
    <t xml:space="preserve">KR-25-0803</t>
  </si>
  <si>
    <t xml:space="preserve">KR-25-0804</t>
  </si>
  <si>
    <t xml:space="preserve">KR-25-0805</t>
  </si>
  <si>
    <t xml:space="preserve">KR-25-0806</t>
  </si>
  <si>
    <t xml:space="preserve">KR-25-0807</t>
  </si>
  <si>
    <t xml:space="preserve">KR-25-0808</t>
  </si>
  <si>
    <t xml:space="preserve">KR-25-0809</t>
  </si>
  <si>
    <t xml:space="preserve">KR-25-0810</t>
  </si>
  <si>
    <t xml:space="preserve">KR-25-0811</t>
  </si>
  <si>
    <t xml:space="preserve">KR-25-0812</t>
  </si>
  <si>
    <t xml:space="preserve">KR-25-0813</t>
  </si>
  <si>
    <t xml:space="preserve">KR-25-0814</t>
  </si>
  <si>
    <t xml:space="preserve">KR-25-0815</t>
  </si>
  <si>
    <t xml:space="preserve">KR-25-0816</t>
  </si>
  <si>
    <t xml:space="preserve">KR-25-0817</t>
  </si>
  <si>
    <t xml:space="preserve">KR-25-0818</t>
  </si>
  <si>
    <t xml:space="preserve">KR-25-0819</t>
  </si>
  <si>
    <t xml:space="preserve">KR-25-0820</t>
  </si>
  <si>
    <t xml:space="preserve">KR-25-0821</t>
  </si>
  <si>
    <t xml:space="preserve">KR-25-0822</t>
  </si>
  <si>
    <t xml:space="preserve">KR-25-0823</t>
  </si>
  <si>
    <t xml:space="preserve">KR-25-0824</t>
  </si>
  <si>
    <t xml:space="preserve">KR-25-0825</t>
  </si>
  <si>
    <t xml:space="preserve">KR-25-0826</t>
  </si>
  <si>
    <t xml:space="preserve">KR-25-0827</t>
  </si>
  <si>
    <t xml:space="preserve">KR-25-0828</t>
  </si>
  <si>
    <t xml:space="preserve">KR-25-0829</t>
  </si>
  <si>
    <t xml:space="preserve">KR-25-0830</t>
  </si>
  <si>
    <t xml:space="preserve">KR-25-0831</t>
  </si>
  <si>
    <t xml:space="preserve">KR-25-0832</t>
  </si>
  <si>
    <t xml:space="preserve">KR-25-0833</t>
  </si>
  <si>
    <t xml:space="preserve">KR-25-0834</t>
  </si>
  <si>
    <t xml:space="preserve">KR-25-0835</t>
  </si>
  <si>
    <t xml:space="preserve">KR-25-0836</t>
  </si>
  <si>
    <t xml:space="preserve">KR-25-0837</t>
  </si>
  <si>
    <t xml:space="preserve">KR-25-0838</t>
  </si>
  <si>
    <t xml:space="preserve">KR-25-0839</t>
  </si>
  <si>
    <t xml:space="preserve">KR-25-0840</t>
  </si>
  <si>
    <t xml:space="preserve">KR-25-0841</t>
  </si>
  <si>
    <t xml:space="preserve">KR-25-0842</t>
  </si>
  <si>
    <t xml:space="preserve">KR-25-0843</t>
  </si>
  <si>
    <t xml:space="preserve">KR-25-0844</t>
  </si>
  <si>
    <t xml:space="preserve">KR-25-0845</t>
  </si>
  <si>
    <t xml:space="preserve">KR-25-0846</t>
  </si>
  <si>
    <t xml:space="preserve">KR-25-0847</t>
  </si>
  <si>
    <t xml:space="preserve">KR-25-0848</t>
  </si>
  <si>
    <t xml:space="preserve">KR-25-0849</t>
  </si>
  <si>
    <t xml:space="preserve">KR-25-0850</t>
  </si>
  <si>
    <t xml:space="preserve">KR-25-0851</t>
  </si>
  <si>
    <t xml:space="preserve">KR-25-0852</t>
  </si>
  <si>
    <t xml:space="preserve">KR-25-0853</t>
  </si>
  <si>
    <t xml:space="preserve">KR-25-0854</t>
  </si>
  <si>
    <t xml:space="preserve">KR-25-0855</t>
  </si>
  <si>
    <t xml:space="preserve">KR-25-0856</t>
  </si>
  <si>
    <t xml:space="preserve">KR-25-0857</t>
  </si>
  <si>
    <t xml:space="preserve">KR-25-0858</t>
  </si>
  <si>
    <t xml:space="preserve">KR-25-0859</t>
  </si>
  <si>
    <t xml:space="preserve">KR-25-0860</t>
  </si>
  <si>
    <t xml:space="preserve">KR-25-0861</t>
  </si>
  <si>
    <t xml:space="preserve">KR-25-0862</t>
  </si>
  <si>
    <t xml:space="preserve">KR-25-0863</t>
  </si>
  <si>
    <t xml:space="preserve">KR-25-0864</t>
  </si>
  <si>
    <t xml:space="preserve">KR-25-0865</t>
  </si>
  <si>
    <t xml:space="preserve">KR-25-0866</t>
  </si>
  <si>
    <t xml:space="preserve">KR-25-0867</t>
  </si>
  <si>
    <t xml:space="preserve">KR-25-0868</t>
  </si>
  <si>
    <t xml:space="preserve">KR-25-0869</t>
  </si>
  <si>
    <t xml:space="preserve">KR-25-0870</t>
  </si>
  <si>
    <t xml:space="preserve">KR-25-0871</t>
  </si>
  <si>
    <t xml:space="preserve">KR-25-0872</t>
  </si>
  <si>
    <t xml:space="preserve">KR-25-0873</t>
  </si>
  <si>
    <t xml:space="preserve">KR-25-0874</t>
  </si>
  <si>
    <t xml:space="preserve">KR-25-0875</t>
  </si>
  <si>
    <t xml:space="preserve">KR-25-0876</t>
  </si>
  <si>
    <t xml:space="preserve">KR-25-0877</t>
  </si>
  <si>
    <t xml:space="preserve">KR-25-0878</t>
  </si>
  <si>
    <t xml:space="preserve">KR-25-0879</t>
  </si>
  <si>
    <t xml:space="preserve">KR-25-0880</t>
  </si>
  <si>
    <t xml:space="preserve">KR-25-0881</t>
  </si>
  <si>
    <t xml:space="preserve">KR-25-0882</t>
  </si>
  <si>
    <t xml:space="preserve">KR-25-0883</t>
  </si>
  <si>
    <t xml:space="preserve">KR-25-0884</t>
  </si>
  <si>
    <t xml:space="preserve">KR-25-0885</t>
  </si>
  <si>
    <t xml:space="preserve">KR-25-0886</t>
  </si>
  <si>
    <t xml:space="preserve">KR-25-0887</t>
  </si>
  <si>
    <t xml:space="preserve">KR-25-0888</t>
  </si>
  <si>
    <t xml:space="preserve">KR-25-0889</t>
  </si>
  <si>
    <t xml:space="preserve">KR-25-0890</t>
  </si>
  <si>
    <t xml:space="preserve">KR-25-0891</t>
  </si>
  <si>
    <t xml:space="preserve">KR-25-0892</t>
  </si>
  <si>
    <t xml:space="preserve">KR-25-0893</t>
  </si>
  <si>
    <t xml:space="preserve">KR-25-0894</t>
  </si>
  <si>
    <t xml:space="preserve">KR-25-0895</t>
  </si>
  <si>
    <t xml:space="preserve">KR-25-0896</t>
  </si>
  <si>
    <t xml:space="preserve">KR-25-0897</t>
  </si>
  <si>
    <t xml:space="preserve">KR-25-0898</t>
  </si>
  <si>
    <t xml:space="preserve">KR-25-0899</t>
  </si>
  <si>
    <t xml:space="preserve">KR-25-0900</t>
  </si>
  <si>
    <t xml:space="preserve">KR-25-0901</t>
  </si>
  <si>
    <t xml:space="preserve">KR-25-0902</t>
  </si>
  <si>
    <t xml:space="preserve">KR-25-0903</t>
  </si>
  <si>
    <t xml:space="preserve">KR-25-0904</t>
  </si>
  <si>
    <t xml:space="preserve">KR-25-0905</t>
  </si>
  <si>
    <t xml:space="preserve">KR-25-0906</t>
  </si>
  <si>
    <t xml:space="preserve">KR-25-0907</t>
  </si>
  <si>
    <t xml:space="preserve">KR-25-0908</t>
  </si>
  <si>
    <t xml:space="preserve">KR-25-0909</t>
  </si>
  <si>
    <t xml:space="preserve">KR-25-0910</t>
  </si>
  <si>
    <t xml:space="preserve">KR-25-0911</t>
  </si>
  <si>
    <t xml:space="preserve">KR-25-0912</t>
  </si>
  <si>
    <t xml:space="preserve">KR-25-0913</t>
  </si>
  <si>
    <t xml:space="preserve">KR-25-0914</t>
  </si>
  <si>
    <t xml:space="preserve">KR-25-0915</t>
  </si>
  <si>
    <t xml:space="preserve">KR-25-0916</t>
  </si>
  <si>
    <t xml:space="preserve">KR-25-0917</t>
  </si>
  <si>
    <t xml:space="preserve">KR-25-0918</t>
  </si>
  <si>
    <t xml:space="preserve">KR-25-0919</t>
  </si>
  <si>
    <t xml:space="preserve">KR-25-0920</t>
  </si>
  <si>
    <t xml:space="preserve">KR-25-0921</t>
  </si>
  <si>
    <t xml:space="preserve">KR-25-0922</t>
  </si>
  <si>
    <t xml:space="preserve">KR-25-0923</t>
  </si>
  <si>
    <t xml:space="preserve">KR-25-0924</t>
  </si>
  <si>
    <t xml:space="preserve">KR-25-0925</t>
  </si>
  <si>
    <t xml:space="preserve">KR-25-0926</t>
  </si>
  <si>
    <t xml:space="preserve">KR-25-0927</t>
  </si>
  <si>
    <t xml:space="preserve">KR-25-0928</t>
  </si>
  <si>
    <t xml:space="preserve">KR-25-0929</t>
  </si>
  <si>
    <t xml:space="preserve">KR-25-0930</t>
  </si>
  <si>
    <t xml:space="preserve">KR-25-0931</t>
  </si>
  <si>
    <t xml:space="preserve">KR-25-0932</t>
  </si>
  <si>
    <t xml:space="preserve">KR-25-0933</t>
  </si>
  <si>
    <t xml:space="preserve">KR-25-0934</t>
  </si>
  <si>
    <t xml:space="preserve">KR-25-0935</t>
  </si>
  <si>
    <t xml:space="preserve">KR-25-0936</t>
  </si>
  <si>
    <t xml:space="preserve">KR-25-0937</t>
  </si>
  <si>
    <t xml:space="preserve">KR-25-0938</t>
  </si>
  <si>
    <t xml:space="preserve">KR-25-0939</t>
  </si>
  <si>
    <t xml:space="preserve">KR-25-0940</t>
  </si>
  <si>
    <t xml:space="preserve">KR-25-0941</t>
  </si>
  <si>
    <t xml:space="preserve">KR-25-0942</t>
  </si>
  <si>
    <t xml:space="preserve">KR-25-0943</t>
  </si>
  <si>
    <t xml:space="preserve">KR-25-0944</t>
  </si>
  <si>
    <t xml:space="preserve">KR-25-0945</t>
  </si>
  <si>
    <t xml:space="preserve">KR-25-0946</t>
  </si>
  <si>
    <t xml:space="preserve">KR-25-0947</t>
  </si>
  <si>
    <t xml:space="preserve">KR-25-0948</t>
  </si>
  <si>
    <t xml:space="preserve">KR-25-0949</t>
  </si>
  <si>
    <t xml:space="preserve">KR-25-0950</t>
  </si>
  <si>
    <t xml:space="preserve">KR-25-0951</t>
  </si>
  <si>
    <t xml:space="preserve">KR-25-0952</t>
  </si>
  <si>
    <t xml:space="preserve">KR-25-0953</t>
  </si>
  <si>
    <t xml:space="preserve">KR-25-0954</t>
  </si>
  <si>
    <t xml:space="preserve">KR-25-0955</t>
  </si>
  <si>
    <t xml:space="preserve">KR-25-0956</t>
  </si>
  <si>
    <t xml:space="preserve">KR-25-0957</t>
  </si>
  <si>
    <t xml:space="preserve">KR-25-0958</t>
  </si>
  <si>
    <t xml:space="preserve">KR-25-0959</t>
  </si>
  <si>
    <t xml:space="preserve">KR-25-0960</t>
  </si>
  <si>
    <t xml:space="preserve">KR-25-0961</t>
  </si>
  <si>
    <t xml:space="preserve">KR-25-0962</t>
  </si>
  <si>
    <t xml:space="preserve">KR-25-0963</t>
  </si>
  <si>
    <t xml:space="preserve">KR-25-0964</t>
  </si>
  <si>
    <t xml:space="preserve">KR-25-0965</t>
  </si>
  <si>
    <t xml:space="preserve">KR-25-0966</t>
  </si>
  <si>
    <t xml:space="preserve">KR-25-0967</t>
  </si>
  <si>
    <t xml:space="preserve">KR-25-0968</t>
  </si>
  <si>
    <t xml:space="preserve">KR-25-0969</t>
  </si>
  <si>
    <t xml:space="preserve">KR-25-0970</t>
  </si>
  <si>
    <t xml:space="preserve">KR-25-0971</t>
  </si>
  <si>
    <t xml:space="preserve">KR-25-0972</t>
  </si>
  <si>
    <t xml:space="preserve">KR-25-0973</t>
  </si>
  <si>
    <t xml:space="preserve">KR-25-0974</t>
  </si>
  <si>
    <t xml:space="preserve">KR-25-0975</t>
  </si>
  <si>
    <t xml:space="preserve">KR-25-0976</t>
  </si>
  <si>
    <t xml:space="preserve">KR-25-0977</t>
  </si>
  <si>
    <t xml:space="preserve">KR-25-0978</t>
  </si>
  <si>
    <t xml:space="preserve">KR-25-0979</t>
  </si>
  <si>
    <t xml:space="preserve">KR-25-0980</t>
  </si>
  <si>
    <t xml:space="preserve">KR-25-0981</t>
  </si>
  <si>
    <t xml:space="preserve">KR-25-0982</t>
  </si>
  <si>
    <t xml:space="preserve">KR-25-0983</t>
  </si>
  <si>
    <t xml:space="preserve">KR-25-0984</t>
  </si>
  <si>
    <t xml:space="preserve">KR-25-0985</t>
  </si>
  <si>
    <t xml:space="preserve">KR-25-0986</t>
  </si>
  <si>
    <t xml:space="preserve">KR-25-0987</t>
  </si>
  <si>
    <t xml:space="preserve">KR-25-0988</t>
  </si>
  <si>
    <t xml:space="preserve">KR-25-0989</t>
  </si>
  <si>
    <t xml:space="preserve">KR-25-0990</t>
  </si>
  <si>
    <t xml:space="preserve">KR-25-0991</t>
  </si>
  <si>
    <t xml:space="preserve">KR-25-0992</t>
  </si>
  <si>
    <t xml:space="preserve">KR-25-0993</t>
  </si>
  <si>
    <t xml:space="preserve">KR-25-0994</t>
  </si>
  <si>
    <t xml:space="preserve">KR-25-0995</t>
  </si>
  <si>
    <t xml:space="preserve">KR-25-0996</t>
  </si>
  <si>
    <t xml:space="preserve">KR-25-0997</t>
  </si>
  <si>
    <t xml:space="preserve">KR-25-0998</t>
  </si>
  <si>
    <t xml:space="preserve">KR-25-0999</t>
  </si>
  <si>
    <t xml:space="preserve">KR-25-1000</t>
  </si>
  <si>
    <t xml:space="preserve">Discount</t>
  </si>
  <si>
    <t xml:space="preserve">store</t>
  </si>
  <si>
    <t xml:space="preserve">ONLINE</t>
  </si>
  <si>
    <t xml:space="preserve">bhubaneswar</t>
  </si>
  <si>
    <t xml:space="preserve">18-01-2025</t>
  </si>
  <si>
    <t xml:space="preserve">16-01-2025</t>
  </si>
  <si>
    <t xml:space="preserve">Store </t>
  </si>
  <si>
    <t xml:space="preserve">In-store</t>
  </si>
  <si>
    <t xml:space="preserve">19-01-2025</t>
  </si>
  <si>
    <t xml:space="preserve">Bangalore</t>
  </si>
  <si>
    <t xml:space="preserve">online</t>
  </si>
  <si>
    <t xml:space="preserve">Kolkata  </t>
  </si>
  <si>
    <t xml:space="preserve">Online </t>
  </si>
  <si>
    <t xml:space="preserve">10-02-2025</t>
  </si>
  <si>
    <t xml:space="preserve">15%</t>
  </si>
  <si>
    <t xml:space="preserve">16-03-2025</t>
  </si>
  <si>
    <t xml:space="preserve">jaipur</t>
  </si>
  <si>
    <t xml:space="preserve">5%</t>
  </si>
  <si>
    <t xml:space="preserve">10%</t>
  </si>
  <si>
    <t xml:space="preserve">Mumbai  </t>
  </si>
  <si>
    <t xml:space="preserve">Bhubaneswar  </t>
  </si>
  <si>
    <t xml:space="preserve">chennai</t>
  </si>
  <si>
    <t xml:space="preserve">30%</t>
  </si>
  <si>
    <t xml:space="preserve">0%</t>
  </si>
  <si>
    <t xml:space="preserve">25%</t>
  </si>
  <si>
    <t xml:space="preserve">20-05-2025</t>
  </si>
  <si>
    <t xml:space="preserve">21-05-2025</t>
  </si>
  <si>
    <t xml:space="preserve">bengaluru</t>
  </si>
  <si>
    <t xml:space="preserve">hyderabad</t>
  </si>
  <si>
    <t xml:space="preserve">Chennai  </t>
  </si>
  <si>
    <t xml:space="preserve">28-07-2025</t>
  </si>
  <si>
    <t xml:space="preserve">Patna  </t>
  </si>
  <si>
    <t xml:space="preserve">30-07-2025</t>
  </si>
  <si>
    <t xml:space="preserve">23-08-2025</t>
  </si>
  <si>
    <t xml:space="preserve">new delhi</t>
  </si>
  <si>
    <t xml:space="preserve">20%</t>
  </si>
  <si>
    <t xml:space="preserve">13-08-2025</t>
  </si>
  <si>
    <t xml:space="preserve">24-09-2025</t>
  </si>
  <si>
    <t xml:space="preserve">Ahmedabad  </t>
  </si>
  <si>
    <t xml:space="preserve">14-09-2025</t>
  </si>
  <si>
    <t xml:space="preserve">27-09-2025</t>
  </si>
  <si>
    <t xml:space="preserve">Lucknow  </t>
  </si>
  <si>
    <t xml:space="preserve">28-10-2025</t>
  </si>
  <si>
    <t xml:space="preserve">kolkata</t>
  </si>
  <si>
    <t xml:space="preserve">Pune  </t>
  </si>
  <si>
    <t xml:space="preserve">patna</t>
  </si>
  <si>
    <t xml:space="preserve">29-11-2025</t>
  </si>
  <si>
    <t xml:space="preserve">Bengaluru  </t>
  </si>
  <si>
    <t xml:space="preserve">mumbai</t>
  </si>
  <si>
    <t xml:space="preserve">08-12-2025</t>
  </si>
  <si>
    <t xml:space="preserve">Product List (price and cost per unit)</t>
  </si>
  <si>
    <t xml:space="preserve">Unit Price (₹)</t>
  </si>
  <si>
    <t xml:space="preserve">Unit Cost (₹)</t>
  </si>
  <si>
    <t xml:space="preserve">List Margin %</t>
  </si>
  <si>
    <t xml:space="preserve">Blue numbers are inputs. Margin % is before any discount.</t>
  </si>
  <si>
    <t xml:space="preserve">FY2025 Targets (company plan)</t>
  </si>
  <si>
    <t xml:space="preserve">Fictional plan set for this project. Blue numbers are inputs; change them and every report updates.</t>
  </si>
  <si>
    <t xml:space="preserve">Planned profit margin</t>
  </si>
  <si>
    <t xml:space="preserve">Revenue target (₹)</t>
  </si>
  <si>
    <t xml:space="preserve">Profit target (₹) = revenue target × planned margin</t>
  </si>
  <si>
    <t xml:space="preserve">Cleaning Log: how the raw data became the cleaned data</t>
  </si>
  <si>
    <t xml:space="preserve">Rows received: 1,012   →   Clean orders: 1,000</t>
  </si>
  <si>
    <t xml:space="preserve">Step</t>
  </si>
  <si>
    <t xml:space="preserve">Problem found</t>
  </si>
  <si>
    <t xml:space="preserve">Rows affected</t>
  </si>
  <si>
    <t xml:space="preserve">What I did</t>
  </si>
  <si>
    <t xml:space="preserve">Excel feature used</t>
  </si>
  <si>
    <t xml:space="preserve">Same order entered twice (exact duplicate rows)</t>
  </si>
  <si>
    <t xml:space="preserve">Removed the duplicate copies, kept one of each</t>
  </si>
  <si>
    <t xml:space="preserve">Data &gt; Remove Duplicates</t>
  </si>
  <si>
    <t xml:space="preserve">Channel spelled differently: "online", "ONLINE", "Store ", "In-store"</t>
  </si>
  <si>
    <t xml:space="preserve">Standardised to two values: "Online" and "Store"</t>
  </si>
  <si>
    <t xml:space="preserve">TRIM, PROPER, Find &amp; Replace</t>
  </si>
  <si>
    <t xml:space="preserve">City spelled differently ("Bangalore" in 38 rows, lower case, extra spaces)</t>
  </si>
  <si>
    <t xml:space="preserve">Standardised city names; "Bangalore" changed to "Bengaluru"</t>
  </si>
  <si>
    <t xml:space="preserve">City missing</t>
  </si>
  <si>
    <t xml:space="preserve">Set to "Unknown". Region was present, so the orders were kept</t>
  </si>
  <si>
    <t xml:space="preserve">Filter &gt; (Blanks)</t>
  </si>
  <si>
    <t xml:space="preserve">Category missing</t>
  </si>
  <si>
    <t xml:space="preserve">Filled in from the Product List using the product name</t>
  </si>
  <si>
    <t xml:space="preserve">VLOOKUP</t>
  </si>
  <si>
    <t xml:space="preserve">Discount typed as text (e.g. "15%"), so it could not be calculated</t>
  </si>
  <si>
    <t xml:space="preserve">Converted to numbers</t>
  </si>
  <si>
    <t xml:space="preserve">VALUE / Text to Columns</t>
  </si>
  <si>
    <t xml:space="preserve">Order date typed as text (dd-mm-yyyy), so Excel could not group it by month</t>
  </si>
  <si>
    <t xml:space="preserve">Converted to real dates</t>
  </si>
  <si>
    <t xml:space="preserve">Text to Columns (DMY)</t>
  </si>
  <si>
    <t xml:space="preserve">Steps 2–7 were counted after removing duplicates. Revenue, cost, profit and margin are calculated with formulas in the Cleaned Data sheet, not typed in.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</si>
</sst>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\₹#,##0;[RED]&quot;-₹&quot;#,##0"/>
    <numFmt numFmtId="167" formatCode="0.0%"/>
    <numFmt numFmtId="168" formatCode="#,##0"/>
    <numFmt numFmtId="169" formatCode="General"/>
    <numFmt numFmtId="170" formatCode="\+0.0%;\-0.0%;0.0%"/>
    <numFmt numFmtId="171" formatCode="dd\-mmm\-yyyy"/>
    <numFmt numFmtId="172" formatCode="dd\-mm\-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4E7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FF2CC"/>
        <bgColor rgb="FFFBE5D6"/>
      </patternFill>
    </fill>
    <fill>
      <patternFill patternType="solid">
        <fgColor rgb="FF1F4E79"/>
        <bgColor rgb="FF1F3864"/>
      </patternFill>
    </fill>
    <fill>
      <patternFill patternType="solid">
        <fgColor rgb="FFDEEAF6"/>
        <bgColor rgb="FFF2F2F2"/>
      </patternFill>
    </fill>
    <fill>
      <patternFill patternType="solid">
        <fgColor rgb="FFFBE5D6"/>
        <bgColor rgb="FFFFF2CC"/>
      </patternFill>
    </fill>
    <fill>
      <patternFill patternType="solid">
        <fgColor rgb="FFF2F2F2"/>
        <bgColor rgb="FFDEEA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EE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BE5D6"/>
      <rgbColor rgb="FFCC99FF"/>
      <rgbColor rgb="FFFFC7CE"/>
      <rgbColor rgb="FF2E75B6"/>
      <rgbColor rgb="FF33CCCC"/>
      <rgbColor rgb="FF99CC00"/>
      <rgbColor rgb="FFFFC000"/>
      <rgbColor rgb="FFFF9900"/>
      <rgbColor rgb="FFC55A11"/>
      <rgbColor rgb="FF595959"/>
      <rgbColor rgb="FFA5A5A5"/>
      <rgbColor rgb="FF1F3864"/>
      <rgbColor rgb="FF70AD47"/>
      <rgbColor rgb="FF003300"/>
      <rgbColor rgb="FF333300"/>
      <rgbColor rgb="FF9C57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and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Analysis!B20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4e79"/>
            </a:solidFill>
            <a:ln w="9360">
              <a:solidFill>
                <a:srgbClr val="1f4e7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Analysis!$A$21:$A$24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Analysis!$B$21:$B$24</c:f>
              <c:numCache>
                <c:formatCode>\₹#,##0;[RED]"-₹"#,##0</c:formatCode>
                <c:ptCount val="4"/>
                <c:pt idx="0">
                  <c:v>686373.4</c:v>
                </c:pt>
                <c:pt idx="1">
                  <c:v>860038.4</c:v>
                </c:pt>
                <c:pt idx="2">
                  <c:v>388874.45</c:v>
                </c:pt>
                <c:pt idx="3">
                  <c:v>811470</c:v>
                </c:pt>
              </c:numCache>
            </c:numRef>
          </c:val>
        </c:ser>
        <c:ser>
          <c:idx val="1"/>
          <c:order val="1"/>
          <c:tx>
            <c:strRef>
              <c:f>Analysis!C20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55a11"/>
            </a:solidFill>
            <a:ln w="9360">
              <a:solidFill>
                <a:srgbClr val="c55a11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Analysis!$A$21:$A$24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Analysis!$C$21:$C$24</c:f>
              <c:numCache>
                <c:formatCode>\₹#,##0;[RED]"-₹"#,##0</c:formatCode>
                <c:ptCount val="4"/>
                <c:pt idx="0">
                  <c:v>174413.4</c:v>
                </c:pt>
                <c:pt idx="1">
                  <c:v>214298.4</c:v>
                </c:pt>
                <c:pt idx="2">
                  <c:v>89364.45</c:v>
                </c:pt>
                <c:pt idx="3">
                  <c:v>188320</c:v>
                </c:pt>
              </c:numCache>
            </c:numRef>
          </c:val>
        </c:ser>
        <c:gapWidth val="150"/>
        <c:overlap val="0"/>
        <c:axId val="59376706"/>
        <c:axId val="71495475"/>
      </c:barChart>
      <c:catAx>
        <c:axId val="593767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495475"/>
        <c:crosses val="autoZero"/>
        <c:auto val="1"/>
        <c:lblAlgn val="ctr"/>
        <c:lblOffset val="100"/>
        <c:noMultiLvlLbl val="0"/>
      </c:catAx>
      <c:valAx>
        <c:axId val="714954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;[RED]&quot;-₹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767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and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Analysis!C27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4e79"/>
            </a:solidFill>
            <a:ln w="2808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Analysis!$B$28:$B$39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Analysis!$C$28:$C$39</c:f>
              <c:numCache>
                <c:formatCode>\₹#,##0;[RED]"-₹"#,##0</c:formatCode>
                <c:ptCount val="12"/>
                <c:pt idx="0">
                  <c:v>192915.35</c:v>
                </c:pt>
                <c:pt idx="1">
                  <c:v>166335.85</c:v>
                </c:pt>
                <c:pt idx="2">
                  <c:v>218425.95</c:v>
                </c:pt>
                <c:pt idx="3">
                  <c:v>174660.2</c:v>
                </c:pt>
                <c:pt idx="4">
                  <c:v>188356.95</c:v>
                </c:pt>
                <c:pt idx="5">
                  <c:v>224305.65</c:v>
                </c:pt>
                <c:pt idx="6">
                  <c:v>196882.7</c:v>
                </c:pt>
                <c:pt idx="7">
                  <c:v>266956.5</c:v>
                </c:pt>
                <c:pt idx="8">
                  <c:v>256053.5</c:v>
                </c:pt>
                <c:pt idx="9">
                  <c:v>339881.05</c:v>
                </c:pt>
                <c:pt idx="10">
                  <c:v>323564</c:v>
                </c:pt>
                <c:pt idx="11">
                  <c:v>198418.55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Analysis!D27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55a11"/>
            </a:solidFill>
            <a:ln w="28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Analysis!$B$28:$B$39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Analysis!$D$28:$D$39</c:f>
              <c:numCache>
                <c:formatCode>\₹#,##0;[RED]"-₹"#,##0</c:formatCode>
                <c:ptCount val="12"/>
                <c:pt idx="0">
                  <c:v>48275.35</c:v>
                </c:pt>
                <c:pt idx="1">
                  <c:v>49145.85</c:v>
                </c:pt>
                <c:pt idx="2">
                  <c:v>59735.95</c:v>
                </c:pt>
                <c:pt idx="3">
                  <c:v>46600.2</c:v>
                </c:pt>
                <c:pt idx="4">
                  <c:v>48936.95</c:v>
                </c:pt>
                <c:pt idx="5">
                  <c:v>56545.65</c:v>
                </c:pt>
                <c:pt idx="6">
                  <c:v>45402.7</c:v>
                </c:pt>
                <c:pt idx="7">
                  <c:v>67056.5</c:v>
                </c:pt>
                <c:pt idx="8">
                  <c:v>60333.5</c:v>
                </c:pt>
                <c:pt idx="9">
                  <c:v>65161.05</c:v>
                </c:pt>
                <c:pt idx="10">
                  <c:v>66744</c:v>
                </c:pt>
                <c:pt idx="11">
                  <c:v>52458.55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8125693"/>
        <c:axId val="1238083"/>
      </c:lineChart>
      <c:catAx>
        <c:axId val="881256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8083"/>
        <c:crosses val="autoZero"/>
        <c:auto val="1"/>
        <c:lblAlgn val="ctr"/>
        <c:lblOffset val="100"/>
        <c:noMultiLvlLbl val="0"/>
      </c:catAx>
      <c:valAx>
        <c:axId val="12380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;[RED]&quot;-₹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256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Analysis!E57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rgbClr val="c55a11"/>
            </a:solidFill>
            <a:ln w="9360">
              <a:solidFill>
                <a:srgbClr val="c55a11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Analysis!$A$58:$A$62</c:f>
              <c:strCache>
                <c:ptCount val="5"/>
                <c:pt idx="0">
                  <c:v>No discount</c:v>
                </c:pt>
                <c:pt idx="1">
                  <c:v>1-10%</c:v>
                </c:pt>
                <c:pt idx="2">
                  <c:v>11-20%</c:v>
                </c:pt>
                <c:pt idx="3">
                  <c:v>21-30%</c:v>
                </c:pt>
                <c:pt idx="4">
                  <c:v>Above 30%</c:v>
                </c:pt>
              </c:strCache>
            </c:strRef>
          </c:cat>
          <c:val>
            <c:numRef>
              <c:f>Analysis!$E$58:$E$62</c:f>
              <c:numCache>
                <c:formatCode>0.0%</c:formatCode>
                <c:ptCount val="5"/>
                <c:pt idx="0">
                  <c:v>0.348372027825582</c:v>
                </c:pt>
                <c:pt idx="1">
                  <c:v>0.266749301904968</c:v>
                </c:pt>
                <c:pt idx="2">
                  <c:v>0.18674863694091</c:v>
                </c:pt>
                <c:pt idx="3">
                  <c:v>0.0389205111628517</c:v>
                </c:pt>
                <c:pt idx="4">
                  <c:v>-0.0906032062756146</c:v>
                </c:pt>
              </c:numCache>
            </c:numRef>
          </c:val>
        </c:ser>
        <c:gapWidth val="150"/>
        <c:overlap val="0"/>
        <c:axId val="19934648"/>
        <c:axId val="46194128"/>
      </c:barChart>
      <c:catAx>
        <c:axId val="19934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94128"/>
        <c:crosses val="autoZero"/>
        <c:auto val="1"/>
        <c:lblAlgn val="ctr"/>
        <c:lblOffset val="100"/>
        <c:noMultiLvlLbl val="0"/>
      </c:catAx>
      <c:valAx>
        <c:axId val="461941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346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and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Analysis!B43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4e79"/>
            </a:solidFill>
            <a:ln w="9360">
              <a:solidFill>
                <a:srgbClr val="1f4e7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Analysis!$A$44:$A$47</c:f>
              <c:strCache>
                <c:ptCount val="4"/>
                <c:pt idx="0">
                  <c:v>Electronics</c:v>
                </c:pt>
                <c:pt idx="1">
                  <c:v>Fashion</c:v>
                </c:pt>
                <c:pt idx="2">
                  <c:v>Home &amp; Kitchen</c:v>
                </c:pt>
                <c:pt idx="3">
                  <c:v>Personal Care</c:v>
                </c:pt>
              </c:strCache>
            </c:strRef>
          </c:cat>
          <c:val>
            <c:numRef>
              <c:f>Analysis!$B$44:$B$47</c:f>
              <c:numCache>
                <c:formatCode>\₹#,##0;[RED]"-₹"#,##0</c:formatCode>
                <c:ptCount val="4"/>
                <c:pt idx="0">
                  <c:v>1128133.25</c:v>
                </c:pt>
                <c:pt idx="1">
                  <c:v>620498.7</c:v>
                </c:pt>
                <c:pt idx="2">
                  <c:v>696588.65</c:v>
                </c:pt>
                <c:pt idx="3">
                  <c:v>301535.65</c:v>
                </c:pt>
              </c:numCache>
            </c:numRef>
          </c:val>
        </c:ser>
        <c:ser>
          <c:idx val="1"/>
          <c:order val="1"/>
          <c:tx>
            <c:strRef>
              <c:f>Analysis!C43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55a11"/>
            </a:solidFill>
            <a:ln w="9360">
              <a:solidFill>
                <a:srgbClr val="c55a11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Analysis!$A$44:$A$47</c:f>
              <c:strCache>
                <c:ptCount val="4"/>
                <c:pt idx="0">
                  <c:v>Electronics</c:v>
                </c:pt>
                <c:pt idx="1">
                  <c:v>Fashion</c:v>
                </c:pt>
                <c:pt idx="2">
                  <c:v>Home &amp; Kitchen</c:v>
                </c:pt>
                <c:pt idx="3">
                  <c:v>Personal Care</c:v>
                </c:pt>
              </c:strCache>
            </c:strRef>
          </c:cat>
          <c:val>
            <c:numRef>
              <c:f>Analysis!$C$44:$C$47</c:f>
              <c:numCache>
                <c:formatCode>\₹#,##0;[RED]"-₹"#,##0</c:formatCode>
                <c:ptCount val="4"/>
                <c:pt idx="0">
                  <c:v>122443.25</c:v>
                </c:pt>
                <c:pt idx="1">
                  <c:v>255038.7</c:v>
                </c:pt>
                <c:pt idx="2">
                  <c:v>187698.65</c:v>
                </c:pt>
                <c:pt idx="3">
                  <c:v>101215.65</c:v>
                </c:pt>
              </c:numCache>
            </c:numRef>
          </c:val>
        </c:ser>
        <c:gapWidth val="150"/>
        <c:overlap val="0"/>
        <c:axId val="69237349"/>
        <c:axId val="255104"/>
      </c:barChart>
      <c:catAx>
        <c:axId val="692373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104"/>
        <c:crosses val="autoZero"/>
        <c:auto val="1"/>
        <c:lblAlgn val="ctr"/>
        <c:lblOffset val="100"/>
        <c:noMultiLvlLbl val="0"/>
      </c:catAx>
      <c:valAx>
        <c:axId val="2551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;[RED]&quot;-₹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3734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Profit: Actual vs Target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'MIS Report'!F17</c:f>
              <c:strCache>
                <c:ptCount val="1"/>
                <c:pt idx="0">
                  <c:v>Profit Actual</c:v>
                </c:pt>
              </c:strCache>
            </c:strRef>
          </c:tx>
          <c:spPr>
            <a:solidFill>
              <a:srgbClr val="c55a11"/>
            </a:solidFill>
            <a:ln w="9360">
              <a:solidFill>
                <a:srgbClr val="c55a11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'MIS Report'!$B$18:$B$29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'MIS Report'!$F$18:$F$29</c:f>
              <c:numCache>
                <c:formatCode>\₹#,##0;[RED]"-₹"#,##0</c:formatCode>
                <c:ptCount val="12"/>
                <c:pt idx="0">
                  <c:v>48275.35</c:v>
                </c:pt>
                <c:pt idx="1">
                  <c:v>49145.85</c:v>
                </c:pt>
                <c:pt idx="2">
                  <c:v>59735.95</c:v>
                </c:pt>
                <c:pt idx="3">
                  <c:v>46600.2</c:v>
                </c:pt>
                <c:pt idx="4">
                  <c:v>48936.95</c:v>
                </c:pt>
                <c:pt idx="5">
                  <c:v>56545.65</c:v>
                </c:pt>
                <c:pt idx="6">
                  <c:v>45402.7</c:v>
                </c:pt>
                <c:pt idx="7">
                  <c:v>67056.5</c:v>
                </c:pt>
                <c:pt idx="8">
                  <c:v>60333.5</c:v>
                </c:pt>
                <c:pt idx="9">
                  <c:v>65161.05</c:v>
                </c:pt>
                <c:pt idx="10">
                  <c:v>66744</c:v>
                </c:pt>
                <c:pt idx="11">
                  <c:v>52458.55</c:v>
                </c:pt>
              </c:numCache>
            </c:numRef>
          </c:val>
        </c:ser>
        <c:ser>
          <c:idx val="1"/>
          <c:order val="1"/>
          <c:tx>
            <c:strRef>
              <c:f>'MIS Report'!G17</c:f>
              <c:strCache>
                <c:ptCount val="1"/>
                <c:pt idx="0">
                  <c:v>Profit Target</c:v>
                </c:pt>
              </c:strCache>
            </c:strRef>
          </c:tx>
          <c:spPr>
            <a:solidFill>
              <a:srgbClr val="a5a5a5"/>
            </a:solidFill>
            <a:ln w="9360">
              <a:solidFill>
                <a:srgbClr val="a5a5a5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'MIS Report'!$B$18:$B$29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'MIS Report'!$G$18:$G$29</c:f>
              <c:numCache>
                <c:formatCode>\₹#,##0;[RED]"-₹"#,##0</c:formatCode>
                <c:ptCount val="12"/>
                <c:pt idx="0">
                  <c:v>50180</c:v>
                </c:pt>
                <c:pt idx="1">
                  <c:v>46800</c:v>
                </c:pt>
                <c:pt idx="2">
                  <c:v>53820</c:v>
                </c:pt>
                <c:pt idx="3">
                  <c:v>48620</c:v>
                </c:pt>
                <c:pt idx="4">
                  <c:v>50180</c:v>
                </c:pt>
                <c:pt idx="5">
                  <c:v>53820</c:v>
                </c:pt>
                <c:pt idx="6">
                  <c:v>50180</c:v>
                </c:pt>
                <c:pt idx="7">
                  <c:v>61100</c:v>
                </c:pt>
                <c:pt idx="8">
                  <c:v>61100</c:v>
                </c:pt>
                <c:pt idx="9">
                  <c:v>85800</c:v>
                </c:pt>
                <c:pt idx="10">
                  <c:v>82160</c:v>
                </c:pt>
                <c:pt idx="11">
                  <c:v>58760</c:v>
                </c:pt>
              </c:numCache>
            </c:numRef>
          </c:val>
        </c:ser>
        <c:gapWidth val="150"/>
        <c:overlap val="0"/>
        <c:axId val="49116161"/>
        <c:axId val="29841355"/>
      </c:barChart>
      <c:catAx>
        <c:axId val="491161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41355"/>
        <c:crosses val="autoZero"/>
        <c:auto val="1"/>
        <c:lblAlgn val="ctr"/>
        <c:lblOffset val="100"/>
        <c:noMultiLvlLbl val="0"/>
      </c:catAx>
      <c:valAx>
        <c:axId val="298413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;[RED]&quot;-₹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161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10</xdr:col>
      <xdr:colOff>270360</xdr:colOff>
      <xdr:row>29</xdr:row>
      <xdr:rowOff>93960</xdr:rowOff>
    </xdr:to>
    <xdr:graphicFrame>
      <xdr:nvGraphicFramePr>
        <xdr:cNvPr id="0" name="Chart 1"/>
        <xdr:cNvGraphicFramePr/>
      </xdr:nvGraphicFramePr>
      <xdr:xfrm>
        <a:off x="141120" y="3019320"/>
        <a:ext cx="629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14</xdr:row>
      <xdr:rowOff>0</xdr:rowOff>
    </xdr:from>
    <xdr:to>
      <xdr:col>20</xdr:col>
      <xdr:colOff>270360</xdr:colOff>
      <xdr:row>29</xdr:row>
      <xdr:rowOff>93960</xdr:rowOff>
    </xdr:to>
    <xdr:graphicFrame>
      <xdr:nvGraphicFramePr>
        <xdr:cNvPr id="1" name="Chart 2"/>
        <xdr:cNvGraphicFramePr/>
      </xdr:nvGraphicFramePr>
      <xdr:xfrm>
        <a:off x="6840360" y="3019320"/>
        <a:ext cx="629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10</xdr:col>
      <xdr:colOff>270360</xdr:colOff>
      <xdr:row>46</xdr:row>
      <xdr:rowOff>93960</xdr:rowOff>
    </xdr:to>
    <xdr:graphicFrame>
      <xdr:nvGraphicFramePr>
        <xdr:cNvPr id="2" name="Chart 3"/>
        <xdr:cNvGraphicFramePr/>
      </xdr:nvGraphicFramePr>
      <xdr:xfrm>
        <a:off x="141120" y="6257880"/>
        <a:ext cx="629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31</xdr:row>
      <xdr:rowOff>0</xdr:rowOff>
    </xdr:from>
    <xdr:to>
      <xdr:col>20</xdr:col>
      <xdr:colOff>270360</xdr:colOff>
      <xdr:row>46</xdr:row>
      <xdr:rowOff>93960</xdr:rowOff>
    </xdr:to>
    <xdr:graphicFrame>
      <xdr:nvGraphicFramePr>
        <xdr:cNvPr id="3" name="Chart 4"/>
        <xdr:cNvGraphicFramePr/>
      </xdr:nvGraphicFramePr>
      <xdr:xfrm>
        <a:off x="6840360" y="6257880"/>
        <a:ext cx="629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33</xdr:row>
      <xdr:rowOff>0</xdr:rowOff>
    </xdr:from>
    <xdr:to>
      <xdr:col>9</xdr:col>
      <xdr:colOff>181440</xdr:colOff>
      <xdr:row>48</xdr:row>
      <xdr:rowOff>93960</xdr:rowOff>
    </xdr:to>
    <xdr:graphicFrame>
      <xdr:nvGraphicFramePr>
        <xdr:cNvPr id="4" name="Chart 1"/>
        <xdr:cNvGraphicFramePr/>
      </xdr:nvGraphicFramePr>
      <xdr:xfrm>
        <a:off x="0" y="6858000"/>
        <a:ext cx="863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R1001" headerRowCount="1" totalsRowCount="0" totalsRowShown="0">
  <autoFilter ref="A1:R1001"/>
  <tableColumns count="18">
    <tableColumn id="1" name="Order ID"/>
    <tableColumn id="2" name="Order Date"/>
    <tableColumn id="3" name="Month No"/>
    <tableColumn id="4" name="City"/>
    <tableColumn id="5" name="Region"/>
    <tableColumn id="6" name="Channel"/>
    <tableColumn id="7" name="Category"/>
    <tableColumn id="8" name="Product"/>
    <tableColumn id="9" name="Quantity"/>
    <tableColumn id="10" name="Unit Price"/>
    <tableColumn id="11" name="Discount %"/>
    <tableColumn id="12" name="Unit Cost"/>
    <tableColumn id="13" name="Revenue"/>
    <tableColumn id="14" name="Cost"/>
    <tableColumn id="15" name="Profit"/>
    <tableColumn id="16" name="Margin %"/>
    <tableColumn id="17" name="Discount Band"/>
    <tableColumn id="18" name="Profit Lost Above Cap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T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1" min="2" style="0" width="9.51"/>
  </cols>
  <sheetData>
    <row r="2" customFormat="false" ht="33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6" customFormat="false" ht="15" hidden="false" customHeight="false" outlineLevel="0" collapsed="false">
      <c r="B6" s="3" t="s">
        <v>2</v>
      </c>
      <c r="C6" s="3"/>
      <c r="D6" s="4" t="s">
        <v>3</v>
      </c>
      <c r="E6" s="4"/>
      <c r="F6" s="3" t="s">
        <v>4</v>
      </c>
      <c r="G6" s="3"/>
      <c r="H6" s="4" t="s">
        <v>3</v>
      </c>
      <c r="I6" s="4"/>
      <c r="J6" s="3" t="s">
        <v>5</v>
      </c>
      <c r="K6" s="3"/>
      <c r="L6" s="4" t="s">
        <v>3</v>
      </c>
      <c r="M6" s="4"/>
      <c r="N6" s="3" t="s">
        <v>6</v>
      </c>
      <c r="O6" s="3"/>
      <c r="P6" s="5" t="n">
        <v>0.2</v>
      </c>
      <c r="Q6" s="6" t="s">
        <v>7</v>
      </c>
      <c r="R6" s="6"/>
      <c r="S6" s="6"/>
      <c r="T6" s="6"/>
    </row>
    <row r="8" customFormat="false" ht="15" hidden="false" customHeight="false" outlineLevel="0" collapsed="false">
      <c r="B8" s="7" t="s">
        <v>8</v>
      </c>
      <c r="C8" s="7"/>
      <c r="D8" s="7"/>
      <c r="F8" s="7" t="s">
        <v>9</v>
      </c>
      <c r="G8" s="7"/>
      <c r="H8" s="7"/>
      <c r="J8" s="7" t="s">
        <v>10</v>
      </c>
      <c r="K8" s="7"/>
      <c r="L8" s="7"/>
      <c r="N8" s="7" t="s">
        <v>11</v>
      </c>
      <c r="O8" s="7"/>
      <c r="P8" s="7"/>
      <c r="R8" s="7" t="s">
        <v>12</v>
      </c>
      <c r="S8" s="7"/>
      <c r="T8" s="7"/>
    </row>
    <row r="9" customFormat="false" ht="19.5" hidden="false" customHeight="true" outlineLevel="0" collapsed="false">
      <c r="B9" s="8" t="n">
        <f aca="false">Analysis!B9</f>
        <v>2746756.25</v>
      </c>
      <c r="C9" s="8"/>
      <c r="D9" s="8"/>
      <c r="F9" s="8" t="n">
        <f aca="false">Analysis!B10</f>
        <v>666396.25</v>
      </c>
      <c r="G9" s="8"/>
      <c r="H9" s="8"/>
      <c r="J9" s="9" t="n">
        <f aca="false">Analysis!B13</f>
        <v>0.242612081068351</v>
      </c>
      <c r="K9" s="9"/>
      <c r="L9" s="9"/>
      <c r="N9" s="10" t="n">
        <f aca="false">Analysis!B11</f>
        <v>1000</v>
      </c>
      <c r="O9" s="10"/>
      <c r="P9" s="10"/>
      <c r="R9" s="8" t="n">
        <f aca="false">Analysis!B12</f>
        <v>2746.75625</v>
      </c>
      <c r="S9" s="8"/>
      <c r="T9" s="8"/>
    </row>
    <row r="10" customFormat="false" ht="19.5" hidden="false" customHeight="true" outlineLevel="0" collapsed="false">
      <c r="B10" s="8"/>
      <c r="C10" s="8"/>
      <c r="D10" s="8"/>
      <c r="F10" s="8"/>
      <c r="G10" s="8"/>
      <c r="H10" s="8"/>
      <c r="J10" s="9"/>
      <c r="K10" s="9"/>
      <c r="L10" s="9"/>
      <c r="N10" s="10"/>
      <c r="O10" s="10"/>
      <c r="P10" s="10"/>
      <c r="R10" s="8"/>
      <c r="S10" s="8"/>
      <c r="T10" s="8"/>
    </row>
    <row r="12" customFormat="false" ht="15" hidden="false" customHeight="false" outlineLevel="0" collapsed="false">
      <c r="B12" s="11" t="str">
        <f aca="false">"What-if: capping discounts at "&amp;TEXT(DiscountCap,"0%")&amp;" would add up to "&amp;TEXT(Analysis!B17,"₹#,##0")&amp;" profit across "&amp;TEXT(Analysis!B16,"#,##0")&amp;" orders (assumes the same orders still happen)."</f>
        <v>What-if: capping discounts at 20% would add up to ₹30,346 profit across 137 orders (assumes the same orders still happen).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customFormat="false" ht="15" hidden="false" customHeight="false" outlineLevel="0" collapsed="false">
      <c r="B13" s="2" t="str">
        <f aca="false">TEXT(Analysis!B14,"#,##0")&amp;" orders lost money, a total loss of "&amp;TEXT(-Analysis!B15,"₹#,##0")&amp;"."</f>
        <v>68 orders lost money, a total loss of ₹12,554.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49" customFormat="false" ht="15" hidden="false" customHeight="false" outlineLevel="0" collapsed="false">
      <c r="B49" s="12" t="s">
        <v>13</v>
      </c>
      <c r="C49" s="12"/>
      <c r="D49" s="12"/>
      <c r="E49" s="12"/>
      <c r="F49" s="12"/>
      <c r="G49" s="12"/>
      <c r="H49" s="12"/>
      <c r="I49" s="12"/>
      <c r="J49" s="12"/>
      <c r="L49" s="12" t="s">
        <v>14</v>
      </c>
      <c r="M49" s="12"/>
      <c r="N49" s="12"/>
      <c r="O49" s="12"/>
      <c r="P49" s="12"/>
      <c r="Q49" s="12"/>
      <c r="R49" s="12"/>
      <c r="S49" s="12"/>
      <c r="T49" s="12"/>
    </row>
    <row r="50" customFormat="false" ht="15" hidden="false" customHeight="false" outlineLevel="0" collapsed="false">
      <c r="B50" s="13" t="s">
        <v>15</v>
      </c>
      <c r="C50" s="13"/>
      <c r="D50" s="13"/>
      <c r="E50" s="13"/>
      <c r="F50" s="13"/>
      <c r="G50" s="13"/>
      <c r="H50" s="13"/>
      <c r="I50" s="13"/>
      <c r="J50" s="13"/>
      <c r="L50" s="13" t="s">
        <v>16</v>
      </c>
      <c r="M50" s="13"/>
      <c r="N50" s="13"/>
      <c r="O50" s="13"/>
      <c r="P50" s="13"/>
      <c r="Q50" s="13"/>
      <c r="R50" s="13"/>
      <c r="S50" s="13"/>
      <c r="T50" s="13"/>
    </row>
    <row r="51" customFormat="false" ht="15" hidden="false" customHeight="false" outlineLevel="0" collapsed="false">
      <c r="B51" s="13" t="s">
        <v>17</v>
      </c>
      <c r="C51" s="13"/>
      <c r="D51" s="13"/>
      <c r="E51" s="13"/>
      <c r="F51" s="13"/>
      <c r="G51" s="13"/>
      <c r="H51" s="13"/>
      <c r="I51" s="13"/>
      <c r="J51" s="13"/>
      <c r="L51" s="13" t="s">
        <v>18</v>
      </c>
      <c r="M51" s="13"/>
      <c r="N51" s="13"/>
      <c r="O51" s="13"/>
      <c r="P51" s="13"/>
      <c r="Q51" s="13"/>
      <c r="R51" s="13"/>
      <c r="S51" s="13"/>
      <c r="T51" s="13"/>
    </row>
    <row r="52" customFormat="false" ht="15" hidden="false" customHeight="false" outlineLevel="0" collapsed="false">
      <c r="B52" s="13" t="s">
        <v>19</v>
      </c>
      <c r="C52" s="13"/>
      <c r="D52" s="13"/>
      <c r="E52" s="13"/>
      <c r="F52" s="13"/>
      <c r="G52" s="13"/>
      <c r="H52" s="13"/>
      <c r="I52" s="13"/>
      <c r="J52" s="13"/>
      <c r="L52" s="13" t="s">
        <v>20</v>
      </c>
      <c r="M52" s="13"/>
      <c r="N52" s="13"/>
      <c r="O52" s="13"/>
      <c r="P52" s="13"/>
      <c r="Q52" s="13"/>
      <c r="R52" s="13"/>
      <c r="S52" s="13"/>
      <c r="T52" s="13"/>
    </row>
    <row r="53" customFormat="false" ht="15" hidden="false" customHeight="false" outlineLevel="0" collapsed="false">
      <c r="B53" s="13" t="s">
        <v>21</v>
      </c>
      <c r="C53" s="13"/>
      <c r="D53" s="13"/>
      <c r="E53" s="13"/>
      <c r="F53" s="13"/>
      <c r="G53" s="13"/>
      <c r="H53" s="13"/>
      <c r="I53" s="13"/>
      <c r="J53" s="13"/>
      <c r="L53" s="13" t="s">
        <v>22</v>
      </c>
      <c r="M53" s="13"/>
      <c r="N53" s="13"/>
      <c r="O53" s="13"/>
      <c r="P53" s="13"/>
      <c r="Q53" s="13"/>
      <c r="R53" s="13"/>
      <c r="S53" s="13"/>
      <c r="T53" s="13"/>
    </row>
    <row r="54" customFormat="false" ht="15" hidden="false" customHeight="false" outlineLevel="0" collapsed="false">
      <c r="B54" s="13" t="s">
        <v>23</v>
      </c>
      <c r="C54" s="13"/>
      <c r="D54" s="13"/>
      <c r="E54" s="13"/>
      <c r="F54" s="13"/>
      <c r="G54" s="13"/>
      <c r="H54" s="13"/>
      <c r="I54" s="13"/>
      <c r="J54" s="13"/>
      <c r="L54" s="13" t="s">
        <v>24</v>
      </c>
      <c r="M54" s="13"/>
      <c r="N54" s="13"/>
      <c r="O54" s="13"/>
      <c r="P54" s="13"/>
      <c r="Q54" s="13"/>
      <c r="R54" s="13"/>
      <c r="S54" s="13"/>
      <c r="T54" s="13"/>
    </row>
    <row r="55" customFormat="false" ht="15" hidden="false" customHeight="false" outlineLevel="0" collapsed="false">
      <c r="B55" s="13" t="s">
        <v>25</v>
      </c>
      <c r="C55" s="13"/>
      <c r="D55" s="13"/>
      <c r="E55" s="13"/>
      <c r="F55" s="13"/>
      <c r="G55" s="13"/>
      <c r="H55" s="13"/>
      <c r="I55" s="13"/>
      <c r="J55" s="13"/>
      <c r="L55" s="14" t="s">
        <v>26</v>
      </c>
      <c r="M55" s="14"/>
      <c r="N55" s="14"/>
      <c r="O55" s="14"/>
      <c r="P55" s="14"/>
      <c r="Q55" s="14"/>
      <c r="R55" s="14"/>
      <c r="S55" s="14"/>
      <c r="T55" s="14"/>
    </row>
  </sheetData>
  <mergeCells count="36">
    <mergeCell ref="B2:T2"/>
    <mergeCell ref="B3:T3"/>
    <mergeCell ref="B6:C6"/>
    <mergeCell ref="D6:E6"/>
    <mergeCell ref="F6:G6"/>
    <mergeCell ref="H6:I6"/>
    <mergeCell ref="J6:K6"/>
    <mergeCell ref="L6:M6"/>
    <mergeCell ref="N6:O6"/>
    <mergeCell ref="Q6:T6"/>
    <mergeCell ref="B8:D8"/>
    <mergeCell ref="F8:H8"/>
    <mergeCell ref="J8:L8"/>
    <mergeCell ref="N8:P8"/>
    <mergeCell ref="R8:T8"/>
    <mergeCell ref="B9:D10"/>
    <mergeCell ref="F9:H10"/>
    <mergeCell ref="J9:L10"/>
    <mergeCell ref="N9:P10"/>
    <mergeCell ref="R9:T10"/>
    <mergeCell ref="B12:T12"/>
    <mergeCell ref="B13:T13"/>
    <mergeCell ref="B49:J49"/>
    <mergeCell ref="L49:T49"/>
    <mergeCell ref="B50:J50"/>
    <mergeCell ref="L50:T50"/>
    <mergeCell ref="B51:J51"/>
    <mergeCell ref="L51:T51"/>
    <mergeCell ref="B52:J52"/>
    <mergeCell ref="L52:T52"/>
    <mergeCell ref="B53:J53"/>
    <mergeCell ref="L53:T53"/>
    <mergeCell ref="B54:J54"/>
    <mergeCell ref="L54:T54"/>
    <mergeCell ref="B55:J55"/>
    <mergeCell ref="L55:T55"/>
  </mergeCells>
  <dataValidations count="4">
    <dataValidation allowBlank="false" error="Pick a value from the list." errorStyle="stop" errorTitle="Invalid choice" operator="between" showDropDown="false" showErrorMessage="false" showInputMessage="false" sqref="D6" type="list">
      <formula1>"All,North,South,East,West"</formula1>
      <formula2>0</formula2>
    </dataValidation>
    <dataValidation allowBlank="false" error="Pick a value from the list." errorStyle="stop" errorTitle="Invalid choice" operator="between" showDropDown="false" showErrorMessage="false" showInputMessage="false" sqref="H6" type="list">
      <formula1>"All,Online,Store"</formula1>
      <formula2>0</formula2>
    </dataValidation>
    <dataValidation allowBlank="false" error="Pick a value from the list." errorStyle="stop" errorTitle="Invalid choice" operator="between" showDropDown="false" showErrorMessage="false" showInputMessage="false" sqref="L6" type="list">
      <formula1>"All,Electronics,Fashion,Home &amp; Kitchen,Personal Care"</formula1>
      <formula2>0</formula2>
    </dataValidation>
    <dataValidation allowBlank="false" error="Enter a percentage between 0% and 50%." errorStyle="stop" errorTitle="Invalid discount cap" operator="between" showDropDown="false" showErrorMessage="false" showInputMessage="false" sqref="P6" type="decimal">
      <formula1>0</formula1>
      <formula2>0.5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2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4" min="3" style="0" width="15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4"/>
  </cols>
  <sheetData>
    <row r="2" customFormat="false" ht="30" hidden="false" customHeight="true" outlineLevel="0" collapsed="false">
      <c r="A2" s="15" t="s">
        <v>27</v>
      </c>
      <c r="B2" s="15"/>
      <c r="C2" s="15"/>
      <c r="D2" s="15"/>
      <c r="E2" s="15"/>
      <c r="F2" s="15"/>
      <c r="G2" s="15"/>
      <c r="H2" s="15"/>
      <c r="I2" s="15"/>
      <c r="J2" s="15"/>
    </row>
    <row r="3" customFormat="false" ht="15" hidden="false" customHeight="false" outlineLevel="0" collapsed="false">
      <c r="A3" s="2" t="s">
        <v>28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A5" s="16" t="s">
        <v>29</v>
      </c>
      <c r="B5" s="4" t="s">
        <v>30</v>
      </c>
      <c r="C5" s="17" t="s">
        <v>31</v>
      </c>
      <c r="E5" s="18" t="s">
        <v>32</v>
      </c>
      <c r="F5" s="19" t="n">
        <f aca="false">MATCH(B5,Targets!$A$6:$A$17,0)</f>
        <v>10</v>
      </c>
    </row>
    <row r="7" customFormat="false" ht="15" hidden="false" customHeight="false" outlineLevel="0" collapsed="false">
      <c r="A7" s="20" t="s">
        <v>33</v>
      </c>
      <c r="B7" s="20"/>
      <c r="C7" s="20"/>
      <c r="D7" s="20"/>
      <c r="E7" s="20"/>
      <c r="F7" s="20"/>
      <c r="G7" s="20"/>
      <c r="H7" s="20"/>
      <c r="I7" s="20"/>
      <c r="J7" s="20"/>
    </row>
    <row r="8" customFormat="false" ht="30" hidden="false" customHeight="true" outlineLevel="0" collapsed="false">
      <c r="A8" s="21" t="s">
        <v>34</v>
      </c>
      <c r="B8" s="21" t="s">
        <v>35</v>
      </c>
      <c r="C8" s="21" t="s">
        <v>36</v>
      </c>
      <c r="D8" s="21" t="s">
        <v>37</v>
      </c>
      <c r="E8" s="21" t="s">
        <v>38</v>
      </c>
      <c r="F8" s="21" t="s">
        <v>39</v>
      </c>
      <c r="G8" s="21" t="s">
        <v>40</v>
      </c>
      <c r="H8" s="21" t="s">
        <v>41</v>
      </c>
      <c r="I8" s="21" t="s">
        <v>42</v>
      </c>
      <c r="J8" s="21" t="s">
        <v>43</v>
      </c>
    </row>
    <row r="9" customFormat="false" ht="15" hidden="false" customHeight="false" outlineLevel="0" collapsed="false">
      <c r="A9" s="22" t="s">
        <v>44</v>
      </c>
      <c r="B9" s="23" t="n">
        <f aca="false">SUMIFS(Revenue,Region,$A9,OrderMonth,$F$5)</f>
        <v>56972.3</v>
      </c>
      <c r="C9" s="23" t="n">
        <f aca="false">INDEX(Targets!$B$6:$E$17,$F$5,MATCH($A9,Targets!$B$5:$E$5,0))</f>
        <v>83000</v>
      </c>
      <c r="D9" s="23" t="n">
        <f aca="false">B9-C9</f>
        <v>-26027.7</v>
      </c>
      <c r="E9" s="24" t="n">
        <f aca="false">IF(C9=0,0,B9/C9)</f>
        <v>0.686413253012048</v>
      </c>
      <c r="F9" s="23" t="n">
        <f aca="false">SUMIFS(Profit,Region,$A9,OrderMonth,$F$5)</f>
        <v>11532.3</v>
      </c>
      <c r="G9" s="23" t="n">
        <f aca="false">INDEX(Targets!$B$22:$E$33,$F$5,MATCH($A9,Targets!$B$21:$E$21,0))</f>
        <v>21580</v>
      </c>
      <c r="H9" s="24" t="n">
        <f aca="false">IF(G9=0,0,F9/G9)</f>
        <v>0.534397590361446</v>
      </c>
      <c r="I9" s="24" t="n">
        <f aca="false">IF(B9=0,0,F9/B9)</f>
        <v>0.202419421367928</v>
      </c>
      <c r="J9" s="25" t="n">
        <f aca="false">IF($F$5=1,"n/a",IFERROR(B9/SUMIFS(Revenue,Region,$A9,OrderMonth,$F$5-1)-1,"n/a"))</f>
        <v>-0.142576786094562</v>
      </c>
    </row>
    <row r="10" customFormat="false" ht="15" hidden="false" customHeight="false" outlineLevel="0" collapsed="false">
      <c r="A10" s="22" t="s">
        <v>45</v>
      </c>
      <c r="B10" s="23" t="n">
        <f aca="false">SUMIFS(Revenue,Region,$A10,OrderMonth,$F$5)</f>
        <v>115295.2</v>
      </c>
      <c r="C10" s="23" t="n">
        <f aca="false">INDEX(Targets!$B$6:$E$17,$F$5,MATCH($A10,Targets!$B$5:$E$5,0))</f>
        <v>102000</v>
      </c>
      <c r="D10" s="23" t="n">
        <f aca="false">B10-C10</f>
        <v>13295.2</v>
      </c>
      <c r="E10" s="24" t="n">
        <f aca="false">IF(C10=0,0,B10/C10)</f>
        <v>1.13034509803922</v>
      </c>
      <c r="F10" s="23" t="n">
        <f aca="false">SUMIFS(Profit,Region,$A10,OrderMonth,$F$5)</f>
        <v>20445.2</v>
      </c>
      <c r="G10" s="23" t="n">
        <f aca="false">INDEX(Targets!$B$22:$E$33,$F$5,MATCH($A10,Targets!$B$21:$E$21,0))</f>
        <v>26520</v>
      </c>
      <c r="H10" s="24" t="n">
        <f aca="false">IF(G10=0,0,F10/G10)</f>
        <v>0.770935143288084</v>
      </c>
      <c r="I10" s="24" t="n">
        <f aca="false">IF(B10=0,0,F10/B10)</f>
        <v>0.177329151603883</v>
      </c>
      <c r="J10" s="25" t="n">
        <f aca="false">IF($F$5=1,"n/a",IFERROR(B10/SUMIFS(Revenue,Region,$A10,OrderMonth,$F$5-1)-1,"n/a"))</f>
        <v>0.865296676220037</v>
      </c>
    </row>
    <row r="11" customFormat="false" ht="15" hidden="false" customHeight="false" outlineLevel="0" collapsed="false">
      <c r="A11" s="22" t="s">
        <v>46</v>
      </c>
      <c r="B11" s="23" t="n">
        <f aca="false">SUMIFS(Revenue,Region,$A11,OrderMonth,$F$5)</f>
        <v>46884.25</v>
      </c>
      <c r="C11" s="23" t="n">
        <f aca="false">INDEX(Targets!$B$6:$E$17,$F$5,MATCH($A11,Targets!$B$5:$E$5,0))</f>
        <v>46000</v>
      </c>
      <c r="D11" s="23" t="n">
        <f aca="false">B11-C11</f>
        <v>884.25</v>
      </c>
      <c r="E11" s="24" t="n">
        <f aca="false">IF(C11=0,0,B11/C11)</f>
        <v>1.01922282608696</v>
      </c>
      <c r="F11" s="23" t="n">
        <f aca="false">SUMIFS(Profit,Region,$A11,OrderMonth,$F$5)</f>
        <v>7074.25</v>
      </c>
      <c r="G11" s="23" t="n">
        <f aca="false">INDEX(Targets!$B$22:$E$33,$F$5,MATCH($A11,Targets!$B$21:$E$21,0))</f>
        <v>11960</v>
      </c>
      <c r="H11" s="24" t="n">
        <f aca="false">IF(G11=0,0,F11/G11)</f>
        <v>0.591492474916388</v>
      </c>
      <c r="I11" s="24" t="n">
        <f aca="false">IF(B11=0,0,F11/B11)</f>
        <v>0.150887558188517</v>
      </c>
      <c r="J11" s="25" t="n">
        <f aca="false">IF($F$5=1,"n/a",IFERROR(B11/SUMIFS(Revenue,Region,$A11,OrderMonth,$F$5-1)-1,"n/a"))</f>
        <v>-0.230929165942174</v>
      </c>
    </row>
    <row r="12" customFormat="false" ht="15" hidden="false" customHeight="false" outlineLevel="0" collapsed="false">
      <c r="A12" s="22" t="s">
        <v>47</v>
      </c>
      <c r="B12" s="23" t="n">
        <f aca="false">SUMIFS(Revenue,Region,$A12,OrderMonth,$F$5)</f>
        <v>120729.3</v>
      </c>
      <c r="C12" s="23" t="n">
        <f aca="false">INDEX(Targets!$B$6:$E$17,$F$5,MATCH($A12,Targets!$B$5:$E$5,0))</f>
        <v>99000</v>
      </c>
      <c r="D12" s="23" t="n">
        <f aca="false">B12-C12</f>
        <v>21729.3</v>
      </c>
      <c r="E12" s="24" t="n">
        <f aca="false">IF(C12=0,0,B12/C12)</f>
        <v>1.21948787878788</v>
      </c>
      <c r="F12" s="23" t="n">
        <f aca="false">SUMIFS(Profit,Region,$A12,OrderMonth,$F$5)</f>
        <v>26109.3</v>
      </c>
      <c r="G12" s="23" t="n">
        <f aca="false">INDEX(Targets!$B$22:$E$33,$F$5,MATCH($A12,Targets!$B$21:$E$21,0))</f>
        <v>25740</v>
      </c>
      <c r="H12" s="24" t="n">
        <f aca="false">IF(G12=0,0,F12/G12)</f>
        <v>1.01434731934732</v>
      </c>
      <c r="I12" s="24" t="n">
        <f aca="false">IF(B12=0,0,F12/B12)</f>
        <v>0.216263160641203</v>
      </c>
      <c r="J12" s="25" t="n">
        <f aca="false">IF($F$5=1,"n/a",IFERROR(B12/SUMIFS(Revenue,Region,$A12,OrderMonth,$F$5-1)-1,"n/a"))</f>
        <v>0.806386502819643</v>
      </c>
    </row>
    <row r="13" customFormat="false" ht="15" hidden="false" customHeight="false" outlineLevel="0" collapsed="false">
      <c r="A13" s="26" t="s">
        <v>48</v>
      </c>
      <c r="B13" s="27" t="n">
        <f aca="false">SUM(B9:B12)</f>
        <v>339881.05</v>
      </c>
      <c r="C13" s="27" t="n">
        <f aca="false">SUM(C9:C12)</f>
        <v>330000</v>
      </c>
      <c r="D13" s="27" t="n">
        <f aca="false">SUM(D9:D12)</f>
        <v>9881.05</v>
      </c>
      <c r="E13" s="28" t="n">
        <f aca="false">IF(C13=0,0,B13/C13)</f>
        <v>1.02994257575758</v>
      </c>
      <c r="F13" s="27" t="n">
        <f aca="false">SUM(F9:F12)</f>
        <v>65161.05</v>
      </c>
      <c r="G13" s="27" t="n">
        <f aca="false">SUM(G9:G12)</f>
        <v>85800</v>
      </c>
      <c r="H13" s="28" t="n">
        <f aca="false">IF(G13=0,0,F13/G13)</f>
        <v>0.759452797202797</v>
      </c>
      <c r="I13" s="28" t="n">
        <f aca="false">IF(B13=0,0,F13/B13)</f>
        <v>0.191717219892077</v>
      </c>
      <c r="J13" s="29" t="n">
        <f aca="false">IF($F$5=1,"n/a",IFERROR(B13/SUMIFS(Revenue,OrderMonth,$F$5-1)-1,"n/a"))</f>
        <v>0.327382949266462</v>
      </c>
    </row>
    <row r="14" customFormat="false" ht="15" hidden="false" customHeight="false" outlineLevel="0" collapsed="false">
      <c r="A14" s="30" t="str">
        <f aca="false">"Summary: in "&amp;B5&amp;", revenue reached "&amp;TEXT(E13,"0%")&amp;" of target and profit reached "&amp;TEXT(H13,"0%")&amp;" of target, at a "&amp;TEXT(I13,"0.0%")&amp;" margin."</f>
        <v>Summary: in Oct, revenue reached 103% of target and profit reached 76% of target, at a 19.2% margin.</v>
      </c>
      <c r="B14" s="30"/>
      <c r="C14" s="30"/>
      <c r="D14" s="30"/>
      <c r="E14" s="30"/>
      <c r="F14" s="30"/>
      <c r="G14" s="30"/>
      <c r="H14" s="30"/>
      <c r="I14" s="30"/>
      <c r="J14" s="30"/>
    </row>
    <row r="16" customFormat="false" ht="15" hidden="false" customHeight="false" outlineLevel="0" collapsed="false">
      <c r="A16" s="20" t="s">
        <v>49</v>
      </c>
      <c r="B16" s="20"/>
      <c r="C16" s="20"/>
      <c r="D16" s="20"/>
      <c r="E16" s="20"/>
      <c r="F16" s="20"/>
      <c r="G16" s="20"/>
      <c r="H16" s="20"/>
      <c r="I16" s="20"/>
      <c r="J16" s="20"/>
    </row>
    <row r="17" customFormat="false" ht="30" hidden="false" customHeight="true" outlineLevel="0" collapsed="false">
      <c r="A17" s="21" t="s">
        <v>50</v>
      </c>
      <c r="B17" s="21" t="s">
        <v>51</v>
      </c>
      <c r="C17" s="21" t="s">
        <v>35</v>
      </c>
      <c r="D17" s="21" t="s">
        <v>36</v>
      </c>
      <c r="E17" s="21" t="s">
        <v>38</v>
      </c>
      <c r="F17" s="21" t="s">
        <v>39</v>
      </c>
      <c r="G17" s="21" t="s">
        <v>40</v>
      </c>
      <c r="H17" s="21" t="s">
        <v>41</v>
      </c>
      <c r="I17" s="21" t="s">
        <v>42</v>
      </c>
      <c r="J17" s="21" t="s">
        <v>43</v>
      </c>
    </row>
    <row r="18" customFormat="false" ht="15" hidden="false" customHeight="false" outlineLevel="0" collapsed="false">
      <c r="A18" s="31" t="n">
        <v>1</v>
      </c>
      <c r="B18" s="22" t="s">
        <v>52</v>
      </c>
      <c r="C18" s="23" t="n">
        <f aca="false">SUMIFS(Revenue,OrderMonth,$A18)</f>
        <v>192915.35</v>
      </c>
      <c r="D18" s="23" t="n">
        <f aca="false">Targets!F6</f>
        <v>193000</v>
      </c>
      <c r="E18" s="24" t="n">
        <f aca="false">IF(D18=0,0,C18/D18)</f>
        <v>0.999561398963731</v>
      </c>
      <c r="F18" s="23" t="n">
        <f aca="false">SUMIFS(Profit,OrderMonth,$A18)</f>
        <v>48275.35</v>
      </c>
      <c r="G18" s="23" t="n">
        <f aca="false">Targets!F22</f>
        <v>50180</v>
      </c>
      <c r="H18" s="24" t="n">
        <f aca="false">IF(G18=0,0,F18/G18)</f>
        <v>0.962043642885612</v>
      </c>
      <c r="I18" s="24" t="n">
        <f aca="false">IF(C18=0,0,F18/C18)</f>
        <v>0.250241103157421</v>
      </c>
      <c r="J18" s="25" t="str">
        <f aca="false">"n/a"</f>
        <v>n/a</v>
      </c>
    </row>
    <row r="19" customFormat="false" ht="15" hidden="false" customHeight="false" outlineLevel="0" collapsed="false">
      <c r="A19" s="31" t="n">
        <v>2</v>
      </c>
      <c r="B19" s="22" t="s">
        <v>53</v>
      </c>
      <c r="C19" s="23" t="n">
        <f aca="false">SUMIFS(Revenue,OrderMonth,$A19)</f>
        <v>166335.85</v>
      </c>
      <c r="D19" s="23" t="n">
        <f aca="false">Targets!F7</f>
        <v>180000</v>
      </c>
      <c r="E19" s="24" t="n">
        <f aca="false">IF(D19=0,0,C19/D19)</f>
        <v>0.924088055555556</v>
      </c>
      <c r="F19" s="23" t="n">
        <f aca="false">SUMIFS(Profit,OrderMonth,$A19)</f>
        <v>49145.85</v>
      </c>
      <c r="G19" s="23" t="n">
        <f aca="false">Targets!F23</f>
        <v>46800</v>
      </c>
      <c r="H19" s="24" t="n">
        <f aca="false">IF(G19=0,0,F19/G19)</f>
        <v>1.050125</v>
      </c>
      <c r="I19" s="24" t="n">
        <f aca="false">IF(C19=0,0,F19/C19)</f>
        <v>0.295461561653726</v>
      </c>
      <c r="J19" s="25" t="n">
        <f aca="false">IF(C18=0,"n/a",C19/C18-1)</f>
        <v>-0.137778046174138</v>
      </c>
    </row>
    <row r="20" customFormat="false" ht="15" hidden="false" customHeight="false" outlineLevel="0" collapsed="false">
      <c r="A20" s="31" t="n">
        <v>3</v>
      </c>
      <c r="B20" s="22" t="s">
        <v>54</v>
      </c>
      <c r="C20" s="23" t="n">
        <f aca="false">SUMIFS(Revenue,OrderMonth,$A20)</f>
        <v>218425.95</v>
      </c>
      <c r="D20" s="23" t="n">
        <f aca="false">Targets!F8</f>
        <v>207000</v>
      </c>
      <c r="E20" s="24" t="n">
        <f aca="false">IF(D20=0,0,C20/D20)</f>
        <v>1.05519782608696</v>
      </c>
      <c r="F20" s="23" t="n">
        <f aca="false">SUMIFS(Profit,OrderMonth,$A20)</f>
        <v>59735.95</v>
      </c>
      <c r="G20" s="23" t="n">
        <f aca="false">Targets!F24</f>
        <v>53820</v>
      </c>
      <c r="H20" s="24" t="n">
        <f aca="false">IF(G20=0,0,F20/G20)</f>
        <v>1.10992103307321</v>
      </c>
      <c r="I20" s="24" t="n">
        <f aca="false">IF(C20=0,0,F20/C20)</f>
        <v>0.273483759599077</v>
      </c>
      <c r="J20" s="25" t="n">
        <f aca="false">IF(C19=0,"n/a",C20/C19-1)</f>
        <v>0.31316219564213</v>
      </c>
    </row>
    <row r="21" customFormat="false" ht="15" hidden="false" customHeight="false" outlineLevel="0" collapsed="false">
      <c r="A21" s="31" t="n">
        <v>4</v>
      </c>
      <c r="B21" s="22" t="s">
        <v>55</v>
      </c>
      <c r="C21" s="23" t="n">
        <f aca="false">SUMIFS(Revenue,OrderMonth,$A21)</f>
        <v>174660.2</v>
      </c>
      <c r="D21" s="23" t="n">
        <f aca="false">Targets!F9</f>
        <v>187000</v>
      </c>
      <c r="E21" s="24" t="n">
        <f aca="false">IF(D21=0,0,C21/D21)</f>
        <v>0.934011764705882</v>
      </c>
      <c r="F21" s="23" t="n">
        <f aca="false">SUMIFS(Profit,OrderMonth,$A21)</f>
        <v>46600.2</v>
      </c>
      <c r="G21" s="23" t="n">
        <f aca="false">Targets!F25</f>
        <v>48620</v>
      </c>
      <c r="H21" s="24" t="n">
        <f aca="false">IF(G21=0,0,F21/G21)</f>
        <v>0.958457424928013</v>
      </c>
      <c r="I21" s="24" t="n">
        <f aca="false">IF(C21=0,0,F21/C21)</f>
        <v>0.266804916059869</v>
      </c>
      <c r="J21" s="25" t="n">
        <f aca="false">IF(C20=0,"n/a",C21/C20-1)</f>
        <v>-0.200368820646082</v>
      </c>
    </row>
    <row r="22" customFormat="false" ht="15" hidden="false" customHeight="false" outlineLevel="0" collapsed="false">
      <c r="A22" s="31" t="n">
        <v>5</v>
      </c>
      <c r="B22" s="22" t="s">
        <v>56</v>
      </c>
      <c r="C22" s="23" t="n">
        <f aca="false">SUMIFS(Revenue,OrderMonth,$A22)</f>
        <v>188356.95</v>
      </c>
      <c r="D22" s="23" t="n">
        <f aca="false">Targets!F10</f>
        <v>193000</v>
      </c>
      <c r="E22" s="24" t="n">
        <f aca="false">IF(D22=0,0,C22/D22)</f>
        <v>0.97594274611399</v>
      </c>
      <c r="F22" s="23" t="n">
        <f aca="false">SUMIFS(Profit,OrderMonth,$A22)</f>
        <v>48936.95</v>
      </c>
      <c r="G22" s="23" t="n">
        <f aca="false">Targets!F26</f>
        <v>50180</v>
      </c>
      <c r="H22" s="24" t="n">
        <f aca="false">IF(G22=0,0,F22/G22)</f>
        <v>0.975228178557194</v>
      </c>
      <c r="I22" s="24" t="n">
        <f aca="false">IF(C22=0,0,F22/C22)</f>
        <v>0.259809632721277</v>
      </c>
      <c r="J22" s="25" t="n">
        <f aca="false">IF(C21=0,"n/a",C22/C21-1)</f>
        <v>0.078419410947657</v>
      </c>
    </row>
    <row r="23" customFormat="false" ht="15" hidden="false" customHeight="false" outlineLevel="0" collapsed="false">
      <c r="A23" s="31" t="n">
        <v>6</v>
      </c>
      <c r="B23" s="22" t="s">
        <v>57</v>
      </c>
      <c r="C23" s="23" t="n">
        <f aca="false">SUMIFS(Revenue,OrderMonth,$A23)</f>
        <v>224305.65</v>
      </c>
      <c r="D23" s="23" t="n">
        <f aca="false">Targets!F11</f>
        <v>207000</v>
      </c>
      <c r="E23" s="24" t="n">
        <f aca="false">IF(D23=0,0,C23/D23)</f>
        <v>1.08360217391304</v>
      </c>
      <c r="F23" s="23" t="n">
        <f aca="false">SUMIFS(Profit,OrderMonth,$A23)</f>
        <v>56545.65</v>
      </c>
      <c r="G23" s="23" t="n">
        <f aca="false">Targets!F27</f>
        <v>53820</v>
      </c>
      <c r="H23" s="24" t="n">
        <f aca="false">IF(G23=0,0,F23/G23)</f>
        <v>1.05064381270903</v>
      </c>
      <c r="I23" s="24" t="n">
        <f aca="false">IF(C23=0,0,F23/C23)</f>
        <v>0.252091955775523</v>
      </c>
      <c r="J23" s="25" t="n">
        <f aca="false">IF(C22=0,"n/a",C23/C22-1)</f>
        <v>0.190854120328451</v>
      </c>
    </row>
    <row r="24" customFormat="false" ht="15" hidden="false" customHeight="false" outlineLevel="0" collapsed="false">
      <c r="A24" s="31" t="n">
        <v>7</v>
      </c>
      <c r="B24" s="22" t="s">
        <v>58</v>
      </c>
      <c r="C24" s="23" t="n">
        <f aca="false">SUMIFS(Revenue,OrderMonth,$A24)</f>
        <v>196882.7</v>
      </c>
      <c r="D24" s="23" t="n">
        <f aca="false">Targets!F12</f>
        <v>193000</v>
      </c>
      <c r="E24" s="24" t="n">
        <f aca="false">IF(D24=0,0,C24/D24)</f>
        <v>1.02011761658031</v>
      </c>
      <c r="F24" s="23" t="n">
        <f aca="false">SUMIFS(Profit,OrderMonth,$A24)</f>
        <v>45402.7</v>
      </c>
      <c r="G24" s="23" t="n">
        <f aca="false">Targets!F28</f>
        <v>50180</v>
      </c>
      <c r="H24" s="24" t="n">
        <f aca="false">IF(G24=0,0,F24/G24)</f>
        <v>0.904796731765644</v>
      </c>
      <c r="I24" s="24" t="n">
        <f aca="false">IF(C24=0,0,F24/C24)</f>
        <v>0.230607869558879</v>
      </c>
      <c r="J24" s="25" t="n">
        <f aca="false">IF(C23=0,"n/a",C24/C23-1)</f>
        <v>-0.122257063074425</v>
      </c>
    </row>
    <row r="25" customFormat="false" ht="15" hidden="false" customHeight="false" outlineLevel="0" collapsed="false">
      <c r="A25" s="31" t="n">
        <v>8</v>
      </c>
      <c r="B25" s="22" t="s">
        <v>59</v>
      </c>
      <c r="C25" s="23" t="n">
        <f aca="false">SUMIFS(Revenue,OrderMonth,$A25)</f>
        <v>266956.5</v>
      </c>
      <c r="D25" s="23" t="n">
        <f aca="false">Targets!F13</f>
        <v>235000</v>
      </c>
      <c r="E25" s="24" t="n">
        <f aca="false">IF(D25=0,0,C25/D25)</f>
        <v>1.13598510638298</v>
      </c>
      <c r="F25" s="23" t="n">
        <f aca="false">SUMIFS(Profit,OrderMonth,$A25)</f>
        <v>67056.5</v>
      </c>
      <c r="G25" s="23" t="n">
        <f aca="false">Targets!F29</f>
        <v>61100</v>
      </c>
      <c r="H25" s="24" t="n">
        <f aca="false">IF(G25=0,0,F25/G25)</f>
        <v>1.09748772504092</v>
      </c>
      <c r="I25" s="24" t="n">
        <f aca="false">IF(C25=0,0,F25/C25)</f>
        <v>0.251188864103328</v>
      </c>
      <c r="J25" s="25" t="n">
        <f aca="false">IF(C24=0,"n/a",C25/C24-1)</f>
        <v>0.355916492408932</v>
      </c>
    </row>
    <row r="26" customFormat="false" ht="15" hidden="false" customHeight="false" outlineLevel="0" collapsed="false">
      <c r="A26" s="31" t="n">
        <v>9</v>
      </c>
      <c r="B26" s="22" t="s">
        <v>60</v>
      </c>
      <c r="C26" s="23" t="n">
        <f aca="false">SUMIFS(Revenue,OrderMonth,$A26)</f>
        <v>256053.5</v>
      </c>
      <c r="D26" s="23" t="n">
        <f aca="false">Targets!F14</f>
        <v>235000</v>
      </c>
      <c r="E26" s="24" t="n">
        <f aca="false">IF(D26=0,0,C26/D26)</f>
        <v>1.08958936170213</v>
      </c>
      <c r="F26" s="23" t="n">
        <f aca="false">SUMIFS(Profit,OrderMonth,$A26)</f>
        <v>60333.5</v>
      </c>
      <c r="G26" s="23" t="n">
        <f aca="false">Targets!F30</f>
        <v>61100</v>
      </c>
      <c r="H26" s="24" t="n">
        <f aca="false">IF(G26=0,0,F26/G26)</f>
        <v>0.987454991816694</v>
      </c>
      <c r="I26" s="24" t="n">
        <f aca="false">IF(C26=0,0,F26/C26)</f>
        <v>0.235628491701929</v>
      </c>
      <c r="J26" s="25" t="n">
        <f aca="false">IF(C25=0,"n/a",C26/C25-1)</f>
        <v>-0.0408418600034088</v>
      </c>
    </row>
    <row r="27" customFormat="false" ht="15" hidden="false" customHeight="false" outlineLevel="0" collapsed="false">
      <c r="A27" s="31" t="n">
        <v>10</v>
      </c>
      <c r="B27" s="22" t="s">
        <v>30</v>
      </c>
      <c r="C27" s="23" t="n">
        <f aca="false">SUMIFS(Revenue,OrderMonth,$A27)</f>
        <v>339881.05</v>
      </c>
      <c r="D27" s="23" t="n">
        <f aca="false">Targets!F15</f>
        <v>330000</v>
      </c>
      <c r="E27" s="24" t="n">
        <f aca="false">IF(D27=0,0,C27/D27)</f>
        <v>1.02994257575758</v>
      </c>
      <c r="F27" s="23" t="n">
        <f aca="false">SUMIFS(Profit,OrderMonth,$A27)</f>
        <v>65161.05</v>
      </c>
      <c r="G27" s="23" t="n">
        <f aca="false">Targets!F31</f>
        <v>85800</v>
      </c>
      <c r="H27" s="24" t="n">
        <f aca="false">IF(G27=0,0,F27/G27)</f>
        <v>0.759452797202797</v>
      </c>
      <c r="I27" s="24" t="n">
        <f aca="false">IF(C27=0,0,F27/C27)</f>
        <v>0.191717219892077</v>
      </c>
      <c r="J27" s="25" t="n">
        <f aca="false">IF(C26=0,"n/a",C27/C26-1)</f>
        <v>0.327382949266462</v>
      </c>
    </row>
    <row r="28" customFormat="false" ht="15" hidden="false" customHeight="false" outlineLevel="0" collapsed="false">
      <c r="A28" s="31" t="n">
        <v>11</v>
      </c>
      <c r="B28" s="22" t="s">
        <v>61</v>
      </c>
      <c r="C28" s="23" t="n">
        <f aca="false">SUMIFS(Revenue,OrderMonth,$A28)</f>
        <v>323564</v>
      </c>
      <c r="D28" s="23" t="n">
        <f aca="false">Targets!F16</f>
        <v>316000</v>
      </c>
      <c r="E28" s="24" t="n">
        <f aca="false">IF(D28=0,0,C28/D28)</f>
        <v>1.02393670886076</v>
      </c>
      <c r="F28" s="23" t="n">
        <f aca="false">SUMIFS(Profit,OrderMonth,$A28)</f>
        <v>66744</v>
      </c>
      <c r="G28" s="23" t="n">
        <f aca="false">Targets!F32</f>
        <v>82160</v>
      </c>
      <c r="H28" s="24" t="n">
        <f aca="false">IF(G28=0,0,F28/G28)</f>
        <v>0.81236611489776</v>
      </c>
      <c r="I28" s="24" t="n">
        <f aca="false">IF(C28=0,0,F28/C28)</f>
        <v>0.206277583414719</v>
      </c>
      <c r="J28" s="25" t="n">
        <f aca="false">IF(C27=0,"n/a",C28/C27-1)</f>
        <v>-0.0480081193111531</v>
      </c>
    </row>
    <row r="29" customFormat="false" ht="15" hidden="false" customHeight="false" outlineLevel="0" collapsed="false">
      <c r="A29" s="31" t="n">
        <v>12</v>
      </c>
      <c r="B29" s="22" t="s">
        <v>62</v>
      </c>
      <c r="C29" s="23" t="n">
        <f aca="false">SUMIFS(Revenue,OrderMonth,$A29)</f>
        <v>198418.55</v>
      </c>
      <c r="D29" s="23" t="n">
        <f aca="false">Targets!F17</f>
        <v>226000</v>
      </c>
      <c r="E29" s="24" t="n">
        <f aca="false">IF(D29=0,0,C29/D29)</f>
        <v>0.877958185840708</v>
      </c>
      <c r="F29" s="23" t="n">
        <f aca="false">SUMIFS(Profit,OrderMonth,$A29)</f>
        <v>52458.55</v>
      </c>
      <c r="G29" s="23" t="n">
        <f aca="false">Targets!F33</f>
        <v>58760</v>
      </c>
      <c r="H29" s="24" t="n">
        <f aca="false">IF(G29=0,0,F29/G29)</f>
        <v>0.892759530292716</v>
      </c>
      <c r="I29" s="24" t="n">
        <f aca="false">IF(C29=0,0,F29/C29)</f>
        <v>0.26438329480787</v>
      </c>
      <c r="J29" s="25" t="n">
        <f aca="false">IF(C28=0,"n/a",C29/C28-1)</f>
        <v>-0.386771859663003</v>
      </c>
    </row>
    <row r="30" customFormat="false" ht="15" hidden="false" customHeight="false" outlineLevel="0" collapsed="false">
      <c r="A30" s="32"/>
      <c r="B30" s="26" t="s">
        <v>63</v>
      </c>
      <c r="C30" s="27" t="n">
        <f aca="false">SUM(C18:C29)</f>
        <v>2746756.25</v>
      </c>
      <c r="D30" s="27" t="n">
        <f aca="false">SUM(D18:D29)</f>
        <v>2702000</v>
      </c>
      <c r="E30" s="28" t="n">
        <f aca="false">IF(D30=0,0,C30/D30)</f>
        <v>1.01656411917098</v>
      </c>
      <c r="F30" s="27" t="n">
        <f aca="false">SUM(F18:F29)</f>
        <v>666396.25</v>
      </c>
      <c r="G30" s="27" t="n">
        <f aca="false">SUM(G18:G29)</f>
        <v>702520</v>
      </c>
      <c r="H30" s="28" t="n">
        <f aca="false">IF(G30=0,0,F30/G30)</f>
        <v>0.948579755736491</v>
      </c>
      <c r="I30" s="28" t="n">
        <f aca="false">IF(C30=0,0,F30/C30)</f>
        <v>0.242612081068351</v>
      </c>
      <c r="J30" s="32"/>
    </row>
    <row r="32" customFormat="false" ht="15" hidden="false" customHeight="false" outlineLevel="0" collapsed="false">
      <c r="A32" s="17" t="s">
        <v>64</v>
      </c>
    </row>
  </sheetData>
  <mergeCells count="5">
    <mergeCell ref="A2:J2"/>
    <mergeCell ref="A3:J3"/>
    <mergeCell ref="A7:J7"/>
    <mergeCell ref="A14:J14"/>
    <mergeCell ref="A16:J16"/>
  </mergeCells>
  <conditionalFormatting sqref="E9:E13">
    <cfRule type="cellIs" priority="2" operator="greaterThanOrEqual" aboveAverage="0" equalAverage="0" bottom="0" percent="0" rank="0" text="" dxfId="0">
      <formula>1</formula>
    </cfRule>
    <cfRule type="cellIs" priority="3" operator="between" aboveAverage="0" equalAverage="0" bottom="0" percent="0" rank="0" text="" dxfId="1">
      <formula>0.95</formula>
      <formula>0.99999</formula>
    </cfRule>
    <cfRule type="cellIs" priority="4" operator="lessThan" aboveAverage="0" equalAverage="0" bottom="0" percent="0" rank="0" text="" dxfId="2">
      <formula>0.95</formula>
    </cfRule>
  </conditionalFormatting>
  <conditionalFormatting sqref="H9:H13">
    <cfRule type="cellIs" priority="5" operator="greaterThanOrEqual" aboveAverage="0" equalAverage="0" bottom="0" percent="0" rank="0" text="" dxfId="0">
      <formula>1</formula>
    </cfRule>
    <cfRule type="cellIs" priority="6" operator="between" aboveAverage="0" equalAverage="0" bottom="0" percent="0" rank="0" text="" dxfId="1">
      <formula>0.95</formula>
      <formula>0.99999</formula>
    </cfRule>
    <cfRule type="cellIs" priority="7" operator="lessThan" aboveAverage="0" equalAverage="0" bottom="0" percent="0" rank="0" text="" dxfId="2">
      <formula>0.95</formula>
    </cfRule>
  </conditionalFormatting>
  <conditionalFormatting sqref="E18:E30">
    <cfRule type="cellIs" priority="8" operator="greaterThanOrEqual" aboveAverage="0" equalAverage="0" bottom="0" percent="0" rank="0" text="" dxfId="0">
      <formula>1</formula>
    </cfRule>
    <cfRule type="cellIs" priority="9" operator="between" aboveAverage="0" equalAverage="0" bottom="0" percent="0" rank="0" text="" dxfId="1">
      <formula>0.95</formula>
      <formula>0.99999</formula>
    </cfRule>
    <cfRule type="cellIs" priority="10" operator="lessThan" aboveAverage="0" equalAverage="0" bottom="0" percent="0" rank="0" text="" dxfId="2">
      <formula>0.95</formula>
    </cfRule>
  </conditionalFormatting>
  <conditionalFormatting sqref="H18:H30">
    <cfRule type="cellIs" priority="11" operator="greaterThanOrEqual" aboveAverage="0" equalAverage="0" bottom="0" percent="0" rank="0" text="" dxfId="0">
      <formula>1</formula>
    </cfRule>
    <cfRule type="cellIs" priority="12" operator="between" aboveAverage="0" equalAverage="0" bottom="0" percent="0" rank="0" text="" dxfId="1">
      <formula>0.95</formula>
      <formula>0.99999</formula>
    </cfRule>
    <cfRule type="cellIs" priority="13" operator="lessThan" aboveAverage="0" equalAverage="0" bottom="0" percent="0" rank="0" text="" dxfId="2">
      <formula>0.95</formula>
    </cfRule>
  </conditionalFormatting>
  <dataValidations count="1">
    <dataValidation allowBlank="false" errorStyle="stop" operator="between" showDropDown="false" showErrorMessage="false" showInputMessage="false" sqref="B5" type="list">
      <formula1>Targets!$A$6:$A$17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5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33" t="s">
        <v>65</v>
      </c>
    </row>
    <row r="3" customFormat="false" ht="23.85" hidden="false" customHeight="false" outlineLevel="0" collapsed="false">
      <c r="A3" s="21" t="s">
        <v>66</v>
      </c>
      <c r="B3" s="21" t="s">
        <v>67</v>
      </c>
      <c r="C3" s="21" t="s">
        <v>68</v>
      </c>
    </row>
    <row r="4" customFormat="false" ht="15" hidden="false" customHeight="false" outlineLevel="0" collapsed="false">
      <c r="A4" s="22" t="s">
        <v>34</v>
      </c>
      <c r="B4" s="34" t="str">
        <f aca="false">Dashboard!$D$6</f>
        <v>All</v>
      </c>
      <c r="C4" s="34" t="str">
        <f aca="false">IF(B4="All","*",B4)</f>
        <v>*</v>
      </c>
      <c r="D4" s="17" t="s">
        <v>69</v>
      </c>
    </row>
    <row r="5" customFormat="false" ht="15" hidden="false" customHeight="false" outlineLevel="0" collapsed="false">
      <c r="A5" s="22" t="s">
        <v>70</v>
      </c>
      <c r="B5" s="34" t="str">
        <f aca="false">Dashboard!$H$6</f>
        <v>All</v>
      </c>
      <c r="C5" s="34" t="str">
        <f aca="false">IF(B5="All","*",B5)</f>
        <v>*</v>
      </c>
    </row>
    <row r="6" customFormat="false" ht="15" hidden="false" customHeight="false" outlineLevel="0" collapsed="false">
      <c r="A6" s="22" t="s">
        <v>71</v>
      </c>
      <c r="B6" s="34" t="str">
        <f aca="false">Dashboard!$L$6</f>
        <v>All</v>
      </c>
      <c r="C6" s="34" t="str">
        <f aca="false">IF(B6="All","*",B6)</f>
        <v>*</v>
      </c>
    </row>
    <row r="8" customFormat="false" ht="15" hidden="false" customHeight="false" outlineLevel="0" collapsed="false">
      <c r="A8" s="21" t="s">
        <v>72</v>
      </c>
      <c r="B8" s="21" t="s">
        <v>73</v>
      </c>
    </row>
    <row r="9" customFormat="false" ht="15" hidden="false" customHeight="false" outlineLevel="0" collapsed="false">
      <c r="A9" s="22" t="s">
        <v>74</v>
      </c>
      <c r="B9" s="23" t="n">
        <f aca="false">SUMIFS(Revenue,Region,$C$4,Channel,$C$5,Category,$C$6)</f>
        <v>2746756.25</v>
      </c>
    </row>
    <row r="10" customFormat="false" ht="15" hidden="false" customHeight="false" outlineLevel="0" collapsed="false">
      <c r="A10" s="22" t="s">
        <v>75</v>
      </c>
      <c r="B10" s="23" t="n">
        <f aca="false">SUMIFS(Profit,Region,$C$4,Channel,$C$5,Category,$C$6)</f>
        <v>666396.25</v>
      </c>
    </row>
    <row r="11" customFormat="false" ht="15" hidden="false" customHeight="false" outlineLevel="0" collapsed="false">
      <c r="A11" s="22" t="s">
        <v>76</v>
      </c>
      <c r="B11" s="35" t="n">
        <f aca="false">COUNTIFS(Region,$C$4,Channel,$C$5,Category,$C$6)</f>
        <v>1000</v>
      </c>
    </row>
    <row r="12" customFormat="false" ht="15" hidden="false" customHeight="false" outlineLevel="0" collapsed="false">
      <c r="A12" s="22" t="s">
        <v>77</v>
      </c>
      <c r="B12" s="23" t="n">
        <f aca="false">IF(B11=0,0,B9/B11)</f>
        <v>2746.75625</v>
      </c>
    </row>
    <row r="13" customFormat="false" ht="15" hidden="false" customHeight="false" outlineLevel="0" collapsed="false">
      <c r="A13" s="22" t="s">
        <v>78</v>
      </c>
      <c r="B13" s="24" t="n">
        <f aca="false">IF(B9=0,0,B10/B9)</f>
        <v>0.242612081068351</v>
      </c>
    </row>
    <row r="14" customFormat="false" ht="15" hidden="false" customHeight="false" outlineLevel="0" collapsed="false">
      <c r="A14" s="22" t="s">
        <v>79</v>
      </c>
      <c r="B14" s="35" t="n">
        <f aca="false">COUNTIFS(Profit,"&lt;0",Region,$C$4,Channel,$C$5,Category,$C$6)</f>
        <v>68</v>
      </c>
    </row>
    <row r="15" customFormat="false" ht="15" hidden="false" customHeight="false" outlineLevel="0" collapsed="false">
      <c r="A15" s="22" t="s">
        <v>80</v>
      </c>
      <c r="B15" s="23" t="n">
        <f aca="false">SUMIFS(Profit,Profit,"&lt;0",Region,$C$4,Channel,$C$5,Category,$C$6)</f>
        <v>-12554.2</v>
      </c>
    </row>
    <row r="16" customFormat="false" ht="15" hidden="false" customHeight="false" outlineLevel="0" collapsed="false">
      <c r="A16" s="22" t="s">
        <v>81</v>
      </c>
      <c r="B16" s="35" t="n">
        <f aca="false">COUNTIFS(Disc,"&gt;"&amp;DiscountCap,Region,$C$4,Channel,$C$5,Category,$C$6)</f>
        <v>137</v>
      </c>
    </row>
    <row r="17" customFormat="false" ht="15" hidden="false" customHeight="false" outlineLevel="0" collapsed="false">
      <c r="A17" s="22" t="s">
        <v>82</v>
      </c>
      <c r="B17" s="23" t="n">
        <f aca="false">SUMIFS(LostAboveCap,Region,$C$4,Channel,$C$5,Category,$C$6)</f>
        <v>30345.85</v>
      </c>
    </row>
    <row r="19" customFormat="false" ht="15" hidden="false" customHeight="false" outlineLevel="0" collapsed="false">
      <c r="A19" s="36" t="s">
        <v>83</v>
      </c>
    </row>
    <row r="20" customFormat="false" ht="15" hidden="false" customHeight="false" outlineLevel="0" collapsed="false">
      <c r="A20" s="21" t="s">
        <v>34</v>
      </c>
      <c r="B20" s="21" t="s">
        <v>84</v>
      </c>
      <c r="C20" s="21" t="s">
        <v>85</v>
      </c>
      <c r="D20" s="21" t="s">
        <v>42</v>
      </c>
      <c r="E20" s="21" t="s">
        <v>76</v>
      </c>
    </row>
    <row r="21" customFormat="false" ht="15" hidden="false" customHeight="false" outlineLevel="0" collapsed="false">
      <c r="A21" s="34" t="s">
        <v>44</v>
      </c>
      <c r="B21" s="23" t="n">
        <f aca="false">SUMIFS(Revenue,Region,$A21,Region,$C$4,Channel,$C$5,Category,$C$6)</f>
        <v>686373.4</v>
      </c>
      <c r="C21" s="23" t="n">
        <f aca="false">SUMIFS(Profit,Region,$A21,Region,$C$4,Channel,$C$5,Category,$C$6)</f>
        <v>174413.4</v>
      </c>
      <c r="D21" s="24" t="n">
        <f aca="false">IF(B21=0,0,C21/B21)</f>
        <v>0.254108623673353</v>
      </c>
      <c r="E21" s="35" t="n">
        <f aca="false">COUNTIFS(Region,$A21,Region,$C$4,Channel,$C$5,Category,$C$6)</f>
        <v>247</v>
      </c>
    </row>
    <row r="22" customFormat="false" ht="15" hidden="false" customHeight="false" outlineLevel="0" collapsed="false">
      <c r="A22" s="34" t="s">
        <v>45</v>
      </c>
      <c r="B22" s="23" t="n">
        <f aca="false">SUMIFS(Revenue,Region,$A22,Region,$C$4,Channel,$C$5,Category,$C$6)</f>
        <v>860038.4</v>
      </c>
      <c r="C22" s="23" t="n">
        <f aca="false">SUMIFS(Profit,Region,$A22,Region,$C$4,Channel,$C$5,Category,$C$6)</f>
        <v>214298.4</v>
      </c>
      <c r="D22" s="24" t="n">
        <f aca="false">IF(B22=0,0,C22/B22)</f>
        <v>0.249173060179638</v>
      </c>
      <c r="E22" s="35" t="n">
        <f aca="false">COUNTIFS(Region,$A22,Region,$C$4,Channel,$C$5,Category,$C$6)</f>
        <v>320</v>
      </c>
    </row>
    <row r="23" customFormat="false" ht="15" hidden="false" customHeight="false" outlineLevel="0" collapsed="false">
      <c r="A23" s="34" t="s">
        <v>46</v>
      </c>
      <c r="B23" s="23" t="n">
        <f aca="false">SUMIFS(Revenue,Region,$A23,Region,$C$4,Channel,$C$5,Category,$C$6)</f>
        <v>388874.45</v>
      </c>
      <c r="C23" s="23" t="n">
        <f aca="false">SUMIFS(Profit,Region,$A23,Region,$C$4,Channel,$C$5,Category,$C$6)</f>
        <v>89364.45</v>
      </c>
      <c r="D23" s="24" t="n">
        <f aca="false">IF(B23=0,0,C23/B23)</f>
        <v>0.229802832250872</v>
      </c>
      <c r="E23" s="35" t="n">
        <f aca="false">COUNTIFS(Region,$A23,Region,$C$4,Channel,$C$5,Category,$C$6)</f>
        <v>135</v>
      </c>
    </row>
    <row r="24" customFormat="false" ht="15" hidden="false" customHeight="false" outlineLevel="0" collapsed="false">
      <c r="A24" s="34" t="s">
        <v>47</v>
      </c>
      <c r="B24" s="23" t="n">
        <f aca="false">SUMIFS(Revenue,Region,$A24,Region,$C$4,Channel,$C$5,Category,$C$6)</f>
        <v>811470</v>
      </c>
      <c r="C24" s="23" t="n">
        <f aca="false">SUMIFS(Profit,Region,$A24,Region,$C$4,Channel,$C$5,Category,$C$6)</f>
        <v>188320</v>
      </c>
      <c r="D24" s="24" t="n">
        <f aca="false">IF(B24=0,0,C24/B24)</f>
        <v>0.232072658262166</v>
      </c>
      <c r="E24" s="35" t="n">
        <f aca="false">COUNTIFS(Region,$A24,Region,$C$4,Channel,$C$5,Category,$C$6)</f>
        <v>298</v>
      </c>
    </row>
    <row r="26" customFormat="false" ht="15" hidden="false" customHeight="false" outlineLevel="0" collapsed="false">
      <c r="A26" s="36" t="s">
        <v>86</v>
      </c>
    </row>
    <row r="27" customFormat="false" ht="15" hidden="false" customHeight="false" outlineLevel="0" collapsed="false">
      <c r="A27" s="21" t="s">
        <v>50</v>
      </c>
      <c r="B27" s="21" t="s">
        <v>51</v>
      </c>
      <c r="C27" s="21" t="s">
        <v>84</v>
      </c>
      <c r="D27" s="21" t="s">
        <v>85</v>
      </c>
      <c r="E27" s="21" t="s">
        <v>42</v>
      </c>
      <c r="F27" s="21" t="s">
        <v>76</v>
      </c>
    </row>
    <row r="28" customFormat="false" ht="15" hidden="false" customHeight="false" outlineLevel="0" collapsed="false">
      <c r="A28" s="31" t="n">
        <v>1</v>
      </c>
      <c r="B28" s="34" t="s">
        <v>52</v>
      </c>
      <c r="C28" s="23" t="n">
        <f aca="false">SUMIFS(Revenue,OrderMonth,$A28,Region,$C$4,Channel,$C$5,Category,$C$6)</f>
        <v>192915.35</v>
      </c>
      <c r="D28" s="23" t="n">
        <f aca="false">SUMIFS(Profit,OrderMonth,$A28,Region,$C$4,Channel,$C$5,Category,$C$6)</f>
        <v>48275.35</v>
      </c>
      <c r="E28" s="24" t="n">
        <f aca="false">IF(C28=0,0,D28/C28)</f>
        <v>0.250241103157421</v>
      </c>
      <c r="F28" s="35" t="n">
        <f aca="false">COUNTIFS(OrderMonth,$A28,Region,$C$4,Channel,$C$5,Category,$C$6)</f>
        <v>70</v>
      </c>
    </row>
    <row r="29" customFormat="false" ht="15" hidden="false" customHeight="false" outlineLevel="0" collapsed="false">
      <c r="A29" s="31" t="n">
        <v>2</v>
      </c>
      <c r="B29" s="34" t="s">
        <v>53</v>
      </c>
      <c r="C29" s="23" t="n">
        <f aca="false">SUMIFS(Revenue,OrderMonth,$A29,Region,$C$4,Channel,$C$5,Category,$C$6)</f>
        <v>166335.85</v>
      </c>
      <c r="D29" s="23" t="n">
        <f aca="false">SUMIFS(Profit,OrderMonth,$A29,Region,$C$4,Channel,$C$5,Category,$C$6)</f>
        <v>49145.85</v>
      </c>
      <c r="E29" s="24" t="n">
        <f aca="false">IF(C29=0,0,D29/C29)</f>
        <v>0.295461561653726</v>
      </c>
      <c r="F29" s="35" t="n">
        <f aca="false">COUNTIFS(OrderMonth,$A29,Region,$C$4,Channel,$C$5,Category,$C$6)</f>
        <v>61</v>
      </c>
    </row>
    <row r="30" customFormat="false" ht="15" hidden="false" customHeight="false" outlineLevel="0" collapsed="false">
      <c r="A30" s="31" t="n">
        <v>3</v>
      </c>
      <c r="B30" s="34" t="s">
        <v>54</v>
      </c>
      <c r="C30" s="23" t="n">
        <f aca="false">SUMIFS(Revenue,OrderMonth,$A30,Region,$C$4,Channel,$C$5,Category,$C$6)</f>
        <v>218425.95</v>
      </c>
      <c r="D30" s="23" t="n">
        <f aca="false">SUMIFS(Profit,OrderMonth,$A30,Region,$C$4,Channel,$C$5,Category,$C$6)</f>
        <v>59735.95</v>
      </c>
      <c r="E30" s="24" t="n">
        <f aca="false">IF(C30=0,0,D30/C30)</f>
        <v>0.273483759599077</v>
      </c>
      <c r="F30" s="35" t="n">
        <f aca="false">COUNTIFS(OrderMonth,$A30,Region,$C$4,Channel,$C$5,Category,$C$6)</f>
        <v>78</v>
      </c>
    </row>
    <row r="31" customFormat="false" ht="15" hidden="false" customHeight="false" outlineLevel="0" collapsed="false">
      <c r="A31" s="31" t="n">
        <v>4</v>
      </c>
      <c r="B31" s="34" t="s">
        <v>55</v>
      </c>
      <c r="C31" s="23" t="n">
        <f aca="false">SUMIFS(Revenue,OrderMonth,$A31,Region,$C$4,Channel,$C$5,Category,$C$6)</f>
        <v>174660.2</v>
      </c>
      <c r="D31" s="23" t="n">
        <f aca="false">SUMIFS(Profit,OrderMonth,$A31,Region,$C$4,Channel,$C$5,Category,$C$6)</f>
        <v>46600.2</v>
      </c>
      <c r="E31" s="24" t="n">
        <f aca="false">IF(C31=0,0,D31/C31)</f>
        <v>0.266804916059869</v>
      </c>
      <c r="F31" s="35" t="n">
        <f aca="false">COUNTIFS(OrderMonth,$A31,Region,$C$4,Channel,$C$5,Category,$C$6)</f>
        <v>70</v>
      </c>
    </row>
    <row r="32" customFormat="false" ht="15" hidden="false" customHeight="false" outlineLevel="0" collapsed="false">
      <c r="A32" s="31" t="n">
        <v>5</v>
      </c>
      <c r="B32" s="34" t="s">
        <v>56</v>
      </c>
      <c r="C32" s="23" t="n">
        <f aca="false">SUMIFS(Revenue,OrderMonth,$A32,Region,$C$4,Channel,$C$5,Category,$C$6)</f>
        <v>188356.95</v>
      </c>
      <c r="D32" s="23" t="n">
        <f aca="false">SUMIFS(Profit,OrderMonth,$A32,Region,$C$4,Channel,$C$5,Category,$C$6)</f>
        <v>48936.95</v>
      </c>
      <c r="E32" s="24" t="n">
        <f aca="false">IF(C32=0,0,D32/C32)</f>
        <v>0.259809632721277</v>
      </c>
      <c r="F32" s="35" t="n">
        <f aca="false">COUNTIFS(OrderMonth,$A32,Region,$C$4,Channel,$C$5,Category,$C$6)</f>
        <v>73</v>
      </c>
    </row>
    <row r="33" customFormat="false" ht="15" hidden="false" customHeight="false" outlineLevel="0" collapsed="false">
      <c r="A33" s="31" t="n">
        <v>6</v>
      </c>
      <c r="B33" s="34" t="s">
        <v>57</v>
      </c>
      <c r="C33" s="23" t="n">
        <f aca="false">SUMIFS(Revenue,OrderMonth,$A33,Region,$C$4,Channel,$C$5,Category,$C$6)</f>
        <v>224305.65</v>
      </c>
      <c r="D33" s="23" t="n">
        <f aca="false">SUMIFS(Profit,OrderMonth,$A33,Region,$C$4,Channel,$C$5,Category,$C$6)</f>
        <v>56545.65</v>
      </c>
      <c r="E33" s="24" t="n">
        <f aca="false">IF(C33=0,0,D33/C33)</f>
        <v>0.252091955775523</v>
      </c>
      <c r="F33" s="35" t="n">
        <f aca="false">COUNTIFS(OrderMonth,$A33,Region,$C$4,Channel,$C$5,Category,$C$6)</f>
        <v>73</v>
      </c>
    </row>
    <row r="34" customFormat="false" ht="15" hidden="false" customHeight="false" outlineLevel="0" collapsed="false">
      <c r="A34" s="31" t="n">
        <v>7</v>
      </c>
      <c r="B34" s="34" t="s">
        <v>58</v>
      </c>
      <c r="C34" s="23" t="n">
        <f aca="false">SUMIFS(Revenue,OrderMonth,$A34,Region,$C$4,Channel,$C$5,Category,$C$6)</f>
        <v>196882.7</v>
      </c>
      <c r="D34" s="23" t="n">
        <f aca="false">SUMIFS(Profit,OrderMonth,$A34,Region,$C$4,Channel,$C$5,Category,$C$6)</f>
        <v>45402.7</v>
      </c>
      <c r="E34" s="24" t="n">
        <f aca="false">IF(C34=0,0,D34/C34)</f>
        <v>0.230607869558879</v>
      </c>
      <c r="F34" s="35" t="n">
        <f aca="false">COUNTIFS(OrderMonth,$A34,Region,$C$4,Channel,$C$5,Category,$C$6)</f>
        <v>73</v>
      </c>
    </row>
    <row r="35" customFormat="false" ht="15" hidden="false" customHeight="false" outlineLevel="0" collapsed="false">
      <c r="A35" s="31" t="n">
        <v>8</v>
      </c>
      <c r="B35" s="34" t="s">
        <v>59</v>
      </c>
      <c r="C35" s="23" t="n">
        <f aca="false">SUMIFS(Revenue,OrderMonth,$A35,Region,$C$4,Channel,$C$5,Category,$C$6)</f>
        <v>266956.5</v>
      </c>
      <c r="D35" s="23" t="n">
        <f aca="false">SUMIFS(Profit,OrderMonth,$A35,Region,$C$4,Channel,$C$5,Category,$C$6)</f>
        <v>67056.5</v>
      </c>
      <c r="E35" s="24" t="n">
        <f aca="false">IF(C35=0,0,D35/C35)</f>
        <v>0.251188864103328</v>
      </c>
      <c r="F35" s="35" t="n">
        <f aca="false">COUNTIFS(OrderMonth,$A35,Region,$C$4,Channel,$C$5,Category,$C$6)</f>
        <v>79</v>
      </c>
    </row>
    <row r="36" customFormat="false" ht="15" hidden="false" customHeight="false" outlineLevel="0" collapsed="false">
      <c r="A36" s="31" t="n">
        <v>9</v>
      </c>
      <c r="B36" s="34" t="s">
        <v>60</v>
      </c>
      <c r="C36" s="23" t="n">
        <f aca="false">SUMIFS(Revenue,OrderMonth,$A36,Region,$C$4,Channel,$C$5,Category,$C$6)</f>
        <v>256053.5</v>
      </c>
      <c r="D36" s="23" t="n">
        <f aca="false">SUMIFS(Profit,OrderMonth,$A36,Region,$C$4,Channel,$C$5,Category,$C$6)</f>
        <v>60333.5</v>
      </c>
      <c r="E36" s="24" t="n">
        <f aca="false">IF(C36=0,0,D36/C36)</f>
        <v>0.235628491701929</v>
      </c>
      <c r="F36" s="35" t="n">
        <f aca="false">COUNTIFS(OrderMonth,$A36,Region,$C$4,Channel,$C$5,Category,$C$6)</f>
        <v>78</v>
      </c>
    </row>
    <row r="37" customFormat="false" ht="15" hidden="false" customHeight="false" outlineLevel="0" collapsed="false">
      <c r="A37" s="31" t="n">
        <v>10</v>
      </c>
      <c r="B37" s="34" t="s">
        <v>30</v>
      </c>
      <c r="C37" s="23" t="n">
        <f aca="false">SUMIFS(Revenue,OrderMonth,$A37,Region,$C$4,Channel,$C$5,Category,$C$6)</f>
        <v>339881.05</v>
      </c>
      <c r="D37" s="23" t="n">
        <f aca="false">SUMIFS(Profit,OrderMonth,$A37,Region,$C$4,Channel,$C$5,Category,$C$6)</f>
        <v>65161.05</v>
      </c>
      <c r="E37" s="24" t="n">
        <f aca="false">IF(C37=0,0,D37/C37)</f>
        <v>0.191717219892077</v>
      </c>
      <c r="F37" s="35" t="n">
        <f aca="false">COUNTIFS(OrderMonth,$A37,Region,$C$4,Channel,$C$5,Category,$C$6)</f>
        <v>142</v>
      </c>
    </row>
    <row r="38" customFormat="false" ht="15" hidden="false" customHeight="false" outlineLevel="0" collapsed="false">
      <c r="A38" s="31" t="n">
        <v>11</v>
      </c>
      <c r="B38" s="34" t="s">
        <v>61</v>
      </c>
      <c r="C38" s="23" t="n">
        <f aca="false">SUMIFS(Revenue,OrderMonth,$A38,Region,$C$4,Channel,$C$5,Category,$C$6)</f>
        <v>323564</v>
      </c>
      <c r="D38" s="23" t="n">
        <f aca="false">SUMIFS(Profit,OrderMonth,$A38,Region,$C$4,Channel,$C$5,Category,$C$6)</f>
        <v>66744</v>
      </c>
      <c r="E38" s="24" t="n">
        <f aca="false">IF(C38=0,0,D38/C38)</f>
        <v>0.206277583414719</v>
      </c>
      <c r="F38" s="35" t="n">
        <f aca="false">COUNTIFS(OrderMonth,$A38,Region,$C$4,Channel,$C$5,Category,$C$6)</f>
        <v>125</v>
      </c>
    </row>
    <row r="39" customFormat="false" ht="15" hidden="false" customHeight="false" outlineLevel="0" collapsed="false">
      <c r="A39" s="31" t="n">
        <v>12</v>
      </c>
      <c r="B39" s="34" t="s">
        <v>62</v>
      </c>
      <c r="C39" s="23" t="n">
        <f aca="false">SUMIFS(Revenue,OrderMonth,$A39,Region,$C$4,Channel,$C$5,Category,$C$6)</f>
        <v>198418.55</v>
      </c>
      <c r="D39" s="23" t="n">
        <f aca="false">SUMIFS(Profit,OrderMonth,$A39,Region,$C$4,Channel,$C$5,Category,$C$6)</f>
        <v>52458.55</v>
      </c>
      <c r="E39" s="24" t="n">
        <f aca="false">IF(C39=0,0,D39/C39)</f>
        <v>0.26438329480787</v>
      </c>
      <c r="F39" s="35" t="n">
        <f aca="false">COUNTIFS(OrderMonth,$A39,Region,$C$4,Channel,$C$5,Category,$C$6)</f>
        <v>78</v>
      </c>
    </row>
    <row r="42" customFormat="false" ht="15" hidden="false" customHeight="false" outlineLevel="0" collapsed="false">
      <c r="A42" s="36" t="s">
        <v>87</v>
      </c>
    </row>
    <row r="43" customFormat="false" ht="15" hidden="false" customHeight="false" outlineLevel="0" collapsed="false">
      <c r="A43" s="21" t="s">
        <v>71</v>
      </c>
      <c r="B43" s="21" t="s">
        <v>84</v>
      </c>
      <c r="C43" s="21" t="s">
        <v>85</v>
      </c>
      <c r="D43" s="21" t="s">
        <v>42</v>
      </c>
      <c r="E43" s="21" t="s">
        <v>76</v>
      </c>
      <c r="F43" s="21" t="s">
        <v>88</v>
      </c>
      <c r="G43" s="21" t="s">
        <v>89</v>
      </c>
    </row>
    <row r="44" customFormat="false" ht="15" hidden="false" customHeight="false" outlineLevel="0" collapsed="false">
      <c r="A44" s="34" t="s">
        <v>90</v>
      </c>
      <c r="B44" s="23" t="n">
        <f aca="false">SUMIFS(Revenue,Category,$A44,Region,$C$4,Channel,$C$5,Category,$C$6)</f>
        <v>1128133.25</v>
      </c>
      <c r="C44" s="23" t="n">
        <f aca="false">SUMIFS(Profit,Category,$A44,Region,$C$4,Channel,$C$5,Category,$C$6)</f>
        <v>122443.25</v>
      </c>
      <c r="D44" s="24" t="n">
        <f aca="false">IF(B44=0,0,C44/B44)</f>
        <v>0.108536159181551</v>
      </c>
      <c r="E44" s="35" t="n">
        <f aca="false">COUNTIFS(Category,$A44,Region,$C$4,Channel,$C$5,Category,$C$6)</f>
        <v>330</v>
      </c>
      <c r="F44" s="24" t="n">
        <f aca="false">IF($B$9=0,0,B44/$B$9)</f>
        <v>0.410714729419474</v>
      </c>
      <c r="G44" s="24" t="n">
        <f aca="false">IF($B$10=0,0,C44/$B$10)</f>
        <v>0.183739404295868</v>
      </c>
    </row>
    <row r="45" customFormat="false" ht="15" hidden="false" customHeight="false" outlineLevel="0" collapsed="false">
      <c r="A45" s="34" t="s">
        <v>91</v>
      </c>
      <c r="B45" s="23" t="n">
        <f aca="false">SUMIFS(Revenue,Category,$A45,Region,$C$4,Channel,$C$5,Category,$C$6)</f>
        <v>620498.7</v>
      </c>
      <c r="C45" s="23" t="n">
        <f aca="false">SUMIFS(Profit,Category,$A45,Region,$C$4,Channel,$C$5,Category,$C$6)</f>
        <v>255038.7</v>
      </c>
      <c r="D45" s="24" t="n">
        <f aca="false">IF(B45=0,0,C45/B45)</f>
        <v>0.411022134292949</v>
      </c>
      <c r="E45" s="35" t="n">
        <f aca="false">COUNTIFS(Category,$A45,Region,$C$4,Channel,$C$5,Category,$C$6)</f>
        <v>288</v>
      </c>
      <c r="F45" s="24" t="n">
        <f aca="false">IF($B$9=0,0,B45/$B$9)</f>
        <v>0.225902353002746</v>
      </c>
      <c r="G45" s="24" t="n">
        <f aca="false">IF($B$10=0,0,C45/$B$10)</f>
        <v>0.382713288077476</v>
      </c>
    </row>
    <row r="46" customFormat="false" ht="15" hidden="false" customHeight="false" outlineLevel="0" collapsed="false">
      <c r="A46" s="34" t="s">
        <v>92</v>
      </c>
      <c r="B46" s="23" t="n">
        <f aca="false">SUMIFS(Revenue,Category,$A46,Region,$C$4,Channel,$C$5,Category,$C$6)</f>
        <v>696588.65</v>
      </c>
      <c r="C46" s="23" t="n">
        <f aca="false">SUMIFS(Profit,Category,$A46,Region,$C$4,Channel,$C$5,Category,$C$6)</f>
        <v>187698.65</v>
      </c>
      <c r="D46" s="24" t="n">
        <f aca="false">IF(B46=0,0,C46/B46)</f>
        <v>0.269454074510114</v>
      </c>
      <c r="E46" s="35" t="n">
        <f aca="false">COUNTIFS(Category,$A46,Region,$C$4,Channel,$C$5,Category,$C$6)</f>
        <v>203</v>
      </c>
      <c r="F46" s="24" t="n">
        <f aca="false">IF($B$9=0,0,B46/$B$9)</f>
        <v>0.25360410120119</v>
      </c>
      <c r="G46" s="24" t="n">
        <f aca="false">IF($B$10=0,0,C46/$B$10)</f>
        <v>0.281662224239707</v>
      </c>
    </row>
    <row r="47" customFormat="false" ht="15" hidden="false" customHeight="false" outlineLevel="0" collapsed="false">
      <c r="A47" s="34" t="s">
        <v>93</v>
      </c>
      <c r="B47" s="23" t="n">
        <f aca="false">SUMIFS(Revenue,Category,$A47,Region,$C$4,Channel,$C$5,Category,$C$6)</f>
        <v>301535.65</v>
      </c>
      <c r="C47" s="23" t="n">
        <f aca="false">SUMIFS(Profit,Category,$A47,Region,$C$4,Channel,$C$5,Category,$C$6)</f>
        <v>101215.65</v>
      </c>
      <c r="D47" s="24" t="n">
        <f aca="false">IF(B47=0,0,C47/B47)</f>
        <v>0.335667275162987</v>
      </c>
      <c r="E47" s="35" t="n">
        <f aca="false">COUNTIFS(Category,$A47,Region,$C$4,Channel,$C$5,Category,$C$6)</f>
        <v>179</v>
      </c>
      <c r="F47" s="24" t="n">
        <f aca="false">IF($B$9=0,0,B47/$B$9)</f>
        <v>0.10977881637659</v>
      </c>
      <c r="G47" s="24" t="n">
        <f aca="false">IF($B$10=0,0,C47/$B$10)</f>
        <v>0.151885083386949</v>
      </c>
    </row>
    <row r="50" customFormat="false" ht="15" hidden="false" customHeight="false" outlineLevel="0" collapsed="false">
      <c r="A50" s="36" t="s">
        <v>94</v>
      </c>
    </row>
    <row r="51" customFormat="false" ht="23.85" hidden="false" customHeight="false" outlineLevel="0" collapsed="false">
      <c r="A51" s="21" t="s">
        <v>70</v>
      </c>
      <c r="B51" s="21" t="s">
        <v>84</v>
      </c>
      <c r="C51" s="21" t="s">
        <v>85</v>
      </c>
      <c r="D51" s="21" t="s">
        <v>42</v>
      </c>
      <c r="E51" s="21" t="s">
        <v>76</v>
      </c>
      <c r="F51" s="21" t="s">
        <v>95</v>
      </c>
    </row>
    <row r="52" customFormat="false" ht="15" hidden="false" customHeight="false" outlineLevel="0" collapsed="false">
      <c r="A52" s="34" t="s">
        <v>96</v>
      </c>
      <c r="B52" s="23" t="n">
        <f aca="false">SUMIFS(Revenue,Channel,$A52,Region,$C$4,Channel,$C$5,Category,$C$6)</f>
        <v>1456726.4</v>
      </c>
      <c r="C52" s="23" t="n">
        <f aca="false">SUMIFS(Profit,Channel,$A52,Region,$C$4,Channel,$C$5,Category,$C$6)</f>
        <v>317866.4</v>
      </c>
      <c r="D52" s="24" t="n">
        <f aca="false">IF(B52=0,0,C52/B52)</f>
        <v>0.218205971965635</v>
      </c>
      <c r="E52" s="35" t="n">
        <f aca="false">COUNTIFS(Channel,$A52,Region,$C$4,Channel,$C$5,Category,$C$6)</f>
        <v>556</v>
      </c>
      <c r="F52" s="35" t="n">
        <f aca="false">COUNTIFS(Channel,$A52,Disc,"&gt;0.2",Region,$C$4,Channel,$C$5,Category,$C$6)</f>
        <v>112</v>
      </c>
    </row>
    <row r="53" customFormat="false" ht="15" hidden="false" customHeight="false" outlineLevel="0" collapsed="false">
      <c r="A53" s="34" t="s">
        <v>97</v>
      </c>
      <c r="B53" s="23" t="n">
        <f aca="false">SUMIFS(Revenue,Channel,$A53,Region,$C$4,Channel,$C$5,Category,$C$6)</f>
        <v>1290029.85</v>
      </c>
      <c r="C53" s="23" t="n">
        <f aca="false">SUMIFS(Profit,Channel,$A53,Region,$C$4,Channel,$C$5,Category,$C$6)</f>
        <v>348529.85</v>
      </c>
      <c r="D53" s="24" t="n">
        <f aca="false">IF(B53=0,0,C53/B53)</f>
        <v>0.270171926641852</v>
      </c>
      <c r="E53" s="35" t="n">
        <f aca="false">COUNTIFS(Channel,$A53,Region,$C$4,Channel,$C$5,Category,$C$6)</f>
        <v>444</v>
      </c>
      <c r="F53" s="35" t="n">
        <f aca="false">COUNTIFS(Channel,$A53,Disc,"&gt;0.2",Region,$C$4,Channel,$C$5,Category,$C$6)</f>
        <v>25</v>
      </c>
    </row>
    <row r="56" customFormat="false" ht="15" hidden="false" customHeight="false" outlineLevel="0" collapsed="false">
      <c r="A56" s="36" t="s">
        <v>98</v>
      </c>
    </row>
    <row r="57" customFormat="false" ht="15" hidden="false" customHeight="false" outlineLevel="0" collapsed="false">
      <c r="A57" s="21" t="s">
        <v>99</v>
      </c>
      <c r="B57" s="21" t="s">
        <v>76</v>
      </c>
      <c r="C57" s="21" t="s">
        <v>84</v>
      </c>
      <c r="D57" s="21" t="s">
        <v>85</v>
      </c>
      <c r="E57" s="21" t="s">
        <v>42</v>
      </c>
      <c r="F57" s="21" t="s">
        <v>100</v>
      </c>
    </row>
    <row r="58" customFormat="false" ht="15" hidden="false" customHeight="false" outlineLevel="0" collapsed="false">
      <c r="A58" s="34" t="s">
        <v>101</v>
      </c>
      <c r="B58" s="35" t="n">
        <f aca="false">COUNTIFS(Band,$A58,Region,$C$4,Channel,$C$5,Category,$C$6)</f>
        <v>194</v>
      </c>
      <c r="C58" s="23" t="n">
        <f aca="false">SUMIFS(Revenue,Band,$A58,Region,$C$4,Channel,$C$5,Category,$C$6)</f>
        <v>592117</v>
      </c>
      <c r="D58" s="23" t="n">
        <f aca="false">SUMIFS(Profit,Band,$A58,Region,$C$4,Channel,$C$5,Category,$C$6)</f>
        <v>206277</v>
      </c>
      <c r="E58" s="24" t="n">
        <f aca="false">IF(C58=0,0,D58/C58)</f>
        <v>0.348372027825582</v>
      </c>
      <c r="F58" s="23" t="n">
        <f aca="false">IF(B58=0,0,D58/B58)</f>
        <v>1063.28350515464</v>
      </c>
    </row>
    <row r="59" customFormat="false" ht="15" hidden="false" customHeight="false" outlineLevel="0" collapsed="false">
      <c r="A59" s="34" t="s">
        <v>102</v>
      </c>
      <c r="B59" s="35" t="n">
        <f aca="false">COUNTIFS(Band,$A59,Region,$C$4,Channel,$C$5,Category,$C$6)</f>
        <v>422</v>
      </c>
      <c r="C59" s="23" t="n">
        <f aca="false">SUMIFS(Revenue,Band,$A59,Region,$C$4,Channel,$C$5,Category,$C$6)</f>
        <v>1267861.05</v>
      </c>
      <c r="D59" s="23" t="n">
        <f aca="false">SUMIFS(Profit,Band,$A59,Region,$C$4,Channel,$C$5,Category,$C$6)</f>
        <v>338201.05</v>
      </c>
      <c r="E59" s="24" t="n">
        <f aca="false">IF(C59=0,0,D59/C59)</f>
        <v>0.266749301904968</v>
      </c>
      <c r="F59" s="23" t="n">
        <f aca="false">IF(B59=0,0,D59/B59)</f>
        <v>801.424289099526</v>
      </c>
    </row>
    <row r="60" customFormat="false" ht="15" hidden="false" customHeight="false" outlineLevel="0" collapsed="false">
      <c r="A60" s="34" t="s">
        <v>103</v>
      </c>
      <c r="B60" s="35" t="n">
        <f aca="false">COUNTIFS(Band,$A60,Region,$C$4,Channel,$C$5,Category,$C$6)</f>
        <v>247</v>
      </c>
      <c r="C60" s="23" t="n">
        <f aca="false">SUMIFS(Revenue,Band,$A60,Region,$C$4,Channel,$C$5,Category,$C$6)</f>
        <v>609172.05</v>
      </c>
      <c r="D60" s="23" t="n">
        <f aca="false">SUMIFS(Profit,Band,$A60,Region,$C$4,Channel,$C$5,Category,$C$6)</f>
        <v>113762.05</v>
      </c>
      <c r="E60" s="24" t="n">
        <f aca="false">IF(C60=0,0,D60/C60)</f>
        <v>0.18674863694091</v>
      </c>
      <c r="F60" s="23" t="n">
        <f aca="false">IF(B60=0,0,D60/B60)</f>
        <v>460.575101214575</v>
      </c>
    </row>
    <row r="61" customFormat="false" ht="15" hidden="false" customHeight="false" outlineLevel="0" collapsed="false">
      <c r="A61" s="34" t="s">
        <v>104</v>
      </c>
      <c r="B61" s="35" t="n">
        <f aca="false">COUNTIFS(Band,$A61,Region,$C$4,Channel,$C$5,Category,$C$6)</f>
        <v>124</v>
      </c>
      <c r="C61" s="23" t="n">
        <f aca="false">SUMIFS(Revenue,Band,$A61,Region,$C$4,Channel,$C$5,Category,$C$6)</f>
        <v>257158.75</v>
      </c>
      <c r="D61" s="23" t="n">
        <f aca="false">SUMIFS(Profit,Band,$A61,Region,$C$4,Channel,$C$5,Category,$C$6)</f>
        <v>10008.75</v>
      </c>
      <c r="E61" s="24" t="n">
        <f aca="false">IF(C61=0,0,D61/C61)</f>
        <v>0.0389205111628517</v>
      </c>
      <c r="F61" s="23" t="n">
        <f aca="false">IF(B61=0,0,D61/B61)</f>
        <v>80.7157258064516</v>
      </c>
    </row>
    <row r="62" customFormat="false" ht="15" hidden="false" customHeight="false" outlineLevel="0" collapsed="false">
      <c r="A62" s="34" t="s">
        <v>105</v>
      </c>
      <c r="B62" s="35" t="n">
        <f aca="false">COUNTIFS(Band,$A62,Region,$C$4,Channel,$C$5,Category,$C$6)</f>
        <v>13</v>
      </c>
      <c r="C62" s="23" t="n">
        <f aca="false">SUMIFS(Revenue,Band,$A62,Region,$C$4,Channel,$C$5,Category,$C$6)</f>
        <v>20447.4</v>
      </c>
      <c r="D62" s="23" t="n">
        <f aca="false">SUMIFS(Profit,Band,$A62,Region,$C$4,Channel,$C$5,Category,$C$6)</f>
        <v>-1852.6</v>
      </c>
      <c r="E62" s="24" t="n">
        <f aca="false">IF(C62=0,0,D62/C62)</f>
        <v>-0.0906032062756146</v>
      </c>
      <c r="F62" s="23" t="n">
        <f aca="false">IF(B62=0,0,D62/B62)</f>
        <v>-142.507692307692</v>
      </c>
    </row>
    <row r="65" customFormat="false" ht="15" hidden="false" customHeight="false" outlineLevel="0" collapsed="false">
      <c r="A65" s="36" t="s">
        <v>106</v>
      </c>
    </row>
    <row r="66" customFormat="false" ht="15" hidden="false" customHeight="false" outlineLevel="0" collapsed="false">
      <c r="A66" s="21" t="s">
        <v>107</v>
      </c>
      <c r="B66" s="21" t="s">
        <v>71</v>
      </c>
      <c r="C66" s="21" t="s">
        <v>84</v>
      </c>
      <c r="D66" s="21" t="s">
        <v>85</v>
      </c>
      <c r="E66" s="21" t="s">
        <v>42</v>
      </c>
      <c r="F66" s="21" t="s">
        <v>76</v>
      </c>
    </row>
    <row r="67" customFormat="false" ht="15" hidden="false" customHeight="false" outlineLevel="0" collapsed="false">
      <c r="A67" s="34" t="s">
        <v>108</v>
      </c>
      <c r="B67" s="34" t="s">
        <v>90</v>
      </c>
      <c r="C67" s="23" t="n">
        <f aca="false">SUMIFS(Revenue,Product,$A67,Region,$C$4,Channel,$C$5,Category,$C$6)</f>
        <v>255072.4</v>
      </c>
      <c r="D67" s="23" t="n">
        <f aca="false">SUMIFS(Profit,Product,$A67,Region,$C$4,Channel,$C$5,Category,$C$6)</f>
        <v>30432.4</v>
      </c>
      <c r="E67" s="24" t="n">
        <f aca="false">IF(C67=0,0,D67/C67)</f>
        <v>0.119308870736309</v>
      </c>
      <c r="F67" s="35" t="n">
        <f aca="false">COUNTIFS(Product,$A67,Region,$C$4,Channel,$C$5,Category,$C$6)</f>
        <v>84</v>
      </c>
    </row>
    <row r="68" customFormat="false" ht="15" hidden="false" customHeight="false" outlineLevel="0" collapsed="false">
      <c r="A68" s="34" t="s">
        <v>109</v>
      </c>
      <c r="B68" s="34" t="s">
        <v>90</v>
      </c>
      <c r="C68" s="23" t="n">
        <f aca="false">SUMIFS(Revenue,Product,$A68,Region,$C$4,Channel,$C$5,Category,$C$6)</f>
        <v>418130.5</v>
      </c>
      <c r="D68" s="23" t="n">
        <f aca="false">SUMIFS(Profit,Product,$A68,Region,$C$4,Channel,$C$5,Category,$C$6)</f>
        <v>46880.5</v>
      </c>
      <c r="E68" s="24" t="n">
        <f aca="false">IF(C68=0,0,D68/C68)</f>
        <v>0.112119302466574</v>
      </c>
      <c r="F68" s="35" t="n">
        <f aca="false">COUNTIFS(Product,$A68,Region,$C$4,Channel,$C$5,Category,$C$6)</f>
        <v>89</v>
      </c>
    </row>
    <row r="69" customFormat="false" ht="15" hidden="false" customHeight="false" outlineLevel="0" collapsed="false">
      <c r="A69" s="34" t="s">
        <v>110</v>
      </c>
      <c r="B69" s="34" t="s">
        <v>90</v>
      </c>
      <c r="C69" s="23" t="n">
        <f aca="false">SUMIFS(Revenue,Product,$A69,Region,$C$4,Channel,$C$5,Category,$C$6)</f>
        <v>142305.45</v>
      </c>
      <c r="D69" s="23" t="n">
        <f aca="false">SUMIFS(Profit,Product,$A69,Region,$C$4,Channel,$C$5,Category,$C$6)</f>
        <v>13305.45</v>
      </c>
      <c r="E69" s="24" t="n">
        <f aca="false">IF(C69=0,0,D69/C69)</f>
        <v>0.0934992300013808</v>
      </c>
      <c r="F69" s="35" t="n">
        <f aca="false">COUNTIFS(Product,$A69,Region,$C$4,Channel,$C$5,Category,$C$6)</f>
        <v>77</v>
      </c>
    </row>
    <row r="70" customFormat="false" ht="15" hidden="false" customHeight="false" outlineLevel="0" collapsed="false">
      <c r="A70" s="34" t="s">
        <v>111</v>
      </c>
      <c r="B70" s="34" t="s">
        <v>90</v>
      </c>
      <c r="C70" s="23" t="n">
        <f aca="false">SUMIFS(Revenue,Product,$A70,Region,$C$4,Channel,$C$5,Category,$C$6)</f>
        <v>312624.9</v>
      </c>
      <c r="D70" s="23" t="n">
        <f aca="false">SUMIFS(Profit,Product,$A70,Region,$C$4,Channel,$C$5,Category,$C$6)</f>
        <v>31824.9</v>
      </c>
      <c r="E70" s="24" t="n">
        <f aca="false">IF(C70=0,0,D70/C70)</f>
        <v>0.101798992978486</v>
      </c>
      <c r="F70" s="35" t="n">
        <f aca="false">COUNTIFS(Product,$A70,Region,$C$4,Channel,$C$5,Category,$C$6)</f>
        <v>80</v>
      </c>
    </row>
    <row r="71" customFormat="false" ht="15" hidden="false" customHeight="false" outlineLevel="0" collapsed="false">
      <c r="A71" s="34" t="s">
        <v>112</v>
      </c>
      <c r="B71" s="34" t="s">
        <v>92</v>
      </c>
      <c r="C71" s="23" t="n">
        <f aca="false">SUMIFS(Revenue,Product,$A71,Region,$C$4,Channel,$C$5,Category,$C$6)</f>
        <v>295260.5</v>
      </c>
      <c r="D71" s="23" t="n">
        <f aca="false">SUMIFS(Profit,Product,$A71,Region,$C$4,Channel,$C$5,Category,$C$6)</f>
        <v>74760.5</v>
      </c>
      <c r="E71" s="24" t="n">
        <f aca="false">IF(C71=0,0,D71/C71)</f>
        <v>0.253201833635044</v>
      </c>
      <c r="F71" s="35" t="n">
        <f aca="false">COUNTIFS(Product,$A71,Region,$C$4,Channel,$C$5,Category,$C$6)</f>
        <v>51</v>
      </c>
    </row>
    <row r="72" customFormat="false" ht="15" hidden="false" customHeight="false" outlineLevel="0" collapsed="false">
      <c r="A72" s="34" t="s">
        <v>113</v>
      </c>
      <c r="B72" s="34" t="s">
        <v>92</v>
      </c>
      <c r="C72" s="23" t="n">
        <f aca="false">SUMIFS(Revenue,Product,$A72,Region,$C$4,Channel,$C$5,Category,$C$6)</f>
        <v>145353.9</v>
      </c>
      <c r="D72" s="23" t="n">
        <f aca="false">SUMIFS(Profit,Product,$A72,Region,$C$4,Channel,$C$5,Category,$C$6)</f>
        <v>43153.9</v>
      </c>
      <c r="E72" s="24" t="n">
        <f aca="false">IF(C72=0,0,D72/C72)</f>
        <v>0.296888490780089</v>
      </c>
      <c r="F72" s="35" t="n">
        <f aca="false">COUNTIFS(Product,$A72,Region,$C$4,Channel,$C$5,Category,$C$6)</f>
        <v>49</v>
      </c>
    </row>
    <row r="73" customFormat="false" ht="15" hidden="false" customHeight="false" outlineLevel="0" collapsed="false">
      <c r="A73" s="34" t="s">
        <v>114</v>
      </c>
      <c r="B73" s="34" t="s">
        <v>92</v>
      </c>
      <c r="C73" s="23" t="n">
        <f aca="false">SUMIFS(Revenue,Product,$A73,Region,$C$4,Channel,$C$5,Category,$C$6)</f>
        <v>84349.65</v>
      </c>
      <c r="D73" s="23" t="n">
        <f aca="false">SUMIFS(Profit,Product,$A73,Region,$C$4,Channel,$C$5,Category,$C$6)</f>
        <v>23509.65</v>
      </c>
      <c r="E73" s="24" t="n">
        <f aca="false">IF(C73=0,0,D73/C73)</f>
        <v>0.278716627751271</v>
      </c>
      <c r="F73" s="35" t="n">
        <f aca="false">COUNTIFS(Product,$A73,Region,$C$4,Channel,$C$5,Category,$C$6)</f>
        <v>45</v>
      </c>
    </row>
    <row r="74" customFormat="false" ht="15" hidden="false" customHeight="false" outlineLevel="0" collapsed="false">
      <c r="A74" s="34" t="s">
        <v>115</v>
      </c>
      <c r="B74" s="34" t="s">
        <v>92</v>
      </c>
      <c r="C74" s="23" t="n">
        <f aca="false">SUMIFS(Revenue,Product,$A74,Region,$C$4,Channel,$C$5,Category,$C$6)</f>
        <v>171624.6</v>
      </c>
      <c r="D74" s="23" t="n">
        <f aca="false">SUMIFS(Profit,Product,$A74,Region,$C$4,Channel,$C$5,Category,$C$6)</f>
        <v>46274.6</v>
      </c>
      <c r="E74" s="24" t="n">
        <f aca="false">IF(C74=0,0,D74/C74)</f>
        <v>0.269626848365561</v>
      </c>
      <c r="F74" s="35" t="n">
        <f aca="false">COUNTIFS(Product,$A74,Region,$C$4,Channel,$C$5,Category,$C$6)</f>
        <v>58</v>
      </c>
    </row>
    <row r="75" customFormat="false" ht="15" hidden="false" customHeight="false" outlineLevel="0" collapsed="false">
      <c r="A75" s="34" t="s">
        <v>116</v>
      </c>
      <c r="B75" s="34" t="s">
        <v>91</v>
      </c>
      <c r="C75" s="23" t="n">
        <f aca="false">SUMIFS(Revenue,Product,$A75,Region,$C$4,Channel,$C$5,Category,$C$6)</f>
        <v>84640.85</v>
      </c>
      <c r="D75" s="23" t="n">
        <f aca="false">SUMIFS(Profit,Product,$A75,Region,$C$4,Channel,$C$5,Category,$C$6)</f>
        <v>39060.85</v>
      </c>
      <c r="E75" s="24" t="n">
        <f aca="false">IF(C75=0,0,D75/C75)</f>
        <v>0.461489339958188</v>
      </c>
      <c r="F75" s="35" t="n">
        <f aca="false">COUNTIFS(Product,$A75,Region,$C$4,Channel,$C$5,Category,$C$6)</f>
        <v>69</v>
      </c>
    </row>
    <row r="76" customFormat="false" ht="15" hidden="false" customHeight="false" outlineLevel="0" collapsed="false">
      <c r="A76" s="34" t="s">
        <v>117</v>
      </c>
      <c r="B76" s="34" t="s">
        <v>91</v>
      </c>
      <c r="C76" s="23" t="n">
        <f aca="false">SUMIFS(Revenue,Product,$A76,Region,$C$4,Channel,$C$5,Category,$C$6)</f>
        <v>191047.55</v>
      </c>
      <c r="D76" s="23" t="n">
        <f aca="false">SUMIFS(Profit,Product,$A76,Region,$C$4,Channel,$C$5,Category,$C$6)</f>
        <v>82627.55</v>
      </c>
      <c r="E76" s="24" t="n">
        <f aca="false">IF(C76=0,0,D76/C76)</f>
        <v>0.432497302373153</v>
      </c>
      <c r="F76" s="35" t="n">
        <f aca="false">COUNTIFS(Product,$A76,Region,$C$4,Channel,$C$5,Category,$C$6)</f>
        <v>80</v>
      </c>
    </row>
    <row r="77" customFormat="false" ht="15" hidden="false" customHeight="false" outlineLevel="0" collapsed="false">
      <c r="A77" s="34" t="s">
        <v>118</v>
      </c>
      <c r="B77" s="34" t="s">
        <v>91</v>
      </c>
      <c r="C77" s="23" t="n">
        <f aca="false">SUMIFS(Revenue,Product,$A77,Region,$C$4,Channel,$C$5,Category,$C$6)</f>
        <v>240130.55</v>
      </c>
      <c r="D77" s="23" t="n">
        <f aca="false">SUMIFS(Profit,Product,$A77,Region,$C$4,Channel,$C$5,Category,$C$6)</f>
        <v>88030.55</v>
      </c>
      <c r="E77" s="24" t="n">
        <f aca="false">IF(C77=0,0,D77/C77)</f>
        <v>0.366594546174987</v>
      </c>
      <c r="F77" s="35" t="n">
        <f aca="false">COUNTIFS(Product,$A77,Region,$C$4,Channel,$C$5,Category,$C$6)</f>
        <v>67</v>
      </c>
    </row>
    <row r="78" customFormat="false" ht="15" hidden="false" customHeight="false" outlineLevel="0" collapsed="false">
      <c r="A78" s="34" t="s">
        <v>119</v>
      </c>
      <c r="B78" s="34" t="s">
        <v>91</v>
      </c>
      <c r="C78" s="23" t="n">
        <f aca="false">SUMIFS(Revenue,Product,$A78,Region,$C$4,Channel,$C$5,Category,$C$6)</f>
        <v>104679.75</v>
      </c>
      <c r="D78" s="23" t="n">
        <f aca="false">SUMIFS(Profit,Product,$A78,Region,$C$4,Channel,$C$5,Category,$C$6)</f>
        <v>45319.75</v>
      </c>
      <c r="E78" s="24" t="n">
        <f aca="false">IF(C78=0,0,D78/C78)</f>
        <v>0.432937124897604</v>
      </c>
      <c r="F78" s="35" t="n">
        <f aca="false">COUNTIFS(Product,$A78,Region,$C$4,Channel,$C$5,Category,$C$6)</f>
        <v>72</v>
      </c>
    </row>
    <row r="79" customFormat="false" ht="15" hidden="false" customHeight="false" outlineLevel="0" collapsed="false">
      <c r="A79" s="34" t="s">
        <v>120</v>
      </c>
      <c r="B79" s="34" t="s">
        <v>93</v>
      </c>
      <c r="C79" s="23" t="n">
        <f aca="false">SUMIFS(Revenue,Product,$A79,Region,$C$4,Channel,$C$5,Category,$C$6)</f>
        <v>25054.2</v>
      </c>
      <c r="D79" s="23" t="n">
        <f aca="false">SUMIFS(Profit,Product,$A79,Region,$C$4,Channel,$C$5,Category,$C$6)</f>
        <v>9934.2</v>
      </c>
      <c r="E79" s="24" t="n">
        <f aca="false">IF(C79=0,0,D79/C79)</f>
        <v>0.396508369854156</v>
      </c>
      <c r="F79" s="35" t="n">
        <f aca="false">COUNTIFS(Product,$A79,Region,$C$4,Channel,$C$5,Category,$C$6)</f>
        <v>42</v>
      </c>
    </row>
    <row r="80" customFormat="false" ht="15" hidden="false" customHeight="false" outlineLevel="0" collapsed="false">
      <c r="A80" s="34" t="s">
        <v>121</v>
      </c>
      <c r="B80" s="34" t="s">
        <v>93</v>
      </c>
      <c r="C80" s="23" t="n">
        <f aca="false">SUMIFS(Revenue,Product,$A80,Region,$C$4,Channel,$C$5,Category,$C$6)</f>
        <v>72527.4</v>
      </c>
      <c r="D80" s="23" t="n">
        <f aca="false">SUMIFS(Profit,Product,$A80,Region,$C$4,Channel,$C$5,Category,$C$6)</f>
        <v>32027.4</v>
      </c>
      <c r="E80" s="24" t="n">
        <f aca="false">IF(C80=0,0,D80/C80)</f>
        <v>0.44159035068126</v>
      </c>
      <c r="F80" s="35" t="n">
        <f aca="false">COUNTIFS(Product,$A80,Region,$C$4,Channel,$C$5,Category,$C$6)</f>
        <v>44</v>
      </c>
    </row>
    <row r="81" customFormat="false" ht="15" hidden="false" customHeight="false" outlineLevel="0" collapsed="false">
      <c r="A81" s="34" t="s">
        <v>122</v>
      </c>
      <c r="B81" s="34" t="s">
        <v>93</v>
      </c>
      <c r="C81" s="23" t="n">
        <f aca="false">SUMIFS(Revenue,Product,$A81,Region,$C$4,Channel,$C$5,Category,$C$6)</f>
        <v>121792.3</v>
      </c>
      <c r="D81" s="23" t="n">
        <f aca="false">SUMIFS(Profit,Product,$A81,Region,$C$4,Channel,$C$5,Category,$C$6)</f>
        <v>26792.3</v>
      </c>
      <c r="E81" s="24" t="n">
        <f aca="false">IF(C81=0,0,D81/C81)</f>
        <v>0.219983529336419</v>
      </c>
      <c r="F81" s="35" t="n">
        <f aca="false">COUNTIFS(Product,$A81,Region,$C$4,Channel,$C$5,Category,$C$6)</f>
        <v>47</v>
      </c>
    </row>
    <row r="82" customFormat="false" ht="15" hidden="false" customHeight="false" outlineLevel="0" collapsed="false">
      <c r="A82" s="34" t="s">
        <v>123</v>
      </c>
      <c r="B82" s="34" t="s">
        <v>93</v>
      </c>
      <c r="C82" s="23" t="n">
        <f aca="false">SUMIFS(Revenue,Product,$A82,Region,$C$4,Channel,$C$5,Category,$C$6)</f>
        <v>82161.75</v>
      </c>
      <c r="D82" s="23" t="n">
        <f aca="false">SUMIFS(Profit,Product,$A82,Region,$C$4,Channel,$C$5,Category,$C$6)</f>
        <v>32461.75</v>
      </c>
      <c r="E82" s="24" t="n">
        <f aca="false">IF(C82=0,0,D82/C82)</f>
        <v>0.39509564973969</v>
      </c>
      <c r="F82" s="35" t="n">
        <f aca="false">COUNTIFS(Product,$A82,Region,$C$4,Channel,$C$5,Category,$C$6)</f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R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6" min="5" style="0" width="9"/>
    <col collapsed="false" customWidth="true" hidden="false" outlineLevel="0" max="7" min="7" style="0" width="15"/>
    <col collapsed="false" customWidth="true" hidden="false" outlineLevel="0" max="8" min="8" style="0" width="19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5" min="13" style="0" width="12"/>
    <col collapsed="false" customWidth="true" hidden="false" outlineLevel="0" max="16" min="16" style="0" width="10"/>
    <col collapsed="false" customWidth="true" hidden="false" outlineLevel="0" max="18" min="17" style="0" width="13"/>
  </cols>
  <sheetData>
    <row r="1" customFormat="false" ht="23.85" hidden="false" customHeight="false" outlineLevel="0" collapsed="false">
      <c r="A1" s="21" t="s">
        <v>124</v>
      </c>
      <c r="B1" s="21" t="s">
        <v>125</v>
      </c>
      <c r="C1" s="21" t="s">
        <v>50</v>
      </c>
      <c r="D1" s="21" t="s">
        <v>126</v>
      </c>
      <c r="E1" s="21" t="s">
        <v>34</v>
      </c>
      <c r="F1" s="21" t="s">
        <v>70</v>
      </c>
      <c r="G1" s="21" t="s">
        <v>71</v>
      </c>
      <c r="H1" s="21" t="s">
        <v>107</v>
      </c>
      <c r="I1" s="21" t="s">
        <v>127</v>
      </c>
      <c r="J1" s="21" t="s">
        <v>128</v>
      </c>
      <c r="K1" s="21" t="s">
        <v>129</v>
      </c>
      <c r="L1" s="21" t="s">
        <v>130</v>
      </c>
      <c r="M1" s="21" t="s">
        <v>84</v>
      </c>
      <c r="N1" s="21" t="s">
        <v>131</v>
      </c>
      <c r="O1" s="21" t="s">
        <v>85</v>
      </c>
      <c r="P1" s="21" t="s">
        <v>42</v>
      </c>
      <c r="Q1" s="21" t="s">
        <v>99</v>
      </c>
      <c r="R1" s="21" t="s">
        <v>132</v>
      </c>
    </row>
    <row r="2" customFormat="false" ht="15" hidden="false" customHeight="false" outlineLevel="0" collapsed="false">
      <c r="A2" s="37" t="s">
        <v>133</v>
      </c>
      <c r="B2" s="38" t="n">
        <v>45674</v>
      </c>
      <c r="C2" s="37" t="n">
        <f aca="false">MONTH(B2)</f>
        <v>1</v>
      </c>
      <c r="D2" s="37" t="s">
        <v>134</v>
      </c>
      <c r="E2" s="37" t="s">
        <v>45</v>
      </c>
      <c r="F2" s="37" t="s">
        <v>97</v>
      </c>
      <c r="G2" s="37" t="s">
        <v>91</v>
      </c>
      <c r="H2" s="37" t="s">
        <v>119</v>
      </c>
      <c r="I2" s="37" t="n">
        <v>1</v>
      </c>
      <c r="J2" s="39" t="n">
        <v>1099</v>
      </c>
      <c r="K2" s="40" t="n">
        <v>0</v>
      </c>
      <c r="L2" s="39" t="n">
        <f aca="false">VLOOKUP(H2,'Product List'!$A$3:$D$18,4,FALSE())</f>
        <v>560</v>
      </c>
      <c r="M2" s="39" t="n">
        <f aca="false">I2*J2*(1-K2)</f>
        <v>1099</v>
      </c>
      <c r="N2" s="39" t="n">
        <f aca="false">I2*L2</f>
        <v>560</v>
      </c>
      <c r="O2" s="39" t="n">
        <f aca="false">M2-N2</f>
        <v>539</v>
      </c>
      <c r="P2" s="41" t="n">
        <f aca="false">IF(M2=0,0,O2/M2)</f>
        <v>0.490445859872611</v>
      </c>
      <c r="Q2" s="37" t="str">
        <f aca="false">IF(K2=0,"No discount",IF(K2&lt;=0.1,"1-10%",IF(K2&lt;=0.2,"11-20%",IF(K2&lt;=0.3,"21-30%","Above 30%"))))</f>
        <v>No discount</v>
      </c>
      <c r="R2" s="39" t="n">
        <f aca="false">I2*J2*MAX(0,K2-DiscountCap)</f>
        <v>0</v>
      </c>
    </row>
    <row r="3" customFormat="false" ht="15" hidden="false" customHeight="false" outlineLevel="0" collapsed="false">
      <c r="A3" s="37" t="s">
        <v>135</v>
      </c>
      <c r="B3" s="38" t="n">
        <v>45663</v>
      </c>
      <c r="C3" s="37" t="n">
        <f aca="false">MONTH(B3)</f>
        <v>1</v>
      </c>
      <c r="D3" s="37" t="s">
        <v>136</v>
      </c>
      <c r="E3" s="37" t="s">
        <v>47</v>
      </c>
      <c r="F3" s="37" t="s">
        <v>97</v>
      </c>
      <c r="G3" s="37" t="s">
        <v>91</v>
      </c>
      <c r="H3" s="37" t="s">
        <v>117</v>
      </c>
      <c r="I3" s="37" t="n">
        <v>1</v>
      </c>
      <c r="J3" s="39" t="n">
        <v>1499</v>
      </c>
      <c r="K3" s="40" t="n">
        <v>0</v>
      </c>
      <c r="L3" s="39" t="n">
        <f aca="false">VLOOKUP(H3,'Product List'!$A$3:$D$18,4,FALSE())</f>
        <v>780</v>
      </c>
      <c r="M3" s="39" t="n">
        <f aca="false">I3*J3*(1-K3)</f>
        <v>1499</v>
      </c>
      <c r="N3" s="39" t="n">
        <f aca="false">I3*L3</f>
        <v>780</v>
      </c>
      <c r="O3" s="39" t="n">
        <f aca="false">M3-N3</f>
        <v>719</v>
      </c>
      <c r="P3" s="41" t="n">
        <f aca="false">IF(M3=0,0,O3/M3)</f>
        <v>0.479653102068045</v>
      </c>
      <c r="Q3" s="37" t="str">
        <f aca="false">IF(K3=0,"No discount",IF(K3&lt;=0.1,"1-10%",IF(K3&lt;=0.2,"11-20%",IF(K3&lt;=0.3,"21-30%","Above 30%"))))</f>
        <v>No discount</v>
      </c>
      <c r="R3" s="39" t="n">
        <f aca="false">I3*J3*MAX(0,K3-DiscountCap)</f>
        <v>0</v>
      </c>
    </row>
    <row r="4" customFormat="false" ht="15" hidden="false" customHeight="false" outlineLevel="0" collapsed="false">
      <c r="A4" s="37" t="s">
        <v>137</v>
      </c>
      <c r="B4" s="38" t="n">
        <v>45669</v>
      </c>
      <c r="C4" s="37" t="n">
        <f aca="false">MONTH(B4)</f>
        <v>1</v>
      </c>
      <c r="D4" s="37" t="s">
        <v>138</v>
      </c>
      <c r="E4" s="37" t="s">
        <v>46</v>
      </c>
      <c r="F4" s="37" t="s">
        <v>97</v>
      </c>
      <c r="G4" s="37" t="s">
        <v>92</v>
      </c>
      <c r="H4" s="37" t="s">
        <v>114</v>
      </c>
      <c r="I4" s="37" t="n">
        <v>1</v>
      </c>
      <c r="J4" s="39" t="n">
        <v>1199</v>
      </c>
      <c r="K4" s="40" t="n">
        <v>0.1</v>
      </c>
      <c r="L4" s="39" t="n">
        <f aca="false">VLOOKUP(H4,'Product List'!$A$3:$D$18,4,FALSE())</f>
        <v>780</v>
      </c>
      <c r="M4" s="39" t="n">
        <f aca="false">I4*J4*(1-K4)</f>
        <v>1079.1</v>
      </c>
      <c r="N4" s="39" t="n">
        <f aca="false">I4*L4</f>
        <v>780</v>
      </c>
      <c r="O4" s="39" t="n">
        <f aca="false">M4-N4</f>
        <v>299.1</v>
      </c>
      <c r="P4" s="41" t="n">
        <f aca="false">IF(M4=0,0,O4/M4)</f>
        <v>0.277175423964415</v>
      </c>
      <c r="Q4" s="37" t="str">
        <f aca="false">IF(K4=0,"No discount",IF(K4&lt;=0.1,"1-10%",IF(K4&lt;=0.2,"11-20%",IF(K4&lt;=0.3,"21-30%","Above 30%"))))</f>
        <v>1-10%</v>
      </c>
      <c r="R4" s="39" t="n">
        <f aca="false">I4*J4*MAX(0,K4-DiscountCap)</f>
        <v>0</v>
      </c>
    </row>
    <row r="5" customFormat="false" ht="15" hidden="false" customHeight="false" outlineLevel="0" collapsed="false">
      <c r="A5" s="37" t="s">
        <v>139</v>
      </c>
      <c r="B5" s="38" t="n">
        <v>45683</v>
      </c>
      <c r="C5" s="37" t="n">
        <f aca="false">MONTH(B5)</f>
        <v>1</v>
      </c>
      <c r="D5" s="37" t="s">
        <v>140</v>
      </c>
      <c r="E5" s="37" t="s">
        <v>44</v>
      </c>
      <c r="F5" s="37" t="s">
        <v>96</v>
      </c>
      <c r="G5" s="37" t="s">
        <v>90</v>
      </c>
      <c r="H5" s="37" t="s">
        <v>109</v>
      </c>
      <c r="I5" s="37" t="n">
        <v>2</v>
      </c>
      <c r="J5" s="39" t="n">
        <v>3499</v>
      </c>
      <c r="K5" s="40" t="n">
        <v>0.2</v>
      </c>
      <c r="L5" s="39" t="n">
        <f aca="false">VLOOKUP(H5,'Product List'!$A$3:$D$18,4,FALSE())</f>
        <v>2750</v>
      </c>
      <c r="M5" s="39" t="n">
        <f aca="false">I5*J5*(1-K5)</f>
        <v>5598.4</v>
      </c>
      <c r="N5" s="39" t="n">
        <f aca="false">I5*L5</f>
        <v>5500</v>
      </c>
      <c r="O5" s="39" t="n">
        <f aca="false">M5-N5</f>
        <v>98.4000000000006</v>
      </c>
      <c r="P5" s="41" t="n">
        <f aca="false">IF(M5=0,0,O5/M5)</f>
        <v>0.0175764504144042</v>
      </c>
      <c r="Q5" s="37" t="str">
        <f aca="false">IF(K5=0,"No discount",IF(K5&lt;=0.1,"1-10%",IF(K5&lt;=0.2,"11-20%",IF(K5&lt;=0.3,"21-30%","Above 30%"))))</f>
        <v>11-20%</v>
      </c>
      <c r="R5" s="39" t="n">
        <f aca="false">I5*J5*MAX(0,K5-DiscountCap)</f>
        <v>0</v>
      </c>
    </row>
    <row r="6" customFormat="false" ht="15" hidden="false" customHeight="false" outlineLevel="0" collapsed="false">
      <c r="A6" s="37" t="s">
        <v>141</v>
      </c>
      <c r="B6" s="38" t="n">
        <v>45672</v>
      </c>
      <c r="C6" s="37" t="n">
        <f aca="false">MONTH(B6)</f>
        <v>1</v>
      </c>
      <c r="D6" s="37" t="s">
        <v>142</v>
      </c>
      <c r="E6" s="37" t="s">
        <v>47</v>
      </c>
      <c r="F6" s="37" t="s">
        <v>96</v>
      </c>
      <c r="G6" s="37" t="s">
        <v>90</v>
      </c>
      <c r="H6" s="37" t="s">
        <v>109</v>
      </c>
      <c r="I6" s="37" t="n">
        <v>1</v>
      </c>
      <c r="J6" s="39" t="n">
        <v>3499</v>
      </c>
      <c r="K6" s="40" t="n">
        <v>0.1</v>
      </c>
      <c r="L6" s="39" t="n">
        <f aca="false">VLOOKUP(H6,'Product List'!$A$3:$D$18,4,FALSE())</f>
        <v>2750</v>
      </c>
      <c r="M6" s="39" t="n">
        <f aca="false">I6*J6*(1-K6)</f>
        <v>3149.1</v>
      </c>
      <c r="N6" s="39" t="n">
        <f aca="false">I6*L6</f>
        <v>2750</v>
      </c>
      <c r="O6" s="39" t="n">
        <f aca="false">M6-N6</f>
        <v>399.1</v>
      </c>
      <c r="P6" s="41" t="n">
        <f aca="false">IF(M6=0,0,O6/M6)</f>
        <v>0.126734622590581</v>
      </c>
      <c r="Q6" s="37" t="str">
        <f aca="false">IF(K6=0,"No discount",IF(K6&lt;=0.1,"1-10%",IF(K6&lt;=0.2,"11-20%",IF(K6&lt;=0.3,"21-30%","Above 30%"))))</f>
        <v>1-10%</v>
      </c>
      <c r="R6" s="39" t="n">
        <f aca="false">I6*J6*MAX(0,K6-DiscountCap)</f>
        <v>0</v>
      </c>
    </row>
    <row r="7" customFormat="false" ht="15" hidden="false" customHeight="false" outlineLevel="0" collapsed="false">
      <c r="A7" s="37" t="s">
        <v>143</v>
      </c>
      <c r="B7" s="38" t="n">
        <v>45678</v>
      </c>
      <c r="C7" s="37" t="n">
        <f aca="false">MONTH(B7)</f>
        <v>1</v>
      </c>
      <c r="D7" s="37" t="s">
        <v>144</v>
      </c>
      <c r="E7" s="37" t="s">
        <v>45</v>
      </c>
      <c r="F7" s="37" t="s">
        <v>97</v>
      </c>
      <c r="G7" s="37" t="s">
        <v>91</v>
      </c>
      <c r="H7" s="37" t="s">
        <v>117</v>
      </c>
      <c r="I7" s="37" t="n">
        <v>2</v>
      </c>
      <c r="J7" s="39" t="n">
        <v>1499</v>
      </c>
      <c r="K7" s="40" t="n">
        <v>0</v>
      </c>
      <c r="L7" s="39" t="n">
        <f aca="false">VLOOKUP(H7,'Product List'!$A$3:$D$18,4,FALSE())</f>
        <v>780</v>
      </c>
      <c r="M7" s="39" t="n">
        <f aca="false">I7*J7*(1-K7)</f>
        <v>2998</v>
      </c>
      <c r="N7" s="39" t="n">
        <f aca="false">I7*L7</f>
        <v>1560</v>
      </c>
      <c r="O7" s="39" t="n">
        <f aca="false">M7-N7</f>
        <v>1438</v>
      </c>
      <c r="P7" s="41" t="n">
        <f aca="false">IF(M7=0,0,O7/M7)</f>
        <v>0.479653102068045</v>
      </c>
      <c r="Q7" s="37" t="str">
        <f aca="false">IF(K7=0,"No discount",IF(K7&lt;=0.1,"1-10%",IF(K7&lt;=0.2,"11-20%",IF(K7&lt;=0.3,"21-30%","Above 30%"))))</f>
        <v>No discount</v>
      </c>
      <c r="R7" s="39" t="n">
        <f aca="false">I7*J7*MAX(0,K7-DiscountCap)</f>
        <v>0</v>
      </c>
    </row>
    <row r="8" customFormat="false" ht="15" hidden="false" customHeight="false" outlineLevel="0" collapsed="false">
      <c r="A8" s="37" t="s">
        <v>145</v>
      </c>
      <c r="B8" s="38" t="n">
        <v>45683</v>
      </c>
      <c r="C8" s="37" t="n">
        <f aca="false">MONTH(B8)</f>
        <v>1</v>
      </c>
      <c r="D8" s="37" t="s">
        <v>146</v>
      </c>
      <c r="E8" s="37" t="s">
        <v>45</v>
      </c>
      <c r="F8" s="37" t="s">
        <v>96</v>
      </c>
      <c r="G8" s="37" t="s">
        <v>91</v>
      </c>
      <c r="H8" s="37" t="s">
        <v>117</v>
      </c>
      <c r="I8" s="37" t="n">
        <v>1</v>
      </c>
      <c r="J8" s="39" t="n">
        <v>1499</v>
      </c>
      <c r="K8" s="40" t="n">
        <v>0.15</v>
      </c>
      <c r="L8" s="39" t="n">
        <f aca="false">VLOOKUP(H8,'Product List'!$A$3:$D$18,4,FALSE())</f>
        <v>780</v>
      </c>
      <c r="M8" s="39" t="n">
        <f aca="false">I8*J8*(1-K8)</f>
        <v>1274.15</v>
      </c>
      <c r="N8" s="39" t="n">
        <f aca="false">I8*L8</f>
        <v>780</v>
      </c>
      <c r="O8" s="39" t="n">
        <f aca="false">M8-N8</f>
        <v>494.15</v>
      </c>
      <c r="P8" s="41" t="n">
        <f aca="false">IF(M8=0,0,O8/M8)</f>
        <v>0.387827178903583</v>
      </c>
      <c r="Q8" s="37" t="str">
        <f aca="false">IF(K8=0,"No discount",IF(K8&lt;=0.1,"1-10%",IF(K8&lt;=0.2,"11-20%",IF(K8&lt;=0.3,"21-30%","Above 30%"))))</f>
        <v>11-20%</v>
      </c>
      <c r="R8" s="39" t="n">
        <f aca="false">I8*J8*MAX(0,K8-DiscountCap)</f>
        <v>0</v>
      </c>
    </row>
    <row r="9" customFormat="false" ht="15" hidden="false" customHeight="false" outlineLevel="0" collapsed="false">
      <c r="A9" s="37" t="s">
        <v>147</v>
      </c>
      <c r="B9" s="38" t="n">
        <v>45671</v>
      </c>
      <c r="C9" s="37" t="n">
        <f aca="false">MONTH(B9)</f>
        <v>1</v>
      </c>
      <c r="D9" s="37" t="s">
        <v>136</v>
      </c>
      <c r="E9" s="37" t="s">
        <v>47</v>
      </c>
      <c r="F9" s="37" t="s">
        <v>96</v>
      </c>
      <c r="G9" s="37" t="s">
        <v>92</v>
      </c>
      <c r="H9" s="37" t="s">
        <v>112</v>
      </c>
      <c r="I9" s="37" t="n">
        <v>2</v>
      </c>
      <c r="J9" s="39" t="n">
        <v>3299</v>
      </c>
      <c r="K9" s="40" t="n">
        <v>0</v>
      </c>
      <c r="L9" s="39" t="n">
        <f aca="false">VLOOKUP(H9,'Product List'!$A$3:$D$18,4,FALSE())</f>
        <v>2250</v>
      </c>
      <c r="M9" s="39" t="n">
        <f aca="false">I9*J9*(1-K9)</f>
        <v>6598</v>
      </c>
      <c r="N9" s="39" t="n">
        <f aca="false">I9*L9</f>
        <v>4500</v>
      </c>
      <c r="O9" s="39" t="n">
        <f aca="false">M9-N9</f>
        <v>2098</v>
      </c>
      <c r="P9" s="41" t="n">
        <f aca="false">IF(M9=0,0,O9/M9)</f>
        <v>0.317975143983025</v>
      </c>
      <c r="Q9" s="37" t="str">
        <f aca="false">IF(K9=0,"No discount",IF(K9&lt;=0.1,"1-10%",IF(K9&lt;=0.2,"11-20%",IF(K9&lt;=0.3,"21-30%","Above 30%"))))</f>
        <v>No discount</v>
      </c>
      <c r="R9" s="39" t="n">
        <f aca="false">I9*J9*MAX(0,K9-DiscountCap)</f>
        <v>0</v>
      </c>
    </row>
    <row r="10" customFormat="false" ht="15" hidden="false" customHeight="false" outlineLevel="0" collapsed="false">
      <c r="A10" s="37" t="s">
        <v>148</v>
      </c>
      <c r="B10" s="38" t="n">
        <v>45687</v>
      </c>
      <c r="C10" s="37" t="n">
        <f aca="false">MONTH(B10)</f>
        <v>1</v>
      </c>
      <c r="D10" s="37" t="s">
        <v>134</v>
      </c>
      <c r="E10" s="37" t="s">
        <v>45</v>
      </c>
      <c r="F10" s="37" t="s">
        <v>96</v>
      </c>
      <c r="G10" s="37" t="s">
        <v>90</v>
      </c>
      <c r="H10" s="37" t="s">
        <v>111</v>
      </c>
      <c r="I10" s="37" t="n">
        <v>1</v>
      </c>
      <c r="J10" s="39" t="n">
        <v>2499</v>
      </c>
      <c r="K10" s="40" t="n">
        <v>0.2</v>
      </c>
      <c r="L10" s="39" t="n">
        <f aca="false">VLOOKUP(H10,'Product List'!$A$3:$D$18,4,FALSE())</f>
        <v>1950</v>
      </c>
      <c r="M10" s="39" t="n">
        <f aca="false">I10*J10*(1-K10)</f>
        <v>1999.2</v>
      </c>
      <c r="N10" s="39" t="n">
        <f aca="false">I10*L10</f>
        <v>1950</v>
      </c>
      <c r="O10" s="39" t="n">
        <f aca="false">M10-N10</f>
        <v>49.2</v>
      </c>
      <c r="P10" s="41" t="n">
        <f aca="false">IF(M10=0,0,O10/M10)</f>
        <v>0.0246098439375751</v>
      </c>
      <c r="Q10" s="37" t="str">
        <f aca="false">IF(K10=0,"No discount",IF(K10&lt;=0.1,"1-10%",IF(K10&lt;=0.2,"11-20%",IF(K10&lt;=0.3,"21-30%","Above 30%"))))</f>
        <v>11-20%</v>
      </c>
      <c r="R10" s="39" t="n">
        <f aca="false">I10*J10*MAX(0,K10-DiscountCap)</f>
        <v>0</v>
      </c>
    </row>
    <row r="11" customFormat="false" ht="15" hidden="false" customHeight="false" outlineLevel="0" collapsed="false">
      <c r="A11" s="37" t="s">
        <v>149</v>
      </c>
      <c r="B11" s="38" t="n">
        <v>45659</v>
      </c>
      <c r="C11" s="37" t="n">
        <f aca="false">MONTH(B11)</f>
        <v>1</v>
      </c>
      <c r="D11" s="37" t="s">
        <v>134</v>
      </c>
      <c r="E11" s="37" t="s">
        <v>45</v>
      </c>
      <c r="F11" s="37" t="s">
        <v>97</v>
      </c>
      <c r="G11" s="37" t="s">
        <v>92</v>
      </c>
      <c r="H11" s="37" t="s">
        <v>112</v>
      </c>
      <c r="I11" s="37" t="n">
        <v>2</v>
      </c>
      <c r="J11" s="39" t="n">
        <v>3299</v>
      </c>
      <c r="K11" s="40" t="n">
        <v>0.05</v>
      </c>
      <c r="L11" s="39" t="n">
        <f aca="false">VLOOKUP(H11,'Product List'!$A$3:$D$18,4,FALSE())</f>
        <v>2250</v>
      </c>
      <c r="M11" s="39" t="n">
        <f aca="false">I11*J11*(1-K11)</f>
        <v>6268.1</v>
      </c>
      <c r="N11" s="39" t="n">
        <f aca="false">I11*L11</f>
        <v>4500</v>
      </c>
      <c r="O11" s="39" t="n">
        <f aca="false">M11-N11</f>
        <v>1768.1</v>
      </c>
      <c r="P11" s="41" t="n">
        <f aca="false">IF(M11=0,0,O11/M11)</f>
        <v>0.2820790989295</v>
      </c>
      <c r="Q11" s="37" t="str">
        <f aca="false">IF(K11=0,"No discount",IF(K11&lt;=0.1,"1-10%",IF(K11&lt;=0.2,"11-20%",IF(K11&lt;=0.3,"21-30%","Above 30%"))))</f>
        <v>1-10%</v>
      </c>
      <c r="R11" s="39" t="n">
        <f aca="false">I11*J11*MAX(0,K11-DiscountCap)</f>
        <v>0</v>
      </c>
    </row>
    <row r="12" customFormat="false" ht="15" hidden="false" customHeight="false" outlineLevel="0" collapsed="false">
      <c r="A12" s="37" t="s">
        <v>150</v>
      </c>
      <c r="B12" s="38" t="n">
        <v>45686</v>
      </c>
      <c r="C12" s="37" t="n">
        <f aca="false">MONTH(B12)</f>
        <v>1</v>
      </c>
      <c r="D12" s="37" t="s">
        <v>144</v>
      </c>
      <c r="E12" s="37" t="s">
        <v>45</v>
      </c>
      <c r="F12" s="37" t="s">
        <v>97</v>
      </c>
      <c r="G12" s="37" t="s">
        <v>91</v>
      </c>
      <c r="H12" s="37" t="s">
        <v>117</v>
      </c>
      <c r="I12" s="37" t="n">
        <v>1</v>
      </c>
      <c r="J12" s="39" t="n">
        <v>1499</v>
      </c>
      <c r="K12" s="40" t="n">
        <v>0</v>
      </c>
      <c r="L12" s="39" t="n">
        <f aca="false">VLOOKUP(H12,'Product List'!$A$3:$D$18,4,FALSE())</f>
        <v>780</v>
      </c>
      <c r="M12" s="39" t="n">
        <f aca="false">I12*J12*(1-K12)</f>
        <v>1499</v>
      </c>
      <c r="N12" s="39" t="n">
        <f aca="false">I12*L12</f>
        <v>780</v>
      </c>
      <c r="O12" s="39" t="n">
        <f aca="false">M12-N12</f>
        <v>719</v>
      </c>
      <c r="P12" s="41" t="n">
        <f aca="false">IF(M12=0,0,O12/M12)</f>
        <v>0.479653102068045</v>
      </c>
      <c r="Q12" s="37" t="str">
        <f aca="false">IF(K12=0,"No discount",IF(K12&lt;=0.1,"1-10%",IF(K12&lt;=0.2,"11-20%",IF(K12&lt;=0.3,"21-30%","Above 30%"))))</f>
        <v>No discount</v>
      </c>
      <c r="R12" s="39" t="n">
        <f aca="false">I12*J12*MAX(0,K12-DiscountCap)</f>
        <v>0</v>
      </c>
    </row>
    <row r="13" customFormat="false" ht="15" hidden="false" customHeight="false" outlineLevel="0" collapsed="false">
      <c r="A13" s="37" t="s">
        <v>151</v>
      </c>
      <c r="B13" s="38" t="n">
        <v>45686</v>
      </c>
      <c r="C13" s="37" t="n">
        <f aca="false">MONTH(B13)</f>
        <v>1</v>
      </c>
      <c r="D13" s="37" t="s">
        <v>136</v>
      </c>
      <c r="E13" s="37" t="s">
        <v>47</v>
      </c>
      <c r="F13" s="37" t="s">
        <v>96</v>
      </c>
      <c r="G13" s="37" t="s">
        <v>90</v>
      </c>
      <c r="H13" s="37" t="s">
        <v>111</v>
      </c>
      <c r="I13" s="37" t="n">
        <v>1</v>
      </c>
      <c r="J13" s="39" t="n">
        <v>2499</v>
      </c>
      <c r="K13" s="40" t="n">
        <v>0.1</v>
      </c>
      <c r="L13" s="39" t="n">
        <f aca="false">VLOOKUP(H13,'Product List'!$A$3:$D$18,4,FALSE())</f>
        <v>1950</v>
      </c>
      <c r="M13" s="39" t="n">
        <f aca="false">I13*J13*(1-K13)</f>
        <v>2249.1</v>
      </c>
      <c r="N13" s="39" t="n">
        <f aca="false">I13*L13</f>
        <v>1950</v>
      </c>
      <c r="O13" s="39" t="n">
        <f aca="false">M13-N13</f>
        <v>299.1</v>
      </c>
      <c r="P13" s="41" t="n">
        <f aca="false">IF(M13=0,0,O13/M13)</f>
        <v>0.132986527944511</v>
      </c>
      <c r="Q13" s="37" t="str">
        <f aca="false">IF(K13=0,"No discount",IF(K13&lt;=0.1,"1-10%",IF(K13&lt;=0.2,"11-20%",IF(K13&lt;=0.3,"21-30%","Above 30%"))))</f>
        <v>1-10%</v>
      </c>
      <c r="R13" s="39" t="n">
        <f aca="false">I13*J13*MAX(0,K13-DiscountCap)</f>
        <v>0</v>
      </c>
    </row>
    <row r="14" customFormat="false" ht="15" hidden="false" customHeight="false" outlineLevel="0" collapsed="false">
      <c r="A14" s="37" t="s">
        <v>152</v>
      </c>
      <c r="B14" s="38" t="n">
        <v>45681</v>
      </c>
      <c r="C14" s="37" t="n">
        <f aca="false">MONTH(B14)</f>
        <v>1</v>
      </c>
      <c r="D14" s="37" t="s">
        <v>144</v>
      </c>
      <c r="E14" s="37" t="s">
        <v>45</v>
      </c>
      <c r="F14" s="37" t="s">
        <v>96</v>
      </c>
      <c r="G14" s="37" t="s">
        <v>92</v>
      </c>
      <c r="H14" s="37" t="s">
        <v>114</v>
      </c>
      <c r="I14" s="37" t="n">
        <v>1</v>
      </c>
      <c r="J14" s="39" t="n">
        <v>1199</v>
      </c>
      <c r="K14" s="40" t="n">
        <v>0.05</v>
      </c>
      <c r="L14" s="39" t="n">
        <f aca="false">VLOOKUP(H14,'Product List'!$A$3:$D$18,4,FALSE())</f>
        <v>780</v>
      </c>
      <c r="M14" s="39" t="n">
        <f aca="false">I14*J14*(1-K14)</f>
        <v>1139.05</v>
      </c>
      <c r="N14" s="39" t="n">
        <f aca="false">I14*L14</f>
        <v>780</v>
      </c>
      <c r="O14" s="39" t="n">
        <f aca="false">M14-N14</f>
        <v>359.05</v>
      </c>
      <c r="P14" s="41" t="n">
        <f aca="false">IF(M14=0,0,O14/M14)</f>
        <v>0.31521882270313</v>
      </c>
      <c r="Q14" s="37" t="str">
        <f aca="false">IF(K14=0,"No discount",IF(K14&lt;=0.1,"1-10%",IF(K14&lt;=0.2,"11-20%",IF(K14&lt;=0.3,"21-30%","Above 30%"))))</f>
        <v>1-10%</v>
      </c>
      <c r="R14" s="39" t="n">
        <f aca="false">I14*J14*MAX(0,K14-DiscountCap)</f>
        <v>0</v>
      </c>
    </row>
    <row r="15" customFormat="false" ht="15" hidden="false" customHeight="false" outlineLevel="0" collapsed="false">
      <c r="A15" s="37" t="s">
        <v>153</v>
      </c>
      <c r="B15" s="38" t="n">
        <v>45660</v>
      </c>
      <c r="C15" s="37" t="n">
        <f aca="false">MONTH(B15)</f>
        <v>1</v>
      </c>
      <c r="D15" s="37" t="s">
        <v>154</v>
      </c>
      <c r="E15" s="37" t="s">
        <v>47</v>
      </c>
      <c r="F15" s="37" t="s">
        <v>96</v>
      </c>
      <c r="G15" s="37" t="s">
        <v>90</v>
      </c>
      <c r="H15" s="37" t="s">
        <v>108</v>
      </c>
      <c r="I15" s="37" t="n">
        <v>2</v>
      </c>
      <c r="J15" s="39" t="n">
        <v>1999</v>
      </c>
      <c r="K15" s="40" t="n">
        <v>0</v>
      </c>
      <c r="L15" s="39" t="n">
        <f aca="false">VLOOKUP(H15,'Product List'!$A$3:$D$18,4,FALSE())</f>
        <v>1560</v>
      </c>
      <c r="M15" s="39" t="n">
        <f aca="false">I15*J15*(1-K15)</f>
        <v>3998</v>
      </c>
      <c r="N15" s="39" t="n">
        <f aca="false">I15*L15</f>
        <v>3120</v>
      </c>
      <c r="O15" s="39" t="n">
        <f aca="false">M15-N15</f>
        <v>878</v>
      </c>
      <c r="P15" s="41" t="n">
        <f aca="false">IF(M15=0,0,O15/M15)</f>
        <v>0.219609804902451</v>
      </c>
      <c r="Q15" s="37" t="str">
        <f aca="false">IF(K15=0,"No discount",IF(K15&lt;=0.1,"1-10%",IF(K15&lt;=0.2,"11-20%",IF(K15&lt;=0.3,"21-30%","Above 30%"))))</f>
        <v>No discount</v>
      </c>
      <c r="R15" s="39" t="n">
        <f aca="false">I15*J15*MAX(0,K15-DiscountCap)</f>
        <v>0</v>
      </c>
    </row>
    <row r="16" customFormat="false" ht="15" hidden="false" customHeight="false" outlineLevel="0" collapsed="false">
      <c r="A16" s="37" t="s">
        <v>155</v>
      </c>
      <c r="B16" s="38" t="n">
        <v>45666</v>
      </c>
      <c r="C16" s="37" t="n">
        <f aca="false">MONTH(B16)</f>
        <v>1</v>
      </c>
      <c r="D16" s="37" t="s">
        <v>154</v>
      </c>
      <c r="E16" s="37" t="s">
        <v>47</v>
      </c>
      <c r="F16" s="37" t="s">
        <v>96</v>
      </c>
      <c r="G16" s="37" t="s">
        <v>92</v>
      </c>
      <c r="H16" s="37" t="s">
        <v>112</v>
      </c>
      <c r="I16" s="37" t="n">
        <v>2</v>
      </c>
      <c r="J16" s="39" t="n">
        <v>3299</v>
      </c>
      <c r="K16" s="40" t="n">
        <v>0.2</v>
      </c>
      <c r="L16" s="39" t="n">
        <f aca="false">VLOOKUP(H16,'Product List'!$A$3:$D$18,4,FALSE())</f>
        <v>2250</v>
      </c>
      <c r="M16" s="39" t="n">
        <f aca="false">I16*J16*(1-K16)</f>
        <v>5278.4</v>
      </c>
      <c r="N16" s="39" t="n">
        <f aca="false">I16*L16</f>
        <v>4500</v>
      </c>
      <c r="O16" s="39" t="n">
        <f aca="false">M16-N16</f>
        <v>778.400000000001</v>
      </c>
      <c r="P16" s="41" t="n">
        <f aca="false">IF(M16=0,0,O16/M16)</f>
        <v>0.147468929978782</v>
      </c>
      <c r="Q16" s="37" t="str">
        <f aca="false">IF(K16=0,"No discount",IF(K16&lt;=0.1,"1-10%",IF(K16&lt;=0.2,"11-20%",IF(K16&lt;=0.3,"21-30%","Above 30%"))))</f>
        <v>11-20%</v>
      </c>
      <c r="R16" s="39" t="n">
        <f aca="false">I16*J16*MAX(0,K16-DiscountCap)</f>
        <v>0</v>
      </c>
    </row>
    <row r="17" customFormat="false" ht="15" hidden="false" customHeight="false" outlineLevel="0" collapsed="false">
      <c r="A17" s="37" t="s">
        <v>156</v>
      </c>
      <c r="B17" s="38" t="n">
        <v>45682</v>
      </c>
      <c r="C17" s="37" t="n">
        <f aca="false">MONTH(B17)</f>
        <v>1</v>
      </c>
      <c r="D17" s="37" t="s">
        <v>134</v>
      </c>
      <c r="E17" s="37" t="s">
        <v>45</v>
      </c>
      <c r="F17" s="37" t="s">
        <v>97</v>
      </c>
      <c r="G17" s="37" t="s">
        <v>90</v>
      </c>
      <c r="H17" s="37" t="s">
        <v>108</v>
      </c>
      <c r="I17" s="37" t="n">
        <v>3</v>
      </c>
      <c r="J17" s="39" t="n">
        <v>1999</v>
      </c>
      <c r="K17" s="40" t="n">
        <v>0</v>
      </c>
      <c r="L17" s="39" t="n">
        <f aca="false">VLOOKUP(H17,'Product List'!$A$3:$D$18,4,FALSE())</f>
        <v>1560</v>
      </c>
      <c r="M17" s="39" t="n">
        <f aca="false">I17*J17*(1-K17)</f>
        <v>5997</v>
      </c>
      <c r="N17" s="39" t="n">
        <f aca="false">I17*L17</f>
        <v>4680</v>
      </c>
      <c r="O17" s="39" t="n">
        <f aca="false">M17-N17</f>
        <v>1317</v>
      </c>
      <c r="P17" s="41" t="n">
        <f aca="false">IF(M17=0,0,O17/M17)</f>
        <v>0.219609804902451</v>
      </c>
      <c r="Q17" s="37" t="str">
        <f aca="false">IF(K17=0,"No discount",IF(K17&lt;=0.1,"1-10%",IF(K17&lt;=0.2,"11-20%",IF(K17&lt;=0.3,"21-30%","Above 30%"))))</f>
        <v>No discount</v>
      </c>
      <c r="R17" s="39" t="n">
        <f aca="false">I17*J17*MAX(0,K17-DiscountCap)</f>
        <v>0</v>
      </c>
    </row>
    <row r="18" customFormat="false" ht="15" hidden="false" customHeight="false" outlineLevel="0" collapsed="false">
      <c r="A18" s="37" t="s">
        <v>157</v>
      </c>
      <c r="B18" s="38" t="n">
        <v>45685</v>
      </c>
      <c r="C18" s="37" t="n">
        <f aca="false">MONTH(B18)</f>
        <v>1</v>
      </c>
      <c r="D18" s="37" t="s">
        <v>140</v>
      </c>
      <c r="E18" s="37" t="s">
        <v>44</v>
      </c>
      <c r="F18" s="37" t="s">
        <v>97</v>
      </c>
      <c r="G18" s="37" t="s">
        <v>93</v>
      </c>
      <c r="H18" s="37" t="s">
        <v>121</v>
      </c>
      <c r="I18" s="37" t="n">
        <v>1</v>
      </c>
      <c r="J18" s="39" t="n">
        <v>999</v>
      </c>
      <c r="K18" s="40" t="n">
        <v>0.05</v>
      </c>
      <c r="L18" s="39" t="n">
        <f aca="false">VLOOKUP(H18,'Product List'!$A$3:$D$18,4,FALSE())</f>
        <v>500</v>
      </c>
      <c r="M18" s="39" t="n">
        <f aca="false">I18*J18*(1-K18)</f>
        <v>949.05</v>
      </c>
      <c r="N18" s="39" t="n">
        <f aca="false">I18*L18</f>
        <v>500</v>
      </c>
      <c r="O18" s="39" t="n">
        <f aca="false">M18-N18</f>
        <v>449.05</v>
      </c>
      <c r="P18" s="41" t="n">
        <f aca="false">IF(M18=0,0,O18/M18)</f>
        <v>0.47315736789421</v>
      </c>
      <c r="Q18" s="37" t="str">
        <f aca="false">IF(K18=0,"No discount",IF(K18&lt;=0.1,"1-10%",IF(K18&lt;=0.2,"11-20%",IF(K18&lt;=0.3,"21-30%","Above 30%"))))</f>
        <v>1-10%</v>
      </c>
      <c r="R18" s="39" t="n">
        <f aca="false">I18*J18*MAX(0,K18-DiscountCap)</f>
        <v>0</v>
      </c>
    </row>
    <row r="19" customFormat="false" ht="15" hidden="false" customHeight="false" outlineLevel="0" collapsed="false">
      <c r="A19" s="37" t="s">
        <v>158</v>
      </c>
      <c r="B19" s="38" t="n">
        <v>45669</v>
      </c>
      <c r="C19" s="37" t="n">
        <f aca="false">MONTH(B19)</f>
        <v>1</v>
      </c>
      <c r="D19" s="37" t="s">
        <v>144</v>
      </c>
      <c r="E19" s="37" t="s">
        <v>45</v>
      </c>
      <c r="F19" s="37" t="s">
        <v>97</v>
      </c>
      <c r="G19" s="37" t="s">
        <v>93</v>
      </c>
      <c r="H19" s="37" t="s">
        <v>122</v>
      </c>
      <c r="I19" s="37" t="n">
        <v>1</v>
      </c>
      <c r="J19" s="39" t="n">
        <v>1799</v>
      </c>
      <c r="K19" s="40" t="n">
        <v>0.05</v>
      </c>
      <c r="L19" s="39" t="n">
        <f aca="false">VLOOKUP(H19,'Product List'!$A$3:$D$18,4,FALSE())</f>
        <v>1250</v>
      </c>
      <c r="M19" s="39" t="n">
        <f aca="false">I19*J19*(1-K19)</f>
        <v>1709.05</v>
      </c>
      <c r="N19" s="39" t="n">
        <f aca="false">I19*L19</f>
        <v>1250</v>
      </c>
      <c r="O19" s="39" t="n">
        <f aca="false">M19-N19</f>
        <v>459.05</v>
      </c>
      <c r="P19" s="41" t="n">
        <f aca="false">IF(M19=0,0,O19/M19)</f>
        <v>0.268599514350078</v>
      </c>
      <c r="Q19" s="37" t="str">
        <f aca="false">IF(K19=0,"No discount",IF(K19&lt;=0.1,"1-10%",IF(K19&lt;=0.2,"11-20%",IF(K19&lt;=0.3,"21-30%","Above 30%"))))</f>
        <v>1-10%</v>
      </c>
      <c r="R19" s="39" t="n">
        <f aca="false">I19*J19*MAX(0,K19-DiscountCap)</f>
        <v>0</v>
      </c>
    </row>
    <row r="20" customFormat="false" ht="15" hidden="false" customHeight="false" outlineLevel="0" collapsed="false">
      <c r="A20" s="37" t="s">
        <v>159</v>
      </c>
      <c r="B20" s="38" t="n">
        <v>45676</v>
      </c>
      <c r="C20" s="37" t="n">
        <f aca="false">MONTH(B20)</f>
        <v>1</v>
      </c>
      <c r="D20" s="37" t="s">
        <v>160</v>
      </c>
      <c r="E20" s="37" t="s">
        <v>46</v>
      </c>
      <c r="F20" s="37" t="s">
        <v>96</v>
      </c>
      <c r="G20" s="37" t="s">
        <v>90</v>
      </c>
      <c r="H20" s="37" t="s">
        <v>108</v>
      </c>
      <c r="I20" s="37" t="n">
        <v>2</v>
      </c>
      <c r="J20" s="39" t="n">
        <v>1999</v>
      </c>
      <c r="K20" s="40" t="n">
        <v>0.25</v>
      </c>
      <c r="L20" s="39" t="n">
        <f aca="false">VLOOKUP(H20,'Product List'!$A$3:$D$18,4,FALSE())</f>
        <v>1560</v>
      </c>
      <c r="M20" s="39" t="n">
        <f aca="false">I20*J20*(1-K20)</f>
        <v>2998.5</v>
      </c>
      <c r="N20" s="39" t="n">
        <f aca="false">I20*L20</f>
        <v>3120</v>
      </c>
      <c r="O20" s="39" t="n">
        <f aca="false">M20-N20</f>
        <v>-121.5</v>
      </c>
      <c r="P20" s="41" t="n">
        <f aca="false">IF(M20=0,0,O20/M20)</f>
        <v>-0.040520260130065</v>
      </c>
      <c r="Q20" s="37" t="str">
        <f aca="false">IF(K20=0,"No discount",IF(K20&lt;=0.1,"1-10%",IF(K20&lt;=0.2,"11-20%",IF(K20&lt;=0.3,"21-30%","Above 30%"))))</f>
        <v>21-30%</v>
      </c>
      <c r="R20" s="39" t="n">
        <f aca="false">I20*J20*MAX(0,K20-DiscountCap)</f>
        <v>199.9</v>
      </c>
    </row>
    <row r="21" customFormat="false" ht="15" hidden="false" customHeight="false" outlineLevel="0" collapsed="false">
      <c r="A21" s="37" t="s">
        <v>161</v>
      </c>
      <c r="B21" s="38" t="n">
        <v>45676</v>
      </c>
      <c r="C21" s="37" t="n">
        <f aca="false">MONTH(B21)</f>
        <v>1</v>
      </c>
      <c r="D21" s="37" t="s">
        <v>146</v>
      </c>
      <c r="E21" s="37" t="s">
        <v>45</v>
      </c>
      <c r="F21" s="37" t="s">
        <v>96</v>
      </c>
      <c r="G21" s="37" t="s">
        <v>93</v>
      </c>
      <c r="H21" s="37" t="s">
        <v>122</v>
      </c>
      <c r="I21" s="37" t="n">
        <v>3</v>
      </c>
      <c r="J21" s="39" t="n">
        <v>1799</v>
      </c>
      <c r="K21" s="40" t="n">
        <v>0.15</v>
      </c>
      <c r="L21" s="39" t="n">
        <f aca="false">VLOOKUP(H21,'Product List'!$A$3:$D$18,4,FALSE())</f>
        <v>1250</v>
      </c>
      <c r="M21" s="39" t="n">
        <f aca="false">I21*J21*(1-K21)</f>
        <v>4587.45</v>
      </c>
      <c r="N21" s="39" t="n">
        <f aca="false">I21*L21</f>
        <v>3750</v>
      </c>
      <c r="O21" s="39" t="n">
        <f aca="false">M21-N21</f>
        <v>837.45</v>
      </c>
      <c r="P21" s="41" t="n">
        <f aca="false">IF(M21=0,0,O21/M21)</f>
        <v>0.182552398391263</v>
      </c>
      <c r="Q21" s="37" t="str">
        <f aca="false">IF(K21=0,"No discount",IF(K21&lt;=0.1,"1-10%",IF(K21&lt;=0.2,"11-20%",IF(K21&lt;=0.3,"21-30%","Above 30%"))))</f>
        <v>11-20%</v>
      </c>
      <c r="R21" s="39" t="n">
        <f aca="false">I21*J21*MAX(0,K21-DiscountCap)</f>
        <v>0</v>
      </c>
    </row>
    <row r="22" customFormat="false" ht="15" hidden="false" customHeight="false" outlineLevel="0" collapsed="false">
      <c r="A22" s="37" t="s">
        <v>162</v>
      </c>
      <c r="B22" s="38" t="n">
        <v>45675</v>
      </c>
      <c r="C22" s="37" t="n">
        <f aca="false">MONTH(B22)</f>
        <v>1</v>
      </c>
      <c r="D22" s="37" t="s">
        <v>154</v>
      </c>
      <c r="E22" s="37" t="s">
        <v>47</v>
      </c>
      <c r="F22" s="37" t="s">
        <v>97</v>
      </c>
      <c r="G22" s="37" t="s">
        <v>90</v>
      </c>
      <c r="H22" s="37" t="s">
        <v>109</v>
      </c>
      <c r="I22" s="37" t="n">
        <v>2</v>
      </c>
      <c r="J22" s="39" t="n">
        <v>3499</v>
      </c>
      <c r="K22" s="40" t="n">
        <v>0.05</v>
      </c>
      <c r="L22" s="39" t="n">
        <f aca="false">VLOOKUP(H22,'Product List'!$A$3:$D$18,4,FALSE())</f>
        <v>2750</v>
      </c>
      <c r="M22" s="39" t="n">
        <f aca="false">I22*J22*(1-K22)</f>
        <v>6648.1</v>
      </c>
      <c r="N22" s="39" t="n">
        <f aca="false">I22*L22</f>
        <v>5500</v>
      </c>
      <c r="O22" s="39" t="n">
        <f aca="false">M22-N22</f>
        <v>1148.1</v>
      </c>
      <c r="P22" s="41" t="n">
        <f aca="false">IF(M22=0,0,O22/M22)</f>
        <v>0.172695958243709</v>
      </c>
      <c r="Q22" s="37" t="str">
        <f aca="false">IF(K22=0,"No discount",IF(K22&lt;=0.1,"1-10%",IF(K22&lt;=0.2,"11-20%",IF(K22&lt;=0.3,"21-30%","Above 30%"))))</f>
        <v>1-10%</v>
      </c>
      <c r="R22" s="39" t="n">
        <f aca="false">I22*J22*MAX(0,K22-DiscountCap)</f>
        <v>0</v>
      </c>
    </row>
    <row r="23" customFormat="false" ht="15" hidden="false" customHeight="false" outlineLevel="0" collapsed="false">
      <c r="A23" s="37" t="s">
        <v>163</v>
      </c>
      <c r="B23" s="38" t="n">
        <v>45667</v>
      </c>
      <c r="C23" s="37" t="n">
        <f aca="false">MONTH(B23)</f>
        <v>1</v>
      </c>
      <c r="D23" s="37" t="s">
        <v>146</v>
      </c>
      <c r="E23" s="37" t="s">
        <v>45</v>
      </c>
      <c r="F23" s="37" t="s">
        <v>97</v>
      </c>
      <c r="G23" s="37" t="s">
        <v>93</v>
      </c>
      <c r="H23" s="37" t="s">
        <v>122</v>
      </c>
      <c r="I23" s="37" t="n">
        <v>1</v>
      </c>
      <c r="J23" s="39" t="n">
        <v>1799</v>
      </c>
      <c r="K23" s="40" t="n">
        <v>0</v>
      </c>
      <c r="L23" s="39" t="n">
        <f aca="false">VLOOKUP(H23,'Product List'!$A$3:$D$18,4,FALSE())</f>
        <v>1250</v>
      </c>
      <c r="M23" s="39" t="n">
        <f aca="false">I23*J23*(1-K23)</f>
        <v>1799</v>
      </c>
      <c r="N23" s="39" t="n">
        <f aca="false">I23*L23</f>
        <v>1250</v>
      </c>
      <c r="O23" s="39" t="n">
        <f aca="false">M23-N23</f>
        <v>549</v>
      </c>
      <c r="P23" s="41" t="n">
        <f aca="false">IF(M23=0,0,O23/M23)</f>
        <v>0.305169538632574</v>
      </c>
      <c r="Q23" s="37" t="str">
        <f aca="false">IF(K23=0,"No discount",IF(K23&lt;=0.1,"1-10%",IF(K23&lt;=0.2,"11-20%",IF(K23&lt;=0.3,"21-30%","Above 30%"))))</f>
        <v>No discount</v>
      </c>
      <c r="R23" s="39" t="n">
        <f aca="false">I23*J23*MAX(0,K23-DiscountCap)</f>
        <v>0</v>
      </c>
    </row>
    <row r="24" customFormat="false" ht="15" hidden="false" customHeight="false" outlineLevel="0" collapsed="false">
      <c r="A24" s="37" t="s">
        <v>164</v>
      </c>
      <c r="B24" s="38" t="n">
        <v>45673</v>
      </c>
      <c r="C24" s="37" t="n">
        <f aca="false">MONTH(B24)</f>
        <v>1</v>
      </c>
      <c r="D24" s="37" t="s">
        <v>146</v>
      </c>
      <c r="E24" s="37" t="s">
        <v>45</v>
      </c>
      <c r="F24" s="37" t="s">
        <v>96</v>
      </c>
      <c r="G24" s="37" t="s">
        <v>90</v>
      </c>
      <c r="H24" s="37" t="s">
        <v>110</v>
      </c>
      <c r="I24" s="37" t="n">
        <v>1</v>
      </c>
      <c r="J24" s="39" t="n">
        <v>1299</v>
      </c>
      <c r="K24" s="40" t="n">
        <v>0.15</v>
      </c>
      <c r="L24" s="39" t="n">
        <f aca="false">VLOOKUP(H24,'Product List'!$A$3:$D$18,4,FALSE())</f>
        <v>1000</v>
      </c>
      <c r="M24" s="39" t="n">
        <f aca="false">I24*J24*(1-K24)</f>
        <v>1104.15</v>
      </c>
      <c r="N24" s="39" t="n">
        <f aca="false">I24*L24</f>
        <v>1000</v>
      </c>
      <c r="O24" s="39" t="n">
        <f aca="false">M24-N24</f>
        <v>104.15</v>
      </c>
      <c r="P24" s="41" t="n">
        <f aca="false">IF(M24=0,0,O24/M24)</f>
        <v>0.0943259520898428</v>
      </c>
      <c r="Q24" s="37" t="str">
        <f aca="false">IF(K24=0,"No discount",IF(K24&lt;=0.1,"1-10%",IF(K24&lt;=0.2,"11-20%",IF(K24&lt;=0.3,"21-30%","Above 30%"))))</f>
        <v>11-20%</v>
      </c>
      <c r="R24" s="39" t="n">
        <f aca="false">I24*J24*MAX(0,K24-DiscountCap)</f>
        <v>0</v>
      </c>
    </row>
    <row r="25" customFormat="false" ht="15" hidden="false" customHeight="false" outlineLevel="0" collapsed="false">
      <c r="A25" s="37" t="s">
        <v>165</v>
      </c>
      <c r="B25" s="38" t="n">
        <v>45675</v>
      </c>
      <c r="C25" s="37" t="n">
        <f aca="false">MONTH(B25)</f>
        <v>1</v>
      </c>
      <c r="D25" s="37" t="s">
        <v>166</v>
      </c>
      <c r="E25" s="37" t="s">
        <v>44</v>
      </c>
      <c r="F25" s="37" t="s">
        <v>96</v>
      </c>
      <c r="G25" s="37" t="s">
        <v>91</v>
      </c>
      <c r="H25" s="37" t="s">
        <v>118</v>
      </c>
      <c r="I25" s="37" t="n">
        <v>1</v>
      </c>
      <c r="J25" s="39" t="n">
        <v>2299</v>
      </c>
      <c r="K25" s="40" t="n">
        <v>0</v>
      </c>
      <c r="L25" s="39" t="n">
        <f aca="false">VLOOKUP(H25,'Product List'!$A$3:$D$18,4,FALSE())</f>
        <v>1300</v>
      </c>
      <c r="M25" s="39" t="n">
        <f aca="false">I25*J25*(1-K25)</f>
        <v>2299</v>
      </c>
      <c r="N25" s="39" t="n">
        <f aca="false">I25*L25</f>
        <v>1300</v>
      </c>
      <c r="O25" s="39" t="n">
        <f aca="false">M25-N25</f>
        <v>999</v>
      </c>
      <c r="P25" s="41" t="n">
        <f aca="false">IF(M25=0,0,O25/M25)</f>
        <v>0.434536755110918</v>
      </c>
      <c r="Q25" s="37" t="str">
        <f aca="false">IF(K25=0,"No discount",IF(K25&lt;=0.1,"1-10%",IF(K25&lt;=0.2,"11-20%",IF(K25&lt;=0.3,"21-30%","Above 30%"))))</f>
        <v>No discount</v>
      </c>
      <c r="R25" s="39" t="n">
        <f aca="false">I25*J25*MAX(0,K25-DiscountCap)</f>
        <v>0</v>
      </c>
    </row>
    <row r="26" customFormat="false" ht="15" hidden="false" customHeight="false" outlineLevel="0" collapsed="false">
      <c r="A26" s="37" t="s">
        <v>167</v>
      </c>
      <c r="B26" s="38" t="n">
        <v>45662</v>
      </c>
      <c r="C26" s="37" t="n">
        <f aca="false">MONTH(B26)</f>
        <v>1</v>
      </c>
      <c r="D26" s="37" t="s">
        <v>134</v>
      </c>
      <c r="E26" s="37" t="s">
        <v>45</v>
      </c>
      <c r="F26" s="37" t="s">
        <v>96</v>
      </c>
      <c r="G26" s="37" t="s">
        <v>91</v>
      </c>
      <c r="H26" s="37" t="s">
        <v>116</v>
      </c>
      <c r="I26" s="37" t="n">
        <v>2</v>
      </c>
      <c r="J26" s="39" t="n">
        <v>899</v>
      </c>
      <c r="K26" s="40" t="n">
        <v>0.2</v>
      </c>
      <c r="L26" s="39" t="n">
        <f aca="false">VLOOKUP(H26,'Product List'!$A$3:$D$18,4,FALSE())</f>
        <v>430</v>
      </c>
      <c r="M26" s="39" t="n">
        <f aca="false">I26*J26*(1-K26)</f>
        <v>1438.4</v>
      </c>
      <c r="N26" s="39" t="n">
        <f aca="false">I26*L26</f>
        <v>860</v>
      </c>
      <c r="O26" s="39" t="n">
        <f aca="false">M26-N26</f>
        <v>578.4</v>
      </c>
      <c r="P26" s="41" t="n">
        <f aca="false">IF(M26=0,0,O26/M26)</f>
        <v>0.402113459399333</v>
      </c>
      <c r="Q26" s="37" t="str">
        <f aca="false">IF(K26=0,"No discount",IF(K26&lt;=0.1,"1-10%",IF(K26&lt;=0.2,"11-20%",IF(K26&lt;=0.3,"21-30%","Above 30%"))))</f>
        <v>11-20%</v>
      </c>
      <c r="R26" s="39" t="n">
        <f aca="false">I26*J26*MAX(0,K26-DiscountCap)</f>
        <v>0</v>
      </c>
    </row>
    <row r="27" customFormat="false" ht="15" hidden="false" customHeight="false" outlineLevel="0" collapsed="false">
      <c r="A27" s="37" t="s">
        <v>168</v>
      </c>
      <c r="B27" s="38" t="n">
        <v>45669</v>
      </c>
      <c r="C27" s="37" t="n">
        <f aca="false">MONTH(B27)</f>
        <v>1</v>
      </c>
      <c r="D27" s="37" t="s">
        <v>169</v>
      </c>
      <c r="E27" s="37" t="s">
        <v>44</v>
      </c>
      <c r="F27" s="37" t="s">
        <v>97</v>
      </c>
      <c r="G27" s="37" t="s">
        <v>93</v>
      </c>
      <c r="H27" s="37" t="s">
        <v>123</v>
      </c>
      <c r="I27" s="37" t="n">
        <v>2</v>
      </c>
      <c r="J27" s="39" t="n">
        <v>1299</v>
      </c>
      <c r="K27" s="40" t="n">
        <v>0.05</v>
      </c>
      <c r="L27" s="39" t="n">
        <f aca="false">VLOOKUP(H27,'Product List'!$A$3:$D$18,4,FALSE())</f>
        <v>700</v>
      </c>
      <c r="M27" s="39" t="n">
        <f aca="false">I27*J27*(1-K27)</f>
        <v>2468.1</v>
      </c>
      <c r="N27" s="39" t="n">
        <f aca="false">I27*L27</f>
        <v>1400</v>
      </c>
      <c r="O27" s="39" t="n">
        <f aca="false">M27-N27</f>
        <v>1068.1</v>
      </c>
      <c r="P27" s="41" t="n">
        <f aca="false">IF(M27=0,0,O27/M27)</f>
        <v>0.432762043677323</v>
      </c>
      <c r="Q27" s="37" t="str">
        <f aca="false">IF(K27=0,"No discount",IF(K27&lt;=0.1,"1-10%",IF(K27&lt;=0.2,"11-20%",IF(K27&lt;=0.3,"21-30%","Above 30%"))))</f>
        <v>1-10%</v>
      </c>
      <c r="R27" s="39" t="n">
        <f aca="false">I27*J27*MAX(0,K27-DiscountCap)</f>
        <v>0</v>
      </c>
    </row>
    <row r="28" customFormat="false" ht="15" hidden="false" customHeight="false" outlineLevel="0" collapsed="false">
      <c r="A28" s="37" t="s">
        <v>170</v>
      </c>
      <c r="B28" s="38" t="n">
        <v>45673</v>
      </c>
      <c r="C28" s="37" t="n">
        <f aca="false">MONTH(B28)</f>
        <v>1</v>
      </c>
      <c r="D28" s="37" t="s">
        <v>140</v>
      </c>
      <c r="E28" s="37" t="s">
        <v>44</v>
      </c>
      <c r="F28" s="37" t="s">
        <v>96</v>
      </c>
      <c r="G28" s="37" t="s">
        <v>92</v>
      </c>
      <c r="H28" s="37" t="s">
        <v>113</v>
      </c>
      <c r="I28" s="37" t="n">
        <v>1</v>
      </c>
      <c r="J28" s="39" t="n">
        <v>2199</v>
      </c>
      <c r="K28" s="40" t="n">
        <v>0.1</v>
      </c>
      <c r="L28" s="39" t="n">
        <f aca="false">VLOOKUP(H28,'Product List'!$A$3:$D$18,4,FALSE())</f>
        <v>1400</v>
      </c>
      <c r="M28" s="39" t="n">
        <f aca="false">I28*J28*(1-K28)</f>
        <v>1979.1</v>
      </c>
      <c r="N28" s="39" t="n">
        <f aca="false">I28*L28</f>
        <v>1400</v>
      </c>
      <c r="O28" s="39" t="n">
        <f aca="false">M28-N28</f>
        <v>579.1</v>
      </c>
      <c r="P28" s="41" t="n">
        <f aca="false">IF(M28=0,0,O28/M28)</f>
        <v>0.292607750997928</v>
      </c>
      <c r="Q28" s="37" t="str">
        <f aca="false">IF(K28=0,"No discount",IF(K28&lt;=0.1,"1-10%",IF(K28&lt;=0.2,"11-20%",IF(K28&lt;=0.3,"21-30%","Above 30%"))))</f>
        <v>1-10%</v>
      </c>
      <c r="R28" s="39" t="n">
        <f aca="false">I28*J28*MAX(0,K28-DiscountCap)</f>
        <v>0</v>
      </c>
    </row>
    <row r="29" customFormat="false" ht="15" hidden="false" customHeight="false" outlineLevel="0" collapsed="false">
      <c r="A29" s="37" t="s">
        <v>171</v>
      </c>
      <c r="B29" s="38" t="n">
        <v>45675</v>
      </c>
      <c r="C29" s="37" t="n">
        <f aca="false">MONTH(B29)</f>
        <v>1</v>
      </c>
      <c r="D29" s="37" t="s">
        <v>172</v>
      </c>
      <c r="E29" s="37" t="s">
        <v>46</v>
      </c>
      <c r="F29" s="37" t="s">
        <v>97</v>
      </c>
      <c r="G29" s="37" t="s">
        <v>90</v>
      </c>
      <c r="H29" s="37" t="s">
        <v>111</v>
      </c>
      <c r="I29" s="37" t="n">
        <v>1</v>
      </c>
      <c r="J29" s="39" t="n">
        <v>2499</v>
      </c>
      <c r="K29" s="40" t="n">
        <v>0.05</v>
      </c>
      <c r="L29" s="39" t="n">
        <f aca="false">VLOOKUP(H29,'Product List'!$A$3:$D$18,4,FALSE())</f>
        <v>1950</v>
      </c>
      <c r="M29" s="39" t="n">
        <f aca="false">I29*J29*(1-K29)</f>
        <v>2374.05</v>
      </c>
      <c r="N29" s="39" t="n">
        <f aca="false">I29*L29</f>
        <v>1950</v>
      </c>
      <c r="O29" s="39" t="n">
        <f aca="false">M29-N29</f>
        <v>424.05</v>
      </c>
      <c r="P29" s="41" t="n">
        <f aca="false">IF(M29=0,0,O29/M29)</f>
        <v>0.178618815947432</v>
      </c>
      <c r="Q29" s="37" t="str">
        <f aca="false">IF(K29=0,"No discount",IF(K29&lt;=0.1,"1-10%",IF(K29&lt;=0.2,"11-20%",IF(K29&lt;=0.3,"21-30%","Above 30%"))))</f>
        <v>1-10%</v>
      </c>
      <c r="R29" s="39" t="n">
        <f aca="false">I29*J29*MAX(0,K29-DiscountCap)</f>
        <v>0</v>
      </c>
    </row>
    <row r="30" customFormat="false" ht="15" hidden="false" customHeight="false" outlineLevel="0" collapsed="false">
      <c r="A30" s="37" t="s">
        <v>173</v>
      </c>
      <c r="B30" s="38" t="n">
        <v>45661</v>
      </c>
      <c r="C30" s="37" t="n">
        <f aca="false">MONTH(B30)</f>
        <v>1</v>
      </c>
      <c r="D30" s="37" t="s">
        <v>160</v>
      </c>
      <c r="E30" s="37" t="s">
        <v>46</v>
      </c>
      <c r="F30" s="37" t="s">
        <v>96</v>
      </c>
      <c r="G30" s="37" t="s">
        <v>93</v>
      </c>
      <c r="H30" s="37" t="s">
        <v>123</v>
      </c>
      <c r="I30" s="37" t="n">
        <v>2</v>
      </c>
      <c r="J30" s="39" t="n">
        <v>1299</v>
      </c>
      <c r="K30" s="40" t="n">
        <v>0.1</v>
      </c>
      <c r="L30" s="39" t="n">
        <f aca="false">VLOOKUP(H30,'Product List'!$A$3:$D$18,4,FALSE())</f>
        <v>700</v>
      </c>
      <c r="M30" s="39" t="n">
        <f aca="false">I30*J30*(1-K30)</f>
        <v>2338.2</v>
      </c>
      <c r="N30" s="39" t="n">
        <f aca="false">I30*L30</f>
        <v>1400</v>
      </c>
      <c r="O30" s="39" t="n">
        <f aca="false">M30-N30</f>
        <v>938.2</v>
      </c>
      <c r="P30" s="41" t="n">
        <f aca="false">IF(M30=0,0,O30/M30)</f>
        <v>0.401248823881618</v>
      </c>
      <c r="Q30" s="37" t="str">
        <f aca="false">IF(K30=0,"No discount",IF(K30&lt;=0.1,"1-10%",IF(K30&lt;=0.2,"11-20%",IF(K30&lt;=0.3,"21-30%","Above 30%"))))</f>
        <v>1-10%</v>
      </c>
      <c r="R30" s="39" t="n">
        <f aca="false">I30*J30*MAX(0,K30-DiscountCap)</f>
        <v>0</v>
      </c>
    </row>
    <row r="31" customFormat="false" ht="15" hidden="false" customHeight="false" outlineLevel="0" collapsed="false">
      <c r="A31" s="37" t="s">
        <v>174</v>
      </c>
      <c r="B31" s="38" t="n">
        <v>45660</v>
      </c>
      <c r="C31" s="37" t="n">
        <f aca="false">MONTH(B31)</f>
        <v>1</v>
      </c>
      <c r="D31" s="37" t="s">
        <v>154</v>
      </c>
      <c r="E31" s="37" t="s">
        <v>47</v>
      </c>
      <c r="F31" s="37" t="s">
        <v>96</v>
      </c>
      <c r="G31" s="37" t="s">
        <v>90</v>
      </c>
      <c r="H31" s="37" t="s">
        <v>109</v>
      </c>
      <c r="I31" s="37" t="n">
        <v>1</v>
      </c>
      <c r="J31" s="39" t="n">
        <v>3499</v>
      </c>
      <c r="K31" s="40" t="n">
        <v>0.05</v>
      </c>
      <c r="L31" s="39" t="n">
        <f aca="false">VLOOKUP(H31,'Product List'!$A$3:$D$18,4,FALSE())</f>
        <v>2750</v>
      </c>
      <c r="M31" s="39" t="n">
        <f aca="false">I31*J31*(1-K31)</f>
        <v>3324.05</v>
      </c>
      <c r="N31" s="39" t="n">
        <f aca="false">I31*L31</f>
        <v>2750</v>
      </c>
      <c r="O31" s="39" t="n">
        <f aca="false">M31-N31</f>
        <v>574.05</v>
      </c>
      <c r="P31" s="41" t="n">
        <f aca="false">IF(M31=0,0,O31/M31)</f>
        <v>0.172695958243709</v>
      </c>
      <c r="Q31" s="37" t="str">
        <f aca="false">IF(K31=0,"No discount",IF(K31&lt;=0.1,"1-10%",IF(K31&lt;=0.2,"11-20%",IF(K31&lt;=0.3,"21-30%","Above 30%"))))</f>
        <v>1-10%</v>
      </c>
      <c r="R31" s="39" t="n">
        <f aca="false">I31*J31*MAX(0,K31-DiscountCap)</f>
        <v>0</v>
      </c>
    </row>
    <row r="32" customFormat="false" ht="15" hidden="false" customHeight="false" outlineLevel="0" collapsed="false">
      <c r="A32" s="37" t="s">
        <v>175</v>
      </c>
      <c r="B32" s="38" t="n">
        <v>45682</v>
      </c>
      <c r="C32" s="37" t="n">
        <f aca="false">MONTH(B32)</f>
        <v>1</v>
      </c>
      <c r="D32" s="37" t="s">
        <v>144</v>
      </c>
      <c r="E32" s="37" t="s">
        <v>45</v>
      </c>
      <c r="F32" s="37" t="s">
        <v>96</v>
      </c>
      <c r="G32" s="37" t="s">
        <v>91</v>
      </c>
      <c r="H32" s="37" t="s">
        <v>119</v>
      </c>
      <c r="I32" s="37" t="n">
        <v>3</v>
      </c>
      <c r="J32" s="39" t="n">
        <v>1099</v>
      </c>
      <c r="K32" s="40" t="n">
        <v>0.2</v>
      </c>
      <c r="L32" s="39" t="n">
        <f aca="false">VLOOKUP(H32,'Product List'!$A$3:$D$18,4,FALSE())</f>
        <v>560</v>
      </c>
      <c r="M32" s="39" t="n">
        <f aca="false">I32*J32*(1-K32)</f>
        <v>2637.6</v>
      </c>
      <c r="N32" s="39" t="n">
        <f aca="false">I32*L32</f>
        <v>1680</v>
      </c>
      <c r="O32" s="39" t="n">
        <f aca="false">M32-N32</f>
        <v>957.6</v>
      </c>
      <c r="P32" s="41" t="n">
        <f aca="false">IF(M32=0,0,O32/M32)</f>
        <v>0.363057324840764</v>
      </c>
      <c r="Q32" s="37" t="str">
        <f aca="false">IF(K32=0,"No discount",IF(K32&lt;=0.1,"1-10%",IF(K32&lt;=0.2,"11-20%",IF(K32&lt;=0.3,"21-30%","Above 30%"))))</f>
        <v>11-20%</v>
      </c>
      <c r="R32" s="39" t="n">
        <f aca="false">I32*J32*MAX(0,K32-DiscountCap)</f>
        <v>0</v>
      </c>
    </row>
    <row r="33" customFormat="false" ht="15" hidden="false" customHeight="false" outlineLevel="0" collapsed="false">
      <c r="A33" s="37" t="s">
        <v>176</v>
      </c>
      <c r="B33" s="38" t="n">
        <v>45665</v>
      </c>
      <c r="C33" s="37" t="n">
        <f aca="false">MONTH(B33)</f>
        <v>1</v>
      </c>
      <c r="D33" s="37" t="s">
        <v>169</v>
      </c>
      <c r="E33" s="37" t="s">
        <v>44</v>
      </c>
      <c r="F33" s="37" t="s">
        <v>96</v>
      </c>
      <c r="G33" s="37" t="s">
        <v>91</v>
      </c>
      <c r="H33" s="37" t="s">
        <v>116</v>
      </c>
      <c r="I33" s="37" t="n">
        <v>1</v>
      </c>
      <c r="J33" s="39" t="n">
        <v>899</v>
      </c>
      <c r="K33" s="40" t="n">
        <v>0.15</v>
      </c>
      <c r="L33" s="39" t="n">
        <f aca="false">VLOOKUP(H33,'Product List'!$A$3:$D$18,4,FALSE())</f>
        <v>430</v>
      </c>
      <c r="M33" s="39" t="n">
        <f aca="false">I33*J33*(1-K33)</f>
        <v>764.15</v>
      </c>
      <c r="N33" s="39" t="n">
        <f aca="false">I33*L33</f>
        <v>430</v>
      </c>
      <c r="O33" s="39" t="n">
        <f aca="false">M33-N33</f>
        <v>334.15</v>
      </c>
      <c r="P33" s="41" t="n">
        <f aca="false">IF(M33=0,0,O33/M33)</f>
        <v>0.437283255905254</v>
      </c>
      <c r="Q33" s="37" t="str">
        <f aca="false">IF(K33=0,"No discount",IF(K33&lt;=0.1,"1-10%",IF(K33&lt;=0.2,"11-20%",IF(K33&lt;=0.3,"21-30%","Above 30%"))))</f>
        <v>11-20%</v>
      </c>
      <c r="R33" s="39" t="n">
        <f aca="false">I33*J33*MAX(0,K33-DiscountCap)</f>
        <v>0</v>
      </c>
    </row>
    <row r="34" customFormat="false" ht="15" hidden="false" customHeight="false" outlineLevel="0" collapsed="false">
      <c r="A34" s="37" t="s">
        <v>177</v>
      </c>
      <c r="B34" s="38" t="n">
        <v>45680</v>
      </c>
      <c r="C34" s="37" t="n">
        <f aca="false">MONTH(B34)</f>
        <v>1</v>
      </c>
      <c r="D34" s="37" t="s">
        <v>172</v>
      </c>
      <c r="E34" s="37" t="s">
        <v>46</v>
      </c>
      <c r="F34" s="37" t="s">
        <v>96</v>
      </c>
      <c r="G34" s="37" t="s">
        <v>91</v>
      </c>
      <c r="H34" s="37" t="s">
        <v>119</v>
      </c>
      <c r="I34" s="37" t="n">
        <v>2</v>
      </c>
      <c r="J34" s="39" t="n">
        <v>1099</v>
      </c>
      <c r="K34" s="40" t="n">
        <v>0</v>
      </c>
      <c r="L34" s="39" t="n">
        <f aca="false">VLOOKUP(H34,'Product List'!$A$3:$D$18,4,FALSE())</f>
        <v>560</v>
      </c>
      <c r="M34" s="39" t="n">
        <f aca="false">I34*J34*(1-K34)</f>
        <v>2198</v>
      </c>
      <c r="N34" s="39" t="n">
        <f aca="false">I34*L34</f>
        <v>1120</v>
      </c>
      <c r="O34" s="39" t="n">
        <f aca="false">M34-N34</f>
        <v>1078</v>
      </c>
      <c r="P34" s="41" t="n">
        <f aca="false">IF(M34=0,0,O34/M34)</f>
        <v>0.490445859872611</v>
      </c>
      <c r="Q34" s="37" t="str">
        <f aca="false">IF(K34=0,"No discount",IF(K34&lt;=0.1,"1-10%",IF(K34&lt;=0.2,"11-20%",IF(K34&lt;=0.3,"21-30%","Above 30%"))))</f>
        <v>No discount</v>
      </c>
      <c r="R34" s="39" t="n">
        <f aca="false">I34*J34*MAX(0,K34-DiscountCap)</f>
        <v>0</v>
      </c>
    </row>
    <row r="35" customFormat="false" ht="15" hidden="false" customHeight="false" outlineLevel="0" collapsed="false">
      <c r="A35" s="37" t="s">
        <v>178</v>
      </c>
      <c r="B35" s="38" t="n">
        <v>45668</v>
      </c>
      <c r="C35" s="37" t="n">
        <f aca="false">MONTH(B35)</f>
        <v>1</v>
      </c>
      <c r="D35" s="37" t="s">
        <v>169</v>
      </c>
      <c r="E35" s="37" t="s">
        <v>44</v>
      </c>
      <c r="F35" s="37" t="s">
        <v>96</v>
      </c>
      <c r="G35" s="37" t="s">
        <v>92</v>
      </c>
      <c r="H35" s="37" t="s">
        <v>114</v>
      </c>
      <c r="I35" s="37" t="n">
        <v>2</v>
      </c>
      <c r="J35" s="39" t="n">
        <v>1199</v>
      </c>
      <c r="K35" s="40" t="n">
        <v>0.1</v>
      </c>
      <c r="L35" s="39" t="n">
        <f aca="false">VLOOKUP(H35,'Product List'!$A$3:$D$18,4,FALSE())</f>
        <v>780</v>
      </c>
      <c r="M35" s="39" t="n">
        <f aca="false">I35*J35*(1-K35)</f>
        <v>2158.2</v>
      </c>
      <c r="N35" s="39" t="n">
        <f aca="false">I35*L35</f>
        <v>1560</v>
      </c>
      <c r="O35" s="39" t="n">
        <f aca="false">M35-N35</f>
        <v>598.2</v>
      </c>
      <c r="P35" s="41" t="n">
        <f aca="false">IF(M35=0,0,O35/M35)</f>
        <v>0.277175423964415</v>
      </c>
      <c r="Q35" s="37" t="str">
        <f aca="false">IF(K35=0,"No discount",IF(K35&lt;=0.1,"1-10%",IF(K35&lt;=0.2,"11-20%",IF(K35&lt;=0.3,"21-30%","Above 30%"))))</f>
        <v>1-10%</v>
      </c>
      <c r="R35" s="39" t="n">
        <f aca="false">I35*J35*MAX(0,K35-DiscountCap)</f>
        <v>0</v>
      </c>
    </row>
    <row r="36" customFormat="false" ht="15" hidden="false" customHeight="false" outlineLevel="0" collapsed="false">
      <c r="A36" s="37" t="s">
        <v>179</v>
      </c>
      <c r="B36" s="38" t="n">
        <v>45688</v>
      </c>
      <c r="C36" s="37" t="n">
        <f aca="false">MONTH(B36)</f>
        <v>1</v>
      </c>
      <c r="D36" s="37" t="s">
        <v>136</v>
      </c>
      <c r="E36" s="37" t="s">
        <v>47</v>
      </c>
      <c r="F36" s="37" t="s">
        <v>97</v>
      </c>
      <c r="G36" s="37" t="s">
        <v>92</v>
      </c>
      <c r="H36" s="37" t="s">
        <v>113</v>
      </c>
      <c r="I36" s="37" t="n">
        <v>1</v>
      </c>
      <c r="J36" s="39" t="n">
        <v>2199</v>
      </c>
      <c r="K36" s="40" t="n">
        <v>0.1</v>
      </c>
      <c r="L36" s="39" t="n">
        <f aca="false">VLOOKUP(H36,'Product List'!$A$3:$D$18,4,FALSE())</f>
        <v>1400</v>
      </c>
      <c r="M36" s="39" t="n">
        <f aca="false">I36*J36*(1-K36)</f>
        <v>1979.1</v>
      </c>
      <c r="N36" s="39" t="n">
        <f aca="false">I36*L36</f>
        <v>1400</v>
      </c>
      <c r="O36" s="39" t="n">
        <f aca="false">M36-N36</f>
        <v>579.1</v>
      </c>
      <c r="P36" s="41" t="n">
        <f aca="false">IF(M36=0,0,O36/M36)</f>
        <v>0.292607750997928</v>
      </c>
      <c r="Q36" s="37" t="str">
        <f aca="false">IF(K36=0,"No discount",IF(K36&lt;=0.1,"1-10%",IF(K36&lt;=0.2,"11-20%",IF(K36&lt;=0.3,"21-30%","Above 30%"))))</f>
        <v>1-10%</v>
      </c>
      <c r="R36" s="39" t="n">
        <f aca="false">I36*J36*MAX(0,K36-DiscountCap)</f>
        <v>0</v>
      </c>
    </row>
    <row r="37" customFormat="false" ht="15" hidden="false" customHeight="false" outlineLevel="0" collapsed="false">
      <c r="A37" s="37" t="s">
        <v>180</v>
      </c>
      <c r="B37" s="38" t="n">
        <v>45674</v>
      </c>
      <c r="C37" s="37" t="n">
        <f aca="false">MONTH(B37)</f>
        <v>1</v>
      </c>
      <c r="D37" s="37" t="s">
        <v>146</v>
      </c>
      <c r="E37" s="37" t="s">
        <v>45</v>
      </c>
      <c r="F37" s="37" t="s">
        <v>96</v>
      </c>
      <c r="G37" s="37" t="s">
        <v>93</v>
      </c>
      <c r="H37" s="37" t="s">
        <v>121</v>
      </c>
      <c r="I37" s="37" t="n">
        <v>1</v>
      </c>
      <c r="J37" s="39" t="n">
        <v>999</v>
      </c>
      <c r="K37" s="40" t="n">
        <v>0.1</v>
      </c>
      <c r="L37" s="39" t="n">
        <f aca="false">VLOOKUP(H37,'Product List'!$A$3:$D$18,4,FALSE())</f>
        <v>500</v>
      </c>
      <c r="M37" s="39" t="n">
        <f aca="false">I37*J37*(1-K37)</f>
        <v>899.1</v>
      </c>
      <c r="N37" s="39" t="n">
        <f aca="false">I37*L37</f>
        <v>500</v>
      </c>
      <c r="O37" s="39" t="n">
        <f aca="false">M37-N37</f>
        <v>399.1</v>
      </c>
      <c r="P37" s="41" t="n">
        <f aca="false">IF(M37=0,0,O37/M37)</f>
        <v>0.443888332777222</v>
      </c>
      <c r="Q37" s="37" t="str">
        <f aca="false">IF(K37=0,"No discount",IF(K37&lt;=0.1,"1-10%",IF(K37&lt;=0.2,"11-20%",IF(K37&lt;=0.3,"21-30%","Above 30%"))))</f>
        <v>1-10%</v>
      </c>
      <c r="R37" s="39" t="n">
        <f aca="false">I37*J37*MAX(0,K37-DiscountCap)</f>
        <v>0</v>
      </c>
    </row>
    <row r="38" customFormat="false" ht="15" hidden="false" customHeight="false" outlineLevel="0" collapsed="false">
      <c r="A38" s="37" t="s">
        <v>181</v>
      </c>
      <c r="B38" s="38" t="n">
        <v>45685</v>
      </c>
      <c r="C38" s="37" t="n">
        <f aca="false">MONTH(B38)</f>
        <v>1</v>
      </c>
      <c r="D38" s="37" t="s">
        <v>182</v>
      </c>
      <c r="E38" s="37" t="s">
        <v>44</v>
      </c>
      <c r="F38" s="37" t="s">
        <v>97</v>
      </c>
      <c r="G38" s="37" t="s">
        <v>92</v>
      </c>
      <c r="H38" s="37" t="s">
        <v>112</v>
      </c>
      <c r="I38" s="37" t="n">
        <v>2</v>
      </c>
      <c r="J38" s="39" t="n">
        <v>3299</v>
      </c>
      <c r="K38" s="40" t="n">
        <v>0.1</v>
      </c>
      <c r="L38" s="39" t="n">
        <f aca="false">VLOOKUP(H38,'Product List'!$A$3:$D$18,4,FALSE())</f>
        <v>2250</v>
      </c>
      <c r="M38" s="39" t="n">
        <f aca="false">I38*J38*(1-K38)</f>
        <v>5938.2</v>
      </c>
      <c r="N38" s="39" t="n">
        <f aca="false">I38*L38</f>
        <v>4500</v>
      </c>
      <c r="O38" s="39" t="n">
        <f aca="false">M38-N38</f>
        <v>1438.2</v>
      </c>
      <c r="P38" s="41" t="n">
        <f aca="false">IF(M38=0,0,O38/M38)</f>
        <v>0.242194604425584</v>
      </c>
      <c r="Q38" s="37" t="str">
        <f aca="false">IF(K38=0,"No discount",IF(K38&lt;=0.1,"1-10%",IF(K38&lt;=0.2,"11-20%",IF(K38&lt;=0.3,"21-30%","Above 30%"))))</f>
        <v>1-10%</v>
      </c>
      <c r="R38" s="39" t="n">
        <f aca="false">I38*J38*MAX(0,K38-DiscountCap)</f>
        <v>0</v>
      </c>
    </row>
    <row r="39" customFormat="false" ht="15" hidden="false" customHeight="false" outlineLevel="0" collapsed="false">
      <c r="A39" s="37" t="s">
        <v>183</v>
      </c>
      <c r="B39" s="38" t="n">
        <v>45686</v>
      </c>
      <c r="C39" s="37" t="n">
        <f aca="false">MONTH(B39)</f>
        <v>1</v>
      </c>
      <c r="D39" s="37" t="s">
        <v>160</v>
      </c>
      <c r="E39" s="37" t="s">
        <v>46</v>
      </c>
      <c r="F39" s="37" t="s">
        <v>97</v>
      </c>
      <c r="G39" s="37" t="s">
        <v>91</v>
      </c>
      <c r="H39" s="37" t="s">
        <v>119</v>
      </c>
      <c r="I39" s="37" t="n">
        <v>2</v>
      </c>
      <c r="J39" s="39" t="n">
        <v>1099</v>
      </c>
      <c r="K39" s="40" t="n">
        <v>0.1</v>
      </c>
      <c r="L39" s="39" t="n">
        <f aca="false">VLOOKUP(H39,'Product List'!$A$3:$D$18,4,FALSE())</f>
        <v>560</v>
      </c>
      <c r="M39" s="39" t="n">
        <f aca="false">I39*J39*(1-K39)</f>
        <v>1978.2</v>
      </c>
      <c r="N39" s="39" t="n">
        <f aca="false">I39*L39</f>
        <v>1120</v>
      </c>
      <c r="O39" s="39" t="n">
        <f aca="false">M39-N39</f>
        <v>858.2</v>
      </c>
      <c r="P39" s="41" t="n">
        <f aca="false">IF(M39=0,0,O39/M39)</f>
        <v>0.433828733191791</v>
      </c>
      <c r="Q39" s="37" t="str">
        <f aca="false">IF(K39=0,"No discount",IF(K39&lt;=0.1,"1-10%",IF(K39&lt;=0.2,"11-20%",IF(K39&lt;=0.3,"21-30%","Above 30%"))))</f>
        <v>1-10%</v>
      </c>
      <c r="R39" s="39" t="n">
        <f aca="false">I39*J39*MAX(0,K39-DiscountCap)</f>
        <v>0</v>
      </c>
    </row>
    <row r="40" customFormat="false" ht="15" hidden="false" customHeight="false" outlineLevel="0" collapsed="false">
      <c r="A40" s="37" t="s">
        <v>184</v>
      </c>
      <c r="B40" s="38" t="n">
        <v>45668</v>
      </c>
      <c r="C40" s="37" t="n">
        <f aca="false">MONTH(B40)</f>
        <v>1</v>
      </c>
      <c r="D40" s="37" t="s">
        <v>142</v>
      </c>
      <c r="E40" s="37" t="s">
        <v>47</v>
      </c>
      <c r="F40" s="37" t="s">
        <v>97</v>
      </c>
      <c r="G40" s="37" t="s">
        <v>93</v>
      </c>
      <c r="H40" s="37" t="s">
        <v>122</v>
      </c>
      <c r="I40" s="37" t="n">
        <v>1</v>
      </c>
      <c r="J40" s="39" t="n">
        <v>1799</v>
      </c>
      <c r="K40" s="40" t="n">
        <v>0.15</v>
      </c>
      <c r="L40" s="39" t="n">
        <f aca="false">VLOOKUP(H40,'Product List'!$A$3:$D$18,4,FALSE())</f>
        <v>1250</v>
      </c>
      <c r="M40" s="39" t="n">
        <f aca="false">I40*J40*(1-K40)</f>
        <v>1529.15</v>
      </c>
      <c r="N40" s="39" t="n">
        <f aca="false">I40*L40</f>
        <v>1250</v>
      </c>
      <c r="O40" s="39" t="n">
        <f aca="false">M40-N40</f>
        <v>279.15</v>
      </c>
      <c r="P40" s="41" t="n">
        <f aca="false">IF(M40=0,0,O40/M40)</f>
        <v>0.182552398391263</v>
      </c>
      <c r="Q40" s="37" t="str">
        <f aca="false">IF(K40=0,"No discount",IF(K40&lt;=0.1,"1-10%",IF(K40&lt;=0.2,"11-20%",IF(K40&lt;=0.3,"21-30%","Above 30%"))))</f>
        <v>11-20%</v>
      </c>
      <c r="R40" s="39" t="n">
        <f aca="false">I40*J40*MAX(0,K40-DiscountCap)</f>
        <v>0</v>
      </c>
    </row>
    <row r="41" customFormat="false" ht="15" hidden="false" customHeight="false" outlineLevel="0" collapsed="false">
      <c r="A41" s="37" t="s">
        <v>185</v>
      </c>
      <c r="B41" s="38" t="n">
        <v>45676</v>
      </c>
      <c r="C41" s="37" t="n">
        <f aca="false">MONTH(B41)</f>
        <v>1</v>
      </c>
      <c r="D41" s="37" t="s">
        <v>136</v>
      </c>
      <c r="E41" s="37" t="s">
        <v>47</v>
      </c>
      <c r="F41" s="37" t="s">
        <v>96</v>
      </c>
      <c r="G41" s="37" t="s">
        <v>90</v>
      </c>
      <c r="H41" s="37" t="s">
        <v>111</v>
      </c>
      <c r="I41" s="37" t="n">
        <v>1</v>
      </c>
      <c r="J41" s="39" t="n">
        <v>2499</v>
      </c>
      <c r="K41" s="40" t="n">
        <v>0.15</v>
      </c>
      <c r="L41" s="39" t="n">
        <f aca="false">VLOOKUP(H41,'Product List'!$A$3:$D$18,4,FALSE())</f>
        <v>1950</v>
      </c>
      <c r="M41" s="39" t="n">
        <f aca="false">I41*J41*(1-K41)</f>
        <v>2124.15</v>
      </c>
      <c r="N41" s="39" t="n">
        <f aca="false">I41*L41</f>
        <v>1950</v>
      </c>
      <c r="O41" s="39" t="n">
        <f aca="false">M41-N41</f>
        <v>174.15</v>
      </c>
      <c r="P41" s="41" t="n">
        <f aca="false">IF(M41=0,0,O41/M41)</f>
        <v>0.0819857354706589</v>
      </c>
      <c r="Q41" s="37" t="str">
        <f aca="false">IF(K41=0,"No discount",IF(K41&lt;=0.1,"1-10%",IF(K41&lt;=0.2,"11-20%",IF(K41&lt;=0.3,"21-30%","Above 30%"))))</f>
        <v>11-20%</v>
      </c>
      <c r="R41" s="39" t="n">
        <f aca="false">I41*J41*MAX(0,K41-DiscountCap)</f>
        <v>0</v>
      </c>
    </row>
    <row r="42" customFormat="false" ht="15" hidden="false" customHeight="false" outlineLevel="0" collapsed="false">
      <c r="A42" s="37" t="s">
        <v>186</v>
      </c>
      <c r="B42" s="38" t="n">
        <v>45672</v>
      </c>
      <c r="C42" s="37" t="n">
        <f aca="false">MONTH(B42)</f>
        <v>1</v>
      </c>
      <c r="D42" s="37" t="s">
        <v>144</v>
      </c>
      <c r="E42" s="37" t="s">
        <v>45</v>
      </c>
      <c r="F42" s="37" t="s">
        <v>96</v>
      </c>
      <c r="G42" s="37" t="s">
        <v>93</v>
      </c>
      <c r="H42" s="37" t="s">
        <v>123</v>
      </c>
      <c r="I42" s="37" t="n">
        <v>1</v>
      </c>
      <c r="J42" s="39" t="n">
        <v>1299</v>
      </c>
      <c r="K42" s="40" t="n">
        <v>0.2</v>
      </c>
      <c r="L42" s="39" t="n">
        <f aca="false">VLOOKUP(H42,'Product List'!$A$3:$D$18,4,FALSE())</f>
        <v>700</v>
      </c>
      <c r="M42" s="39" t="n">
        <f aca="false">I42*J42*(1-K42)</f>
        <v>1039.2</v>
      </c>
      <c r="N42" s="39" t="n">
        <f aca="false">I42*L42</f>
        <v>700</v>
      </c>
      <c r="O42" s="39" t="n">
        <f aca="false">M42-N42</f>
        <v>339.2</v>
      </c>
      <c r="P42" s="41" t="n">
        <f aca="false">IF(M42=0,0,O42/M42)</f>
        <v>0.326404926866821</v>
      </c>
      <c r="Q42" s="37" t="str">
        <f aca="false">IF(K42=0,"No discount",IF(K42&lt;=0.1,"1-10%",IF(K42&lt;=0.2,"11-20%",IF(K42&lt;=0.3,"21-30%","Above 30%"))))</f>
        <v>11-20%</v>
      </c>
      <c r="R42" s="39" t="n">
        <f aca="false">I42*J42*MAX(0,K42-DiscountCap)</f>
        <v>0</v>
      </c>
    </row>
    <row r="43" customFormat="false" ht="15" hidden="false" customHeight="false" outlineLevel="0" collapsed="false">
      <c r="A43" s="37" t="s">
        <v>187</v>
      </c>
      <c r="B43" s="38" t="n">
        <v>45685</v>
      </c>
      <c r="C43" s="37" t="n">
        <f aca="false">MONTH(B43)</f>
        <v>1</v>
      </c>
      <c r="D43" s="37" t="s">
        <v>136</v>
      </c>
      <c r="E43" s="37" t="s">
        <v>47</v>
      </c>
      <c r="F43" s="37" t="s">
        <v>96</v>
      </c>
      <c r="G43" s="37" t="s">
        <v>91</v>
      </c>
      <c r="H43" s="37" t="s">
        <v>116</v>
      </c>
      <c r="I43" s="37" t="n">
        <v>1</v>
      </c>
      <c r="J43" s="39" t="n">
        <v>899</v>
      </c>
      <c r="K43" s="40" t="n">
        <v>0.1</v>
      </c>
      <c r="L43" s="39" t="n">
        <f aca="false">VLOOKUP(H43,'Product List'!$A$3:$D$18,4,FALSE())</f>
        <v>430</v>
      </c>
      <c r="M43" s="39" t="n">
        <f aca="false">I43*J43*(1-K43)</f>
        <v>809.1</v>
      </c>
      <c r="N43" s="39" t="n">
        <f aca="false">I43*L43</f>
        <v>430</v>
      </c>
      <c r="O43" s="39" t="n">
        <f aca="false">M43-N43</f>
        <v>379.1</v>
      </c>
      <c r="P43" s="41" t="n">
        <f aca="false">IF(M43=0,0,O43/M43)</f>
        <v>0.468545297243851</v>
      </c>
      <c r="Q43" s="37" t="str">
        <f aca="false">IF(K43=0,"No discount",IF(K43&lt;=0.1,"1-10%",IF(K43&lt;=0.2,"11-20%",IF(K43&lt;=0.3,"21-30%","Above 30%"))))</f>
        <v>1-10%</v>
      </c>
      <c r="R43" s="39" t="n">
        <f aca="false">I43*J43*MAX(0,K43-DiscountCap)</f>
        <v>0</v>
      </c>
    </row>
    <row r="44" customFormat="false" ht="15" hidden="false" customHeight="false" outlineLevel="0" collapsed="false">
      <c r="A44" s="37" t="s">
        <v>188</v>
      </c>
      <c r="B44" s="38" t="n">
        <v>45669</v>
      </c>
      <c r="C44" s="37" t="n">
        <f aca="false">MONTH(B44)</f>
        <v>1</v>
      </c>
      <c r="D44" s="37" t="s">
        <v>140</v>
      </c>
      <c r="E44" s="37" t="s">
        <v>44</v>
      </c>
      <c r="F44" s="37" t="s">
        <v>96</v>
      </c>
      <c r="G44" s="37" t="s">
        <v>91</v>
      </c>
      <c r="H44" s="37" t="s">
        <v>117</v>
      </c>
      <c r="I44" s="37" t="n">
        <v>1</v>
      </c>
      <c r="J44" s="39" t="n">
        <v>1499</v>
      </c>
      <c r="K44" s="40" t="n">
        <v>0.25</v>
      </c>
      <c r="L44" s="39" t="n">
        <f aca="false">VLOOKUP(H44,'Product List'!$A$3:$D$18,4,FALSE())</f>
        <v>780</v>
      </c>
      <c r="M44" s="39" t="n">
        <f aca="false">I44*J44*(1-K44)</f>
        <v>1124.25</v>
      </c>
      <c r="N44" s="39" t="n">
        <f aca="false">I44*L44</f>
        <v>780</v>
      </c>
      <c r="O44" s="39" t="n">
        <f aca="false">M44-N44</f>
        <v>344.25</v>
      </c>
      <c r="P44" s="41" t="n">
        <f aca="false">IF(M44=0,0,O44/M44)</f>
        <v>0.306204136090727</v>
      </c>
      <c r="Q44" s="37" t="str">
        <f aca="false">IF(K44=0,"No discount",IF(K44&lt;=0.1,"1-10%",IF(K44&lt;=0.2,"11-20%",IF(K44&lt;=0.3,"21-30%","Above 30%"))))</f>
        <v>21-30%</v>
      </c>
      <c r="R44" s="39" t="n">
        <f aca="false">I44*J44*MAX(0,K44-DiscountCap)</f>
        <v>74.95</v>
      </c>
    </row>
    <row r="45" customFormat="false" ht="15" hidden="false" customHeight="false" outlineLevel="0" collapsed="false">
      <c r="A45" s="37" t="s">
        <v>189</v>
      </c>
      <c r="B45" s="38" t="n">
        <v>45662</v>
      </c>
      <c r="C45" s="37" t="n">
        <f aca="false">MONTH(B45)</f>
        <v>1</v>
      </c>
      <c r="D45" s="37" t="s">
        <v>154</v>
      </c>
      <c r="E45" s="37" t="s">
        <v>47</v>
      </c>
      <c r="F45" s="37" t="s">
        <v>97</v>
      </c>
      <c r="G45" s="37" t="s">
        <v>90</v>
      </c>
      <c r="H45" s="37" t="s">
        <v>110</v>
      </c>
      <c r="I45" s="37" t="n">
        <v>2</v>
      </c>
      <c r="J45" s="39" t="n">
        <v>1299</v>
      </c>
      <c r="K45" s="40" t="n">
        <v>0</v>
      </c>
      <c r="L45" s="39" t="n">
        <f aca="false">VLOOKUP(H45,'Product List'!$A$3:$D$18,4,FALSE())</f>
        <v>1000</v>
      </c>
      <c r="M45" s="39" t="n">
        <f aca="false">I45*J45*(1-K45)</f>
        <v>2598</v>
      </c>
      <c r="N45" s="39" t="n">
        <f aca="false">I45*L45</f>
        <v>2000</v>
      </c>
      <c r="O45" s="39" t="n">
        <f aca="false">M45-N45</f>
        <v>598</v>
      </c>
      <c r="P45" s="41" t="n">
        <f aca="false">IF(M45=0,0,O45/M45)</f>
        <v>0.230177059276366</v>
      </c>
      <c r="Q45" s="37" t="str">
        <f aca="false">IF(K45=0,"No discount",IF(K45&lt;=0.1,"1-10%",IF(K45&lt;=0.2,"11-20%",IF(K45&lt;=0.3,"21-30%","Above 30%"))))</f>
        <v>No discount</v>
      </c>
      <c r="R45" s="39" t="n">
        <f aca="false">I45*J45*MAX(0,K45-DiscountCap)</f>
        <v>0</v>
      </c>
    </row>
    <row r="46" customFormat="false" ht="15" hidden="false" customHeight="false" outlineLevel="0" collapsed="false">
      <c r="A46" s="37" t="s">
        <v>190</v>
      </c>
      <c r="B46" s="38" t="n">
        <v>45671</v>
      </c>
      <c r="C46" s="37" t="n">
        <f aca="false">MONTH(B46)</f>
        <v>1</v>
      </c>
      <c r="D46" s="37" t="s">
        <v>142</v>
      </c>
      <c r="E46" s="37" t="s">
        <v>47</v>
      </c>
      <c r="F46" s="37" t="s">
        <v>96</v>
      </c>
      <c r="G46" s="37" t="s">
        <v>91</v>
      </c>
      <c r="H46" s="37" t="s">
        <v>116</v>
      </c>
      <c r="I46" s="37" t="n">
        <v>2</v>
      </c>
      <c r="J46" s="39" t="n">
        <v>899</v>
      </c>
      <c r="K46" s="40" t="n">
        <v>0.05</v>
      </c>
      <c r="L46" s="39" t="n">
        <f aca="false">VLOOKUP(H46,'Product List'!$A$3:$D$18,4,FALSE())</f>
        <v>430</v>
      </c>
      <c r="M46" s="39" t="n">
        <f aca="false">I46*J46*(1-K46)</f>
        <v>1708.1</v>
      </c>
      <c r="N46" s="39" t="n">
        <f aca="false">I46*L46</f>
        <v>860</v>
      </c>
      <c r="O46" s="39" t="n">
        <f aca="false">M46-N46</f>
        <v>848.1</v>
      </c>
      <c r="P46" s="41" t="n">
        <f aca="false">IF(M46=0,0,O46/M46)</f>
        <v>0.496516597388912</v>
      </c>
      <c r="Q46" s="37" t="str">
        <f aca="false">IF(K46=0,"No discount",IF(K46&lt;=0.1,"1-10%",IF(K46&lt;=0.2,"11-20%",IF(K46&lt;=0.3,"21-30%","Above 30%"))))</f>
        <v>1-10%</v>
      </c>
      <c r="R46" s="39" t="n">
        <f aca="false">I46*J46*MAX(0,K46-DiscountCap)</f>
        <v>0</v>
      </c>
    </row>
    <row r="47" customFormat="false" ht="15" hidden="false" customHeight="false" outlineLevel="0" collapsed="false">
      <c r="A47" s="37" t="s">
        <v>191</v>
      </c>
      <c r="B47" s="38" t="n">
        <v>45683</v>
      </c>
      <c r="C47" s="37" t="n">
        <f aca="false">MONTH(B47)</f>
        <v>1</v>
      </c>
      <c r="D47" s="37" t="s">
        <v>140</v>
      </c>
      <c r="E47" s="37" t="s">
        <v>44</v>
      </c>
      <c r="F47" s="37" t="s">
        <v>97</v>
      </c>
      <c r="G47" s="37" t="s">
        <v>92</v>
      </c>
      <c r="H47" s="37" t="s">
        <v>113</v>
      </c>
      <c r="I47" s="37" t="n">
        <v>1</v>
      </c>
      <c r="J47" s="39" t="n">
        <v>2199</v>
      </c>
      <c r="K47" s="40" t="n">
        <v>0</v>
      </c>
      <c r="L47" s="39" t="n">
        <f aca="false">VLOOKUP(H47,'Product List'!$A$3:$D$18,4,FALSE())</f>
        <v>1400</v>
      </c>
      <c r="M47" s="39" t="n">
        <f aca="false">I47*J47*(1-K47)</f>
        <v>2199</v>
      </c>
      <c r="N47" s="39" t="n">
        <f aca="false">I47*L47</f>
        <v>1400</v>
      </c>
      <c r="O47" s="39" t="n">
        <f aca="false">M47-N47</f>
        <v>799</v>
      </c>
      <c r="P47" s="41" t="n">
        <f aca="false">IF(M47=0,0,O47/M47)</f>
        <v>0.363346975898136</v>
      </c>
      <c r="Q47" s="37" t="str">
        <f aca="false">IF(K47=0,"No discount",IF(K47&lt;=0.1,"1-10%",IF(K47&lt;=0.2,"11-20%",IF(K47&lt;=0.3,"21-30%","Above 30%"))))</f>
        <v>No discount</v>
      </c>
      <c r="R47" s="39" t="n">
        <f aca="false">I47*J47*MAX(0,K47-DiscountCap)</f>
        <v>0</v>
      </c>
    </row>
    <row r="48" customFormat="false" ht="15" hidden="false" customHeight="false" outlineLevel="0" collapsed="false">
      <c r="A48" s="37" t="s">
        <v>192</v>
      </c>
      <c r="B48" s="38" t="n">
        <v>45669</v>
      </c>
      <c r="C48" s="37" t="n">
        <f aca="false">MONTH(B48)</f>
        <v>1</v>
      </c>
      <c r="D48" s="37" t="s">
        <v>182</v>
      </c>
      <c r="E48" s="37" t="s">
        <v>45</v>
      </c>
      <c r="F48" s="37" t="s">
        <v>97</v>
      </c>
      <c r="G48" s="37" t="s">
        <v>92</v>
      </c>
      <c r="H48" s="37" t="s">
        <v>113</v>
      </c>
      <c r="I48" s="37" t="n">
        <v>1</v>
      </c>
      <c r="J48" s="39" t="n">
        <v>2199</v>
      </c>
      <c r="K48" s="40" t="n">
        <v>0.15</v>
      </c>
      <c r="L48" s="39" t="n">
        <f aca="false">VLOOKUP(H48,'Product List'!$A$3:$D$18,4,FALSE())</f>
        <v>1400</v>
      </c>
      <c r="M48" s="39" t="n">
        <f aca="false">I48*J48*(1-K48)</f>
        <v>1869.15</v>
      </c>
      <c r="N48" s="39" t="n">
        <f aca="false">I48*L48</f>
        <v>1400</v>
      </c>
      <c r="O48" s="39" t="n">
        <f aca="false">M48-N48</f>
        <v>469.15</v>
      </c>
      <c r="P48" s="41" t="n">
        <f aca="false">IF(M48=0,0,O48/M48)</f>
        <v>0.250996442233101</v>
      </c>
      <c r="Q48" s="37" t="str">
        <f aca="false">IF(K48=0,"No discount",IF(K48&lt;=0.1,"1-10%",IF(K48&lt;=0.2,"11-20%",IF(K48&lt;=0.3,"21-30%","Above 30%"))))</f>
        <v>11-20%</v>
      </c>
      <c r="R48" s="39" t="n">
        <f aca="false">I48*J48*MAX(0,K48-DiscountCap)</f>
        <v>0</v>
      </c>
    </row>
    <row r="49" customFormat="false" ht="15" hidden="false" customHeight="false" outlineLevel="0" collapsed="false">
      <c r="A49" s="37" t="s">
        <v>193</v>
      </c>
      <c r="B49" s="38" t="n">
        <v>45687</v>
      </c>
      <c r="C49" s="37" t="n">
        <f aca="false">MONTH(B49)</f>
        <v>1</v>
      </c>
      <c r="D49" s="37" t="s">
        <v>166</v>
      </c>
      <c r="E49" s="37" t="s">
        <v>44</v>
      </c>
      <c r="F49" s="37" t="s">
        <v>97</v>
      </c>
      <c r="G49" s="37" t="s">
        <v>90</v>
      </c>
      <c r="H49" s="37" t="s">
        <v>109</v>
      </c>
      <c r="I49" s="37" t="n">
        <v>1</v>
      </c>
      <c r="J49" s="39" t="n">
        <v>3499</v>
      </c>
      <c r="K49" s="40" t="n">
        <v>0.05</v>
      </c>
      <c r="L49" s="39" t="n">
        <f aca="false">VLOOKUP(H49,'Product List'!$A$3:$D$18,4,FALSE())</f>
        <v>2750</v>
      </c>
      <c r="M49" s="39" t="n">
        <f aca="false">I49*J49*(1-K49)</f>
        <v>3324.05</v>
      </c>
      <c r="N49" s="39" t="n">
        <f aca="false">I49*L49</f>
        <v>2750</v>
      </c>
      <c r="O49" s="39" t="n">
        <f aca="false">M49-N49</f>
        <v>574.05</v>
      </c>
      <c r="P49" s="41" t="n">
        <f aca="false">IF(M49=0,0,O49/M49)</f>
        <v>0.172695958243709</v>
      </c>
      <c r="Q49" s="37" t="str">
        <f aca="false">IF(K49=0,"No discount",IF(K49&lt;=0.1,"1-10%",IF(K49&lt;=0.2,"11-20%",IF(K49&lt;=0.3,"21-30%","Above 30%"))))</f>
        <v>1-10%</v>
      </c>
      <c r="R49" s="39" t="n">
        <f aca="false">I49*J49*MAX(0,K49-DiscountCap)</f>
        <v>0</v>
      </c>
    </row>
    <row r="50" customFormat="false" ht="15" hidden="false" customHeight="false" outlineLevel="0" collapsed="false">
      <c r="A50" s="37" t="s">
        <v>194</v>
      </c>
      <c r="B50" s="38" t="n">
        <v>45674</v>
      </c>
      <c r="C50" s="37" t="n">
        <f aca="false">MONTH(B50)</f>
        <v>1</v>
      </c>
      <c r="D50" s="37" t="s">
        <v>160</v>
      </c>
      <c r="E50" s="37" t="s">
        <v>46</v>
      </c>
      <c r="F50" s="37" t="s">
        <v>96</v>
      </c>
      <c r="G50" s="37" t="s">
        <v>91</v>
      </c>
      <c r="H50" s="37" t="s">
        <v>119</v>
      </c>
      <c r="I50" s="37" t="n">
        <v>1</v>
      </c>
      <c r="J50" s="39" t="n">
        <v>1099</v>
      </c>
      <c r="K50" s="40" t="n">
        <v>0</v>
      </c>
      <c r="L50" s="39" t="n">
        <f aca="false">VLOOKUP(H50,'Product List'!$A$3:$D$18,4,FALSE())</f>
        <v>560</v>
      </c>
      <c r="M50" s="39" t="n">
        <f aca="false">I50*J50*(1-K50)</f>
        <v>1099</v>
      </c>
      <c r="N50" s="39" t="n">
        <f aca="false">I50*L50</f>
        <v>560</v>
      </c>
      <c r="O50" s="39" t="n">
        <f aca="false">M50-N50</f>
        <v>539</v>
      </c>
      <c r="P50" s="41" t="n">
        <f aca="false">IF(M50=0,0,O50/M50)</f>
        <v>0.490445859872611</v>
      </c>
      <c r="Q50" s="37" t="str">
        <f aca="false">IF(K50=0,"No discount",IF(K50&lt;=0.1,"1-10%",IF(K50&lt;=0.2,"11-20%",IF(K50&lt;=0.3,"21-30%","Above 30%"))))</f>
        <v>No discount</v>
      </c>
      <c r="R50" s="39" t="n">
        <f aca="false">I50*J50*MAX(0,K50-DiscountCap)</f>
        <v>0</v>
      </c>
    </row>
    <row r="51" customFormat="false" ht="15" hidden="false" customHeight="false" outlineLevel="0" collapsed="false">
      <c r="A51" s="37" t="s">
        <v>195</v>
      </c>
      <c r="B51" s="38" t="n">
        <v>45673</v>
      </c>
      <c r="C51" s="37" t="n">
        <f aca="false">MONTH(B51)</f>
        <v>1</v>
      </c>
      <c r="D51" s="37" t="s">
        <v>144</v>
      </c>
      <c r="E51" s="37" t="s">
        <v>45</v>
      </c>
      <c r="F51" s="37" t="s">
        <v>97</v>
      </c>
      <c r="G51" s="37" t="s">
        <v>92</v>
      </c>
      <c r="H51" s="37" t="s">
        <v>113</v>
      </c>
      <c r="I51" s="37" t="n">
        <v>1</v>
      </c>
      <c r="J51" s="39" t="n">
        <v>2199</v>
      </c>
      <c r="K51" s="40" t="n">
        <v>0</v>
      </c>
      <c r="L51" s="39" t="n">
        <f aca="false">VLOOKUP(H51,'Product List'!$A$3:$D$18,4,FALSE())</f>
        <v>1400</v>
      </c>
      <c r="M51" s="39" t="n">
        <f aca="false">I51*J51*(1-K51)</f>
        <v>2199</v>
      </c>
      <c r="N51" s="39" t="n">
        <f aca="false">I51*L51</f>
        <v>1400</v>
      </c>
      <c r="O51" s="39" t="n">
        <f aca="false">M51-N51</f>
        <v>799</v>
      </c>
      <c r="P51" s="41" t="n">
        <f aca="false">IF(M51=0,0,O51/M51)</f>
        <v>0.363346975898136</v>
      </c>
      <c r="Q51" s="37" t="str">
        <f aca="false">IF(K51=0,"No discount",IF(K51&lt;=0.1,"1-10%",IF(K51&lt;=0.2,"11-20%",IF(K51&lt;=0.3,"21-30%","Above 30%"))))</f>
        <v>No discount</v>
      </c>
      <c r="R51" s="39" t="n">
        <f aca="false">I51*J51*MAX(0,K51-DiscountCap)</f>
        <v>0</v>
      </c>
    </row>
    <row r="52" customFormat="false" ht="15" hidden="false" customHeight="false" outlineLevel="0" collapsed="false">
      <c r="A52" s="37" t="s">
        <v>196</v>
      </c>
      <c r="B52" s="38" t="n">
        <v>45687</v>
      </c>
      <c r="C52" s="37" t="n">
        <f aca="false">MONTH(B52)</f>
        <v>1</v>
      </c>
      <c r="D52" s="37" t="s">
        <v>136</v>
      </c>
      <c r="E52" s="37" t="s">
        <v>47</v>
      </c>
      <c r="F52" s="37" t="s">
        <v>96</v>
      </c>
      <c r="G52" s="37" t="s">
        <v>90</v>
      </c>
      <c r="H52" s="37" t="s">
        <v>108</v>
      </c>
      <c r="I52" s="37" t="n">
        <v>1</v>
      </c>
      <c r="J52" s="39" t="n">
        <v>1999</v>
      </c>
      <c r="K52" s="40" t="n">
        <v>0.2</v>
      </c>
      <c r="L52" s="39" t="n">
        <f aca="false">VLOOKUP(H52,'Product List'!$A$3:$D$18,4,FALSE())</f>
        <v>1560</v>
      </c>
      <c r="M52" s="39" t="n">
        <f aca="false">I52*J52*(1-K52)</f>
        <v>1599.2</v>
      </c>
      <c r="N52" s="39" t="n">
        <f aca="false">I52*L52</f>
        <v>1560</v>
      </c>
      <c r="O52" s="39" t="n">
        <f aca="false">M52-N52</f>
        <v>39.2</v>
      </c>
      <c r="P52" s="41" t="n">
        <f aca="false">IF(M52=0,0,O52/M52)</f>
        <v>0.0245122561280641</v>
      </c>
      <c r="Q52" s="37" t="str">
        <f aca="false">IF(K52=0,"No discount",IF(K52&lt;=0.1,"1-10%",IF(K52&lt;=0.2,"11-20%",IF(K52&lt;=0.3,"21-30%","Above 30%"))))</f>
        <v>11-20%</v>
      </c>
      <c r="R52" s="39" t="n">
        <f aca="false">I52*J52*MAX(0,K52-DiscountCap)</f>
        <v>0</v>
      </c>
    </row>
    <row r="53" customFormat="false" ht="15" hidden="false" customHeight="false" outlineLevel="0" collapsed="false">
      <c r="A53" s="37" t="s">
        <v>197</v>
      </c>
      <c r="B53" s="38" t="n">
        <v>45669</v>
      </c>
      <c r="C53" s="37" t="n">
        <f aca="false">MONTH(B53)</f>
        <v>1</v>
      </c>
      <c r="D53" s="37" t="s">
        <v>142</v>
      </c>
      <c r="E53" s="37" t="s">
        <v>47</v>
      </c>
      <c r="F53" s="37" t="s">
        <v>97</v>
      </c>
      <c r="G53" s="37" t="s">
        <v>91</v>
      </c>
      <c r="H53" s="37" t="s">
        <v>117</v>
      </c>
      <c r="I53" s="37" t="n">
        <v>1</v>
      </c>
      <c r="J53" s="39" t="n">
        <v>1499</v>
      </c>
      <c r="K53" s="40" t="n">
        <v>0</v>
      </c>
      <c r="L53" s="39" t="n">
        <f aca="false">VLOOKUP(H53,'Product List'!$A$3:$D$18,4,FALSE())</f>
        <v>780</v>
      </c>
      <c r="M53" s="39" t="n">
        <f aca="false">I53*J53*(1-K53)</f>
        <v>1499</v>
      </c>
      <c r="N53" s="39" t="n">
        <f aca="false">I53*L53</f>
        <v>780</v>
      </c>
      <c r="O53" s="39" t="n">
        <f aca="false">M53-N53</f>
        <v>719</v>
      </c>
      <c r="P53" s="41" t="n">
        <f aca="false">IF(M53=0,0,O53/M53)</f>
        <v>0.479653102068045</v>
      </c>
      <c r="Q53" s="37" t="str">
        <f aca="false">IF(K53=0,"No discount",IF(K53&lt;=0.1,"1-10%",IF(K53&lt;=0.2,"11-20%",IF(K53&lt;=0.3,"21-30%","Above 30%"))))</f>
        <v>No discount</v>
      </c>
      <c r="R53" s="39" t="n">
        <f aca="false">I53*J53*MAX(0,K53-DiscountCap)</f>
        <v>0</v>
      </c>
    </row>
    <row r="54" customFormat="false" ht="15" hidden="false" customHeight="false" outlineLevel="0" collapsed="false">
      <c r="A54" s="37" t="s">
        <v>198</v>
      </c>
      <c r="B54" s="38" t="n">
        <v>45686</v>
      </c>
      <c r="C54" s="37" t="n">
        <f aca="false">MONTH(B54)</f>
        <v>1</v>
      </c>
      <c r="D54" s="37" t="s">
        <v>136</v>
      </c>
      <c r="E54" s="37" t="s">
        <v>47</v>
      </c>
      <c r="F54" s="37" t="s">
        <v>97</v>
      </c>
      <c r="G54" s="37" t="s">
        <v>91</v>
      </c>
      <c r="H54" s="37" t="s">
        <v>118</v>
      </c>
      <c r="I54" s="37" t="n">
        <v>2</v>
      </c>
      <c r="J54" s="39" t="n">
        <v>2299</v>
      </c>
      <c r="K54" s="40" t="n">
        <v>0</v>
      </c>
      <c r="L54" s="39" t="n">
        <f aca="false">VLOOKUP(H54,'Product List'!$A$3:$D$18,4,FALSE())</f>
        <v>1300</v>
      </c>
      <c r="M54" s="39" t="n">
        <f aca="false">I54*J54*(1-K54)</f>
        <v>4598</v>
      </c>
      <c r="N54" s="39" t="n">
        <f aca="false">I54*L54</f>
        <v>2600</v>
      </c>
      <c r="O54" s="39" t="n">
        <f aca="false">M54-N54</f>
        <v>1998</v>
      </c>
      <c r="P54" s="41" t="n">
        <f aca="false">IF(M54=0,0,O54/M54)</f>
        <v>0.434536755110918</v>
      </c>
      <c r="Q54" s="37" t="str">
        <f aca="false">IF(K54=0,"No discount",IF(K54&lt;=0.1,"1-10%",IF(K54&lt;=0.2,"11-20%",IF(K54&lt;=0.3,"21-30%","Above 30%"))))</f>
        <v>No discount</v>
      </c>
      <c r="R54" s="39" t="n">
        <f aca="false">I54*J54*MAX(0,K54-DiscountCap)</f>
        <v>0</v>
      </c>
    </row>
    <row r="55" customFormat="false" ht="15" hidden="false" customHeight="false" outlineLevel="0" collapsed="false">
      <c r="A55" s="37" t="s">
        <v>199</v>
      </c>
      <c r="B55" s="38" t="n">
        <v>45659</v>
      </c>
      <c r="C55" s="37" t="n">
        <f aca="false">MONTH(B55)</f>
        <v>1</v>
      </c>
      <c r="D55" s="37" t="s">
        <v>142</v>
      </c>
      <c r="E55" s="37" t="s">
        <v>47</v>
      </c>
      <c r="F55" s="37" t="s">
        <v>97</v>
      </c>
      <c r="G55" s="37" t="s">
        <v>92</v>
      </c>
      <c r="H55" s="37" t="s">
        <v>114</v>
      </c>
      <c r="I55" s="37" t="n">
        <v>2</v>
      </c>
      <c r="J55" s="39" t="n">
        <v>1199</v>
      </c>
      <c r="K55" s="40" t="n">
        <v>0.1</v>
      </c>
      <c r="L55" s="39" t="n">
        <f aca="false">VLOOKUP(H55,'Product List'!$A$3:$D$18,4,FALSE())</f>
        <v>780</v>
      </c>
      <c r="M55" s="39" t="n">
        <f aca="false">I55*J55*(1-K55)</f>
        <v>2158.2</v>
      </c>
      <c r="N55" s="39" t="n">
        <f aca="false">I55*L55</f>
        <v>1560</v>
      </c>
      <c r="O55" s="39" t="n">
        <f aca="false">M55-N55</f>
        <v>598.2</v>
      </c>
      <c r="P55" s="41" t="n">
        <f aca="false">IF(M55=0,0,O55/M55)</f>
        <v>0.277175423964415</v>
      </c>
      <c r="Q55" s="37" t="str">
        <f aca="false">IF(K55=0,"No discount",IF(K55&lt;=0.1,"1-10%",IF(K55&lt;=0.2,"11-20%",IF(K55&lt;=0.3,"21-30%","Above 30%"))))</f>
        <v>1-10%</v>
      </c>
      <c r="R55" s="39" t="n">
        <f aca="false">I55*J55*MAX(0,K55-DiscountCap)</f>
        <v>0</v>
      </c>
    </row>
    <row r="56" customFormat="false" ht="15" hidden="false" customHeight="false" outlineLevel="0" collapsed="false">
      <c r="A56" s="37" t="s">
        <v>200</v>
      </c>
      <c r="B56" s="38" t="n">
        <v>45677</v>
      </c>
      <c r="C56" s="37" t="n">
        <f aca="false">MONTH(B56)</f>
        <v>1</v>
      </c>
      <c r="D56" s="37" t="s">
        <v>166</v>
      </c>
      <c r="E56" s="37" t="s">
        <v>44</v>
      </c>
      <c r="F56" s="37" t="s">
        <v>96</v>
      </c>
      <c r="G56" s="37" t="s">
        <v>91</v>
      </c>
      <c r="H56" s="37" t="s">
        <v>116</v>
      </c>
      <c r="I56" s="37" t="n">
        <v>1</v>
      </c>
      <c r="J56" s="39" t="n">
        <v>899</v>
      </c>
      <c r="K56" s="40" t="n">
        <v>0</v>
      </c>
      <c r="L56" s="39" t="n">
        <f aca="false">VLOOKUP(H56,'Product List'!$A$3:$D$18,4,FALSE())</f>
        <v>430</v>
      </c>
      <c r="M56" s="39" t="n">
        <f aca="false">I56*J56*(1-K56)</f>
        <v>899</v>
      </c>
      <c r="N56" s="39" t="n">
        <f aca="false">I56*L56</f>
        <v>430</v>
      </c>
      <c r="O56" s="39" t="n">
        <f aca="false">M56-N56</f>
        <v>469</v>
      </c>
      <c r="P56" s="41" t="n">
        <f aca="false">IF(M56=0,0,O56/M56)</f>
        <v>0.521690767519466</v>
      </c>
      <c r="Q56" s="37" t="str">
        <f aca="false">IF(K56=0,"No discount",IF(K56&lt;=0.1,"1-10%",IF(K56&lt;=0.2,"11-20%",IF(K56&lt;=0.3,"21-30%","Above 30%"))))</f>
        <v>No discount</v>
      </c>
      <c r="R56" s="39" t="n">
        <f aca="false">I56*J56*MAX(0,K56-DiscountCap)</f>
        <v>0</v>
      </c>
    </row>
    <row r="57" customFormat="false" ht="15" hidden="false" customHeight="false" outlineLevel="0" collapsed="false">
      <c r="A57" s="37" t="s">
        <v>201</v>
      </c>
      <c r="B57" s="38" t="n">
        <v>45681</v>
      </c>
      <c r="C57" s="37" t="n">
        <f aca="false">MONTH(B57)</f>
        <v>1</v>
      </c>
      <c r="D57" s="37" t="s">
        <v>169</v>
      </c>
      <c r="E57" s="37" t="s">
        <v>44</v>
      </c>
      <c r="F57" s="37" t="s">
        <v>96</v>
      </c>
      <c r="G57" s="37" t="s">
        <v>93</v>
      </c>
      <c r="H57" s="37" t="s">
        <v>123</v>
      </c>
      <c r="I57" s="37" t="n">
        <v>1</v>
      </c>
      <c r="J57" s="39" t="n">
        <v>1299</v>
      </c>
      <c r="K57" s="40" t="n">
        <v>0.15</v>
      </c>
      <c r="L57" s="39" t="n">
        <f aca="false">VLOOKUP(H57,'Product List'!$A$3:$D$18,4,FALSE())</f>
        <v>700</v>
      </c>
      <c r="M57" s="39" t="n">
        <f aca="false">I57*J57*(1-K57)</f>
        <v>1104.15</v>
      </c>
      <c r="N57" s="39" t="n">
        <f aca="false">I57*L57</f>
        <v>700</v>
      </c>
      <c r="O57" s="39" t="n">
        <f aca="false">M57-N57</f>
        <v>404.15</v>
      </c>
      <c r="P57" s="41" t="n">
        <f aca="false">IF(M57=0,0,O57/M57)</f>
        <v>0.36602816646289</v>
      </c>
      <c r="Q57" s="37" t="str">
        <f aca="false">IF(K57=0,"No discount",IF(K57&lt;=0.1,"1-10%",IF(K57&lt;=0.2,"11-20%",IF(K57&lt;=0.3,"21-30%","Above 30%"))))</f>
        <v>11-20%</v>
      </c>
      <c r="R57" s="39" t="n">
        <f aca="false">I57*J57*MAX(0,K57-DiscountCap)</f>
        <v>0</v>
      </c>
    </row>
    <row r="58" customFormat="false" ht="15" hidden="false" customHeight="false" outlineLevel="0" collapsed="false">
      <c r="A58" s="37" t="s">
        <v>202</v>
      </c>
      <c r="B58" s="38" t="n">
        <v>45677</v>
      </c>
      <c r="C58" s="37" t="n">
        <f aca="false">MONTH(B58)</f>
        <v>1</v>
      </c>
      <c r="D58" s="37" t="s">
        <v>144</v>
      </c>
      <c r="E58" s="37" t="s">
        <v>45</v>
      </c>
      <c r="F58" s="37" t="s">
        <v>96</v>
      </c>
      <c r="G58" s="37" t="s">
        <v>93</v>
      </c>
      <c r="H58" s="37" t="s">
        <v>121</v>
      </c>
      <c r="I58" s="37" t="n">
        <v>3</v>
      </c>
      <c r="J58" s="39" t="n">
        <v>999</v>
      </c>
      <c r="K58" s="40" t="n">
        <v>0.1</v>
      </c>
      <c r="L58" s="39" t="n">
        <f aca="false">VLOOKUP(H58,'Product List'!$A$3:$D$18,4,FALSE())</f>
        <v>500</v>
      </c>
      <c r="M58" s="39" t="n">
        <f aca="false">I58*J58*(1-K58)</f>
        <v>2697.3</v>
      </c>
      <c r="N58" s="39" t="n">
        <f aca="false">I58*L58</f>
        <v>1500</v>
      </c>
      <c r="O58" s="39" t="n">
        <f aca="false">M58-N58</f>
        <v>1197.3</v>
      </c>
      <c r="P58" s="41" t="n">
        <f aca="false">IF(M58=0,0,O58/M58)</f>
        <v>0.443888332777222</v>
      </c>
      <c r="Q58" s="37" t="str">
        <f aca="false">IF(K58=0,"No discount",IF(K58&lt;=0.1,"1-10%",IF(K58&lt;=0.2,"11-20%",IF(K58&lt;=0.3,"21-30%","Above 30%"))))</f>
        <v>1-10%</v>
      </c>
      <c r="R58" s="39" t="n">
        <f aca="false">I58*J58*MAX(0,K58-DiscountCap)</f>
        <v>0</v>
      </c>
    </row>
    <row r="59" customFormat="false" ht="15" hidden="false" customHeight="false" outlineLevel="0" collapsed="false">
      <c r="A59" s="37" t="s">
        <v>203</v>
      </c>
      <c r="B59" s="38" t="n">
        <v>45668</v>
      </c>
      <c r="C59" s="37" t="n">
        <f aca="false">MONTH(B59)</f>
        <v>1</v>
      </c>
      <c r="D59" s="37" t="s">
        <v>140</v>
      </c>
      <c r="E59" s="37" t="s">
        <v>44</v>
      </c>
      <c r="F59" s="37" t="s">
        <v>96</v>
      </c>
      <c r="G59" s="37" t="s">
        <v>90</v>
      </c>
      <c r="H59" s="37" t="s">
        <v>108</v>
      </c>
      <c r="I59" s="37" t="n">
        <v>3</v>
      </c>
      <c r="J59" s="39" t="n">
        <v>1999</v>
      </c>
      <c r="K59" s="40" t="n">
        <v>0.1</v>
      </c>
      <c r="L59" s="39" t="n">
        <f aca="false">VLOOKUP(H59,'Product List'!$A$3:$D$18,4,FALSE())</f>
        <v>1560</v>
      </c>
      <c r="M59" s="39" t="n">
        <f aca="false">I59*J59*(1-K59)</f>
        <v>5397.3</v>
      </c>
      <c r="N59" s="39" t="n">
        <f aca="false">I59*L59</f>
        <v>4680</v>
      </c>
      <c r="O59" s="39" t="n">
        <f aca="false">M59-N59</f>
        <v>717.3</v>
      </c>
      <c r="P59" s="41" t="n">
        <f aca="false">IF(M59=0,0,O59/M59)</f>
        <v>0.132899783224946</v>
      </c>
      <c r="Q59" s="37" t="str">
        <f aca="false">IF(K59=0,"No discount",IF(K59&lt;=0.1,"1-10%",IF(K59&lt;=0.2,"11-20%",IF(K59&lt;=0.3,"21-30%","Above 30%"))))</f>
        <v>1-10%</v>
      </c>
      <c r="R59" s="39" t="n">
        <f aca="false">I59*J59*MAX(0,K59-DiscountCap)</f>
        <v>0</v>
      </c>
    </row>
    <row r="60" customFormat="false" ht="15" hidden="false" customHeight="false" outlineLevel="0" collapsed="false">
      <c r="A60" s="37" t="s">
        <v>204</v>
      </c>
      <c r="B60" s="38" t="n">
        <v>45671</v>
      </c>
      <c r="C60" s="37" t="n">
        <f aca="false">MONTH(B60)</f>
        <v>1</v>
      </c>
      <c r="D60" s="37" t="s">
        <v>169</v>
      </c>
      <c r="E60" s="37" t="s">
        <v>44</v>
      </c>
      <c r="F60" s="37" t="s">
        <v>97</v>
      </c>
      <c r="G60" s="37" t="s">
        <v>91</v>
      </c>
      <c r="H60" s="37" t="s">
        <v>117</v>
      </c>
      <c r="I60" s="37" t="n">
        <v>3</v>
      </c>
      <c r="J60" s="39" t="n">
        <v>1499</v>
      </c>
      <c r="K60" s="40" t="n">
        <v>0</v>
      </c>
      <c r="L60" s="39" t="n">
        <f aca="false">VLOOKUP(H60,'Product List'!$A$3:$D$18,4,FALSE())</f>
        <v>780</v>
      </c>
      <c r="M60" s="39" t="n">
        <f aca="false">I60*J60*(1-K60)</f>
        <v>4497</v>
      </c>
      <c r="N60" s="39" t="n">
        <f aca="false">I60*L60</f>
        <v>2340</v>
      </c>
      <c r="O60" s="39" t="n">
        <f aca="false">M60-N60</f>
        <v>2157</v>
      </c>
      <c r="P60" s="41" t="n">
        <f aca="false">IF(M60=0,0,O60/M60)</f>
        <v>0.479653102068045</v>
      </c>
      <c r="Q60" s="37" t="str">
        <f aca="false">IF(K60=0,"No discount",IF(K60&lt;=0.1,"1-10%",IF(K60&lt;=0.2,"11-20%",IF(K60&lt;=0.3,"21-30%","Above 30%"))))</f>
        <v>No discount</v>
      </c>
      <c r="R60" s="39" t="n">
        <f aca="false">I60*J60*MAX(0,K60-DiscountCap)</f>
        <v>0</v>
      </c>
    </row>
    <row r="61" customFormat="false" ht="15" hidden="false" customHeight="false" outlineLevel="0" collapsed="false">
      <c r="A61" s="37" t="s">
        <v>205</v>
      </c>
      <c r="B61" s="38" t="n">
        <v>45687</v>
      </c>
      <c r="C61" s="37" t="n">
        <f aca="false">MONTH(B61)</f>
        <v>1</v>
      </c>
      <c r="D61" s="37" t="s">
        <v>134</v>
      </c>
      <c r="E61" s="37" t="s">
        <v>45</v>
      </c>
      <c r="F61" s="37" t="s">
        <v>96</v>
      </c>
      <c r="G61" s="37" t="s">
        <v>92</v>
      </c>
      <c r="H61" s="37" t="s">
        <v>113</v>
      </c>
      <c r="I61" s="37" t="n">
        <v>1</v>
      </c>
      <c r="J61" s="39" t="n">
        <v>2199</v>
      </c>
      <c r="K61" s="40" t="n">
        <v>0.15</v>
      </c>
      <c r="L61" s="39" t="n">
        <f aca="false">VLOOKUP(H61,'Product List'!$A$3:$D$18,4,FALSE())</f>
        <v>1400</v>
      </c>
      <c r="M61" s="39" t="n">
        <f aca="false">I61*J61*(1-K61)</f>
        <v>1869.15</v>
      </c>
      <c r="N61" s="39" t="n">
        <f aca="false">I61*L61</f>
        <v>1400</v>
      </c>
      <c r="O61" s="39" t="n">
        <f aca="false">M61-N61</f>
        <v>469.15</v>
      </c>
      <c r="P61" s="41" t="n">
        <f aca="false">IF(M61=0,0,O61/M61)</f>
        <v>0.250996442233101</v>
      </c>
      <c r="Q61" s="37" t="str">
        <f aca="false">IF(K61=0,"No discount",IF(K61&lt;=0.1,"1-10%",IF(K61&lt;=0.2,"11-20%",IF(K61&lt;=0.3,"21-30%","Above 30%"))))</f>
        <v>11-20%</v>
      </c>
      <c r="R61" s="39" t="n">
        <f aca="false">I61*J61*MAX(0,K61-DiscountCap)</f>
        <v>0</v>
      </c>
    </row>
    <row r="62" customFormat="false" ht="15" hidden="false" customHeight="false" outlineLevel="0" collapsed="false">
      <c r="A62" s="37" t="s">
        <v>206</v>
      </c>
      <c r="B62" s="38" t="n">
        <v>45676</v>
      </c>
      <c r="C62" s="37" t="n">
        <f aca="false">MONTH(B62)</f>
        <v>1</v>
      </c>
      <c r="D62" s="37" t="s">
        <v>136</v>
      </c>
      <c r="E62" s="37" t="s">
        <v>47</v>
      </c>
      <c r="F62" s="37" t="s">
        <v>96</v>
      </c>
      <c r="G62" s="37" t="s">
        <v>90</v>
      </c>
      <c r="H62" s="37" t="s">
        <v>110</v>
      </c>
      <c r="I62" s="37" t="n">
        <v>2</v>
      </c>
      <c r="J62" s="39" t="n">
        <v>1299</v>
      </c>
      <c r="K62" s="40" t="n">
        <v>0.2</v>
      </c>
      <c r="L62" s="39" t="n">
        <f aca="false">VLOOKUP(H62,'Product List'!$A$3:$D$18,4,FALSE())</f>
        <v>1000</v>
      </c>
      <c r="M62" s="39" t="n">
        <f aca="false">I62*J62*(1-K62)</f>
        <v>2078.4</v>
      </c>
      <c r="N62" s="39" t="n">
        <f aca="false">I62*L62</f>
        <v>2000</v>
      </c>
      <c r="O62" s="39" t="n">
        <f aca="false">M62-N62</f>
        <v>78.4000000000001</v>
      </c>
      <c r="P62" s="41" t="n">
        <f aca="false">IF(M62=0,0,O62/M62)</f>
        <v>0.0377213240954581</v>
      </c>
      <c r="Q62" s="37" t="str">
        <f aca="false">IF(K62=0,"No discount",IF(K62&lt;=0.1,"1-10%",IF(K62&lt;=0.2,"11-20%",IF(K62&lt;=0.3,"21-30%","Above 30%"))))</f>
        <v>11-20%</v>
      </c>
      <c r="R62" s="39" t="n">
        <f aca="false">I62*J62*MAX(0,K62-DiscountCap)</f>
        <v>0</v>
      </c>
    </row>
    <row r="63" customFormat="false" ht="15" hidden="false" customHeight="false" outlineLevel="0" collapsed="false">
      <c r="A63" s="37" t="s">
        <v>207</v>
      </c>
      <c r="B63" s="38" t="n">
        <v>45662</v>
      </c>
      <c r="C63" s="37" t="n">
        <f aca="false">MONTH(B63)</f>
        <v>1</v>
      </c>
      <c r="D63" s="37" t="s">
        <v>146</v>
      </c>
      <c r="E63" s="37" t="s">
        <v>45</v>
      </c>
      <c r="F63" s="37" t="s">
        <v>97</v>
      </c>
      <c r="G63" s="37" t="s">
        <v>93</v>
      </c>
      <c r="H63" s="37" t="s">
        <v>121</v>
      </c>
      <c r="I63" s="37" t="n">
        <v>1</v>
      </c>
      <c r="J63" s="39" t="n">
        <v>999</v>
      </c>
      <c r="K63" s="40" t="n">
        <v>0.15</v>
      </c>
      <c r="L63" s="39" t="n">
        <f aca="false">VLOOKUP(H63,'Product List'!$A$3:$D$18,4,FALSE())</f>
        <v>500</v>
      </c>
      <c r="M63" s="39" t="n">
        <f aca="false">I63*J63*(1-K63)</f>
        <v>849.15</v>
      </c>
      <c r="N63" s="39" t="n">
        <f aca="false">I63*L63</f>
        <v>500</v>
      </c>
      <c r="O63" s="39" t="n">
        <f aca="false">M63-N63</f>
        <v>349.15</v>
      </c>
      <c r="P63" s="41" t="n">
        <f aca="false">IF(M63=0,0,O63/M63)</f>
        <v>0.411175881764117</v>
      </c>
      <c r="Q63" s="37" t="str">
        <f aca="false">IF(K63=0,"No discount",IF(K63&lt;=0.1,"1-10%",IF(K63&lt;=0.2,"11-20%",IF(K63&lt;=0.3,"21-30%","Above 30%"))))</f>
        <v>11-20%</v>
      </c>
      <c r="R63" s="39" t="n">
        <f aca="false">I63*J63*MAX(0,K63-DiscountCap)</f>
        <v>0</v>
      </c>
    </row>
    <row r="64" customFormat="false" ht="15" hidden="false" customHeight="false" outlineLevel="0" collapsed="false">
      <c r="A64" s="37" t="s">
        <v>208</v>
      </c>
      <c r="B64" s="38" t="n">
        <v>45672</v>
      </c>
      <c r="C64" s="37" t="n">
        <f aca="false">MONTH(B64)</f>
        <v>1</v>
      </c>
      <c r="D64" s="37" t="s">
        <v>166</v>
      </c>
      <c r="E64" s="37" t="s">
        <v>44</v>
      </c>
      <c r="F64" s="37" t="s">
        <v>97</v>
      </c>
      <c r="G64" s="37" t="s">
        <v>90</v>
      </c>
      <c r="H64" s="37" t="s">
        <v>109</v>
      </c>
      <c r="I64" s="37" t="n">
        <v>3</v>
      </c>
      <c r="J64" s="39" t="n">
        <v>3499</v>
      </c>
      <c r="K64" s="40" t="n">
        <v>0.1</v>
      </c>
      <c r="L64" s="39" t="n">
        <f aca="false">VLOOKUP(H64,'Product List'!$A$3:$D$18,4,FALSE())</f>
        <v>2750</v>
      </c>
      <c r="M64" s="39" t="n">
        <f aca="false">I64*J64*(1-K64)</f>
        <v>9447.3</v>
      </c>
      <c r="N64" s="39" t="n">
        <f aca="false">I64*L64</f>
        <v>8250</v>
      </c>
      <c r="O64" s="39" t="n">
        <f aca="false">M64-N64</f>
        <v>1197.3</v>
      </c>
      <c r="P64" s="41" t="n">
        <f aca="false">IF(M64=0,0,O64/M64)</f>
        <v>0.126734622590582</v>
      </c>
      <c r="Q64" s="37" t="str">
        <f aca="false">IF(K64=0,"No discount",IF(K64&lt;=0.1,"1-10%",IF(K64&lt;=0.2,"11-20%",IF(K64&lt;=0.3,"21-30%","Above 30%"))))</f>
        <v>1-10%</v>
      </c>
      <c r="R64" s="39" t="n">
        <f aca="false">I64*J64*MAX(0,K64-DiscountCap)</f>
        <v>0</v>
      </c>
    </row>
    <row r="65" customFormat="false" ht="15" hidden="false" customHeight="false" outlineLevel="0" collapsed="false">
      <c r="A65" s="37" t="s">
        <v>209</v>
      </c>
      <c r="B65" s="38" t="n">
        <v>45683</v>
      </c>
      <c r="C65" s="37" t="n">
        <f aca="false">MONTH(B65)</f>
        <v>1</v>
      </c>
      <c r="D65" s="37" t="s">
        <v>169</v>
      </c>
      <c r="E65" s="37" t="s">
        <v>44</v>
      </c>
      <c r="F65" s="37" t="s">
        <v>97</v>
      </c>
      <c r="G65" s="37" t="s">
        <v>90</v>
      </c>
      <c r="H65" s="37" t="s">
        <v>109</v>
      </c>
      <c r="I65" s="37" t="n">
        <v>1</v>
      </c>
      <c r="J65" s="39" t="n">
        <v>3499</v>
      </c>
      <c r="K65" s="40" t="n">
        <v>0.15</v>
      </c>
      <c r="L65" s="39" t="n">
        <f aca="false">VLOOKUP(H65,'Product List'!$A$3:$D$18,4,FALSE())</f>
        <v>2750</v>
      </c>
      <c r="M65" s="39" t="n">
        <f aca="false">I65*J65*(1-K65)</f>
        <v>2974.15</v>
      </c>
      <c r="N65" s="39" t="n">
        <f aca="false">I65*L65</f>
        <v>2750</v>
      </c>
      <c r="O65" s="39" t="n">
        <f aca="false">M65-N65</f>
        <v>224.15</v>
      </c>
      <c r="P65" s="41" t="n">
        <f aca="false">IF(M65=0,0,O65/M65)</f>
        <v>0.0753660709782627</v>
      </c>
      <c r="Q65" s="37" t="str">
        <f aca="false">IF(K65=0,"No discount",IF(K65&lt;=0.1,"1-10%",IF(K65&lt;=0.2,"11-20%",IF(K65&lt;=0.3,"21-30%","Above 30%"))))</f>
        <v>11-20%</v>
      </c>
      <c r="R65" s="39" t="n">
        <f aca="false">I65*J65*MAX(0,K65-DiscountCap)</f>
        <v>0</v>
      </c>
    </row>
    <row r="66" customFormat="false" ht="15" hidden="false" customHeight="false" outlineLevel="0" collapsed="false">
      <c r="A66" s="37" t="s">
        <v>210</v>
      </c>
      <c r="B66" s="38" t="n">
        <v>45686</v>
      </c>
      <c r="C66" s="37" t="n">
        <f aca="false">MONTH(B66)</f>
        <v>1</v>
      </c>
      <c r="D66" s="37" t="s">
        <v>144</v>
      </c>
      <c r="E66" s="37" t="s">
        <v>45</v>
      </c>
      <c r="F66" s="37" t="s">
        <v>97</v>
      </c>
      <c r="G66" s="37" t="s">
        <v>90</v>
      </c>
      <c r="H66" s="37" t="s">
        <v>108</v>
      </c>
      <c r="I66" s="37" t="n">
        <v>3</v>
      </c>
      <c r="J66" s="39" t="n">
        <v>1999</v>
      </c>
      <c r="K66" s="40" t="n">
        <v>0.2</v>
      </c>
      <c r="L66" s="39" t="n">
        <f aca="false">VLOOKUP(H66,'Product List'!$A$3:$D$18,4,FALSE())</f>
        <v>1560</v>
      </c>
      <c r="M66" s="39" t="n">
        <f aca="false">I66*J66*(1-K66)</f>
        <v>4797.6</v>
      </c>
      <c r="N66" s="39" t="n">
        <f aca="false">I66*L66</f>
        <v>4680</v>
      </c>
      <c r="O66" s="39" t="n">
        <f aca="false">M66-N66</f>
        <v>117.6</v>
      </c>
      <c r="P66" s="41" t="n">
        <f aca="false">IF(M66=0,0,O66/M66)</f>
        <v>0.0245122561280641</v>
      </c>
      <c r="Q66" s="37" t="str">
        <f aca="false">IF(K66=0,"No discount",IF(K66&lt;=0.1,"1-10%",IF(K66&lt;=0.2,"11-20%",IF(K66&lt;=0.3,"21-30%","Above 30%"))))</f>
        <v>11-20%</v>
      </c>
      <c r="R66" s="39" t="n">
        <f aca="false">I66*J66*MAX(0,K66-DiscountCap)</f>
        <v>0</v>
      </c>
    </row>
    <row r="67" customFormat="false" ht="15" hidden="false" customHeight="false" outlineLevel="0" collapsed="false">
      <c r="A67" s="37" t="s">
        <v>211</v>
      </c>
      <c r="B67" s="38" t="n">
        <v>45687</v>
      </c>
      <c r="C67" s="37" t="n">
        <f aca="false">MONTH(B67)</f>
        <v>1</v>
      </c>
      <c r="D67" s="37" t="s">
        <v>144</v>
      </c>
      <c r="E67" s="37" t="s">
        <v>45</v>
      </c>
      <c r="F67" s="37" t="s">
        <v>97</v>
      </c>
      <c r="G67" s="37" t="s">
        <v>90</v>
      </c>
      <c r="H67" s="37" t="s">
        <v>109</v>
      </c>
      <c r="I67" s="37" t="n">
        <v>3</v>
      </c>
      <c r="J67" s="39" t="n">
        <v>3499</v>
      </c>
      <c r="K67" s="40" t="n">
        <v>0.1</v>
      </c>
      <c r="L67" s="39" t="n">
        <f aca="false">VLOOKUP(H67,'Product List'!$A$3:$D$18,4,FALSE())</f>
        <v>2750</v>
      </c>
      <c r="M67" s="39" t="n">
        <f aca="false">I67*J67*(1-K67)</f>
        <v>9447.3</v>
      </c>
      <c r="N67" s="39" t="n">
        <f aca="false">I67*L67</f>
        <v>8250</v>
      </c>
      <c r="O67" s="39" t="n">
        <f aca="false">M67-N67</f>
        <v>1197.3</v>
      </c>
      <c r="P67" s="41" t="n">
        <f aca="false">IF(M67=0,0,O67/M67)</f>
        <v>0.126734622590582</v>
      </c>
      <c r="Q67" s="37" t="str">
        <f aca="false">IF(K67=0,"No discount",IF(K67&lt;=0.1,"1-10%",IF(K67&lt;=0.2,"11-20%",IF(K67&lt;=0.3,"21-30%","Above 30%"))))</f>
        <v>1-10%</v>
      </c>
      <c r="R67" s="39" t="n">
        <f aca="false">I67*J67*MAX(0,K67-DiscountCap)</f>
        <v>0</v>
      </c>
    </row>
    <row r="68" customFormat="false" ht="15" hidden="false" customHeight="false" outlineLevel="0" collapsed="false">
      <c r="A68" s="37" t="s">
        <v>212</v>
      </c>
      <c r="B68" s="38" t="n">
        <v>45666</v>
      </c>
      <c r="C68" s="37" t="n">
        <f aca="false">MONTH(B68)</f>
        <v>1</v>
      </c>
      <c r="D68" s="37" t="s">
        <v>140</v>
      </c>
      <c r="E68" s="37" t="s">
        <v>44</v>
      </c>
      <c r="F68" s="37" t="s">
        <v>96</v>
      </c>
      <c r="G68" s="37" t="s">
        <v>91</v>
      </c>
      <c r="H68" s="37" t="s">
        <v>117</v>
      </c>
      <c r="I68" s="37" t="n">
        <v>1</v>
      </c>
      <c r="J68" s="39" t="n">
        <v>1499</v>
      </c>
      <c r="K68" s="40" t="n">
        <v>0</v>
      </c>
      <c r="L68" s="39" t="n">
        <f aca="false">VLOOKUP(H68,'Product List'!$A$3:$D$18,4,FALSE())</f>
        <v>780</v>
      </c>
      <c r="M68" s="39" t="n">
        <f aca="false">I68*J68*(1-K68)</f>
        <v>1499</v>
      </c>
      <c r="N68" s="39" t="n">
        <f aca="false">I68*L68</f>
        <v>780</v>
      </c>
      <c r="O68" s="39" t="n">
        <f aca="false">M68-N68</f>
        <v>719</v>
      </c>
      <c r="P68" s="41" t="n">
        <f aca="false">IF(M68=0,0,O68/M68)</f>
        <v>0.479653102068045</v>
      </c>
      <c r="Q68" s="37" t="str">
        <f aca="false">IF(K68=0,"No discount",IF(K68&lt;=0.1,"1-10%",IF(K68&lt;=0.2,"11-20%",IF(K68&lt;=0.3,"21-30%","Above 30%"))))</f>
        <v>No discount</v>
      </c>
      <c r="R68" s="39" t="n">
        <f aca="false">I68*J68*MAX(0,K68-DiscountCap)</f>
        <v>0</v>
      </c>
    </row>
    <row r="69" customFormat="false" ht="15" hidden="false" customHeight="false" outlineLevel="0" collapsed="false">
      <c r="A69" s="37" t="s">
        <v>213</v>
      </c>
      <c r="B69" s="38" t="n">
        <v>45688</v>
      </c>
      <c r="C69" s="37" t="n">
        <f aca="false">MONTH(B69)</f>
        <v>1</v>
      </c>
      <c r="D69" s="37" t="s">
        <v>134</v>
      </c>
      <c r="E69" s="37" t="s">
        <v>45</v>
      </c>
      <c r="F69" s="37" t="s">
        <v>97</v>
      </c>
      <c r="G69" s="37" t="s">
        <v>92</v>
      </c>
      <c r="H69" s="37" t="s">
        <v>113</v>
      </c>
      <c r="I69" s="37" t="n">
        <v>3</v>
      </c>
      <c r="J69" s="39" t="n">
        <v>2199</v>
      </c>
      <c r="K69" s="40" t="n">
        <v>0.1</v>
      </c>
      <c r="L69" s="39" t="n">
        <f aca="false">VLOOKUP(H69,'Product List'!$A$3:$D$18,4,FALSE())</f>
        <v>1400</v>
      </c>
      <c r="M69" s="39" t="n">
        <f aca="false">I69*J69*(1-K69)</f>
        <v>5937.3</v>
      </c>
      <c r="N69" s="39" t="n">
        <f aca="false">I69*L69</f>
        <v>4200</v>
      </c>
      <c r="O69" s="39" t="n">
        <f aca="false">M69-N69</f>
        <v>1737.3</v>
      </c>
      <c r="P69" s="41" t="n">
        <f aca="false">IF(M69=0,0,O69/M69)</f>
        <v>0.292607750997928</v>
      </c>
      <c r="Q69" s="37" t="str">
        <f aca="false">IF(K69=0,"No discount",IF(K69&lt;=0.1,"1-10%",IF(K69&lt;=0.2,"11-20%",IF(K69&lt;=0.3,"21-30%","Above 30%"))))</f>
        <v>1-10%</v>
      </c>
      <c r="R69" s="39" t="n">
        <f aca="false">I69*J69*MAX(0,K69-DiscountCap)</f>
        <v>0</v>
      </c>
    </row>
    <row r="70" customFormat="false" ht="15" hidden="false" customHeight="false" outlineLevel="0" collapsed="false">
      <c r="A70" s="37" t="s">
        <v>214</v>
      </c>
      <c r="B70" s="38" t="n">
        <v>45674</v>
      </c>
      <c r="C70" s="37" t="n">
        <f aca="false">MONTH(B70)</f>
        <v>1</v>
      </c>
      <c r="D70" s="37" t="s">
        <v>160</v>
      </c>
      <c r="E70" s="37" t="s">
        <v>46</v>
      </c>
      <c r="F70" s="37" t="s">
        <v>96</v>
      </c>
      <c r="G70" s="37" t="s">
        <v>91</v>
      </c>
      <c r="H70" s="37" t="s">
        <v>116</v>
      </c>
      <c r="I70" s="37" t="n">
        <v>1</v>
      </c>
      <c r="J70" s="39" t="n">
        <v>899</v>
      </c>
      <c r="K70" s="40" t="n">
        <v>0.2</v>
      </c>
      <c r="L70" s="39" t="n">
        <f aca="false">VLOOKUP(H70,'Product List'!$A$3:$D$18,4,FALSE())</f>
        <v>430</v>
      </c>
      <c r="M70" s="39" t="n">
        <f aca="false">I70*J70*(1-K70)</f>
        <v>719.2</v>
      </c>
      <c r="N70" s="39" t="n">
        <f aca="false">I70*L70</f>
        <v>430</v>
      </c>
      <c r="O70" s="39" t="n">
        <f aca="false">M70-N70</f>
        <v>289.2</v>
      </c>
      <c r="P70" s="41" t="n">
        <f aca="false">IF(M70=0,0,O70/M70)</f>
        <v>0.402113459399333</v>
      </c>
      <c r="Q70" s="37" t="str">
        <f aca="false">IF(K70=0,"No discount",IF(K70&lt;=0.1,"1-10%",IF(K70&lt;=0.2,"11-20%",IF(K70&lt;=0.3,"21-30%","Above 30%"))))</f>
        <v>11-20%</v>
      </c>
      <c r="R70" s="39" t="n">
        <f aca="false">I70*J70*MAX(0,K70-DiscountCap)</f>
        <v>0</v>
      </c>
    </row>
    <row r="71" customFormat="false" ht="15" hidden="false" customHeight="false" outlineLevel="0" collapsed="false">
      <c r="A71" s="37" t="s">
        <v>215</v>
      </c>
      <c r="B71" s="38" t="n">
        <v>45675</v>
      </c>
      <c r="C71" s="37" t="n">
        <f aca="false">MONTH(B71)</f>
        <v>1</v>
      </c>
      <c r="D71" s="37" t="s">
        <v>144</v>
      </c>
      <c r="E71" s="37" t="s">
        <v>45</v>
      </c>
      <c r="F71" s="37" t="s">
        <v>96</v>
      </c>
      <c r="G71" s="37" t="s">
        <v>91</v>
      </c>
      <c r="H71" s="37" t="s">
        <v>119</v>
      </c>
      <c r="I71" s="37" t="n">
        <v>1</v>
      </c>
      <c r="J71" s="39" t="n">
        <v>1099</v>
      </c>
      <c r="K71" s="40" t="n">
        <v>0.15</v>
      </c>
      <c r="L71" s="39" t="n">
        <f aca="false">VLOOKUP(H71,'Product List'!$A$3:$D$18,4,FALSE())</f>
        <v>560</v>
      </c>
      <c r="M71" s="39" t="n">
        <f aca="false">I71*J71*(1-K71)</f>
        <v>934.15</v>
      </c>
      <c r="N71" s="39" t="n">
        <f aca="false">I71*L71</f>
        <v>560</v>
      </c>
      <c r="O71" s="39" t="n">
        <f aca="false">M71-N71</f>
        <v>374.15</v>
      </c>
      <c r="P71" s="41" t="n">
        <f aca="false">IF(M71=0,0,O71/M71)</f>
        <v>0.400524541026602</v>
      </c>
      <c r="Q71" s="37" t="str">
        <f aca="false">IF(K71=0,"No discount",IF(K71&lt;=0.1,"1-10%",IF(K71&lt;=0.2,"11-20%",IF(K71&lt;=0.3,"21-30%","Above 30%"))))</f>
        <v>11-20%</v>
      </c>
      <c r="R71" s="39" t="n">
        <f aca="false">I71*J71*MAX(0,K71-DiscountCap)</f>
        <v>0</v>
      </c>
    </row>
    <row r="72" customFormat="false" ht="15" hidden="false" customHeight="false" outlineLevel="0" collapsed="false">
      <c r="A72" s="37" t="s">
        <v>216</v>
      </c>
      <c r="B72" s="38" t="n">
        <v>45691</v>
      </c>
      <c r="C72" s="37" t="n">
        <f aca="false">MONTH(B72)</f>
        <v>2</v>
      </c>
      <c r="D72" s="37" t="s">
        <v>169</v>
      </c>
      <c r="E72" s="37" t="s">
        <v>44</v>
      </c>
      <c r="F72" s="37" t="s">
        <v>97</v>
      </c>
      <c r="G72" s="37" t="s">
        <v>93</v>
      </c>
      <c r="H72" s="37" t="s">
        <v>120</v>
      </c>
      <c r="I72" s="37" t="n">
        <v>2</v>
      </c>
      <c r="J72" s="39" t="n">
        <v>449</v>
      </c>
      <c r="K72" s="40" t="n">
        <v>0.15</v>
      </c>
      <c r="L72" s="39" t="n">
        <f aca="false">VLOOKUP(H72,'Product List'!$A$3:$D$18,4,FALSE())</f>
        <v>240</v>
      </c>
      <c r="M72" s="39" t="n">
        <f aca="false">I72*J72*(1-K72)</f>
        <v>763.3</v>
      </c>
      <c r="N72" s="39" t="n">
        <f aca="false">I72*L72</f>
        <v>480</v>
      </c>
      <c r="O72" s="39" t="n">
        <f aca="false">M72-N72</f>
        <v>283.3</v>
      </c>
      <c r="P72" s="41" t="n">
        <f aca="false">IF(M72=0,0,O72/M72)</f>
        <v>0.371151578671558</v>
      </c>
      <c r="Q72" s="37" t="str">
        <f aca="false">IF(K72=0,"No discount",IF(K72&lt;=0.1,"1-10%",IF(K72&lt;=0.2,"11-20%",IF(K72&lt;=0.3,"21-30%","Above 30%"))))</f>
        <v>11-20%</v>
      </c>
      <c r="R72" s="39" t="n">
        <f aca="false">I72*J72*MAX(0,K72-DiscountCap)</f>
        <v>0</v>
      </c>
    </row>
    <row r="73" customFormat="false" ht="15" hidden="false" customHeight="false" outlineLevel="0" collapsed="false">
      <c r="A73" s="37" t="s">
        <v>217</v>
      </c>
      <c r="B73" s="38" t="n">
        <v>45695</v>
      </c>
      <c r="C73" s="37" t="n">
        <f aca="false">MONTH(B73)</f>
        <v>2</v>
      </c>
      <c r="D73" s="37" t="s">
        <v>146</v>
      </c>
      <c r="E73" s="37" t="s">
        <v>45</v>
      </c>
      <c r="F73" s="37" t="s">
        <v>97</v>
      </c>
      <c r="G73" s="37" t="s">
        <v>91</v>
      </c>
      <c r="H73" s="37" t="s">
        <v>116</v>
      </c>
      <c r="I73" s="37" t="n">
        <v>2</v>
      </c>
      <c r="J73" s="39" t="n">
        <v>899</v>
      </c>
      <c r="K73" s="40" t="n">
        <v>0.05</v>
      </c>
      <c r="L73" s="39" t="n">
        <f aca="false">VLOOKUP(H73,'Product List'!$A$3:$D$18,4,FALSE())</f>
        <v>430</v>
      </c>
      <c r="M73" s="39" t="n">
        <f aca="false">I73*J73*(1-K73)</f>
        <v>1708.1</v>
      </c>
      <c r="N73" s="39" t="n">
        <f aca="false">I73*L73</f>
        <v>860</v>
      </c>
      <c r="O73" s="39" t="n">
        <f aca="false">M73-N73</f>
        <v>848.1</v>
      </c>
      <c r="P73" s="41" t="n">
        <f aca="false">IF(M73=0,0,O73/M73)</f>
        <v>0.496516597388912</v>
      </c>
      <c r="Q73" s="37" t="str">
        <f aca="false">IF(K73=0,"No discount",IF(K73&lt;=0.1,"1-10%",IF(K73&lt;=0.2,"11-20%",IF(K73&lt;=0.3,"21-30%","Above 30%"))))</f>
        <v>1-10%</v>
      </c>
      <c r="R73" s="39" t="n">
        <f aca="false">I73*J73*MAX(0,K73-DiscountCap)</f>
        <v>0</v>
      </c>
    </row>
    <row r="74" customFormat="false" ht="15" hidden="false" customHeight="false" outlineLevel="0" collapsed="false">
      <c r="A74" s="37" t="s">
        <v>218</v>
      </c>
      <c r="B74" s="38" t="n">
        <v>45696</v>
      </c>
      <c r="C74" s="37" t="n">
        <f aca="false">MONTH(B74)</f>
        <v>2</v>
      </c>
      <c r="D74" s="37" t="s">
        <v>166</v>
      </c>
      <c r="E74" s="37" t="s">
        <v>44</v>
      </c>
      <c r="F74" s="37" t="s">
        <v>96</v>
      </c>
      <c r="G74" s="37" t="s">
        <v>93</v>
      </c>
      <c r="H74" s="37" t="s">
        <v>121</v>
      </c>
      <c r="I74" s="37" t="n">
        <v>1</v>
      </c>
      <c r="J74" s="39" t="n">
        <v>999</v>
      </c>
      <c r="K74" s="40" t="n">
        <v>0.05</v>
      </c>
      <c r="L74" s="39" t="n">
        <f aca="false">VLOOKUP(H74,'Product List'!$A$3:$D$18,4,FALSE())</f>
        <v>500</v>
      </c>
      <c r="M74" s="39" t="n">
        <f aca="false">I74*J74*(1-K74)</f>
        <v>949.05</v>
      </c>
      <c r="N74" s="39" t="n">
        <f aca="false">I74*L74</f>
        <v>500</v>
      </c>
      <c r="O74" s="39" t="n">
        <f aca="false">M74-N74</f>
        <v>449.05</v>
      </c>
      <c r="P74" s="41" t="n">
        <f aca="false">IF(M74=0,0,O74/M74)</f>
        <v>0.47315736789421</v>
      </c>
      <c r="Q74" s="37" t="str">
        <f aca="false">IF(K74=0,"No discount",IF(K74&lt;=0.1,"1-10%",IF(K74&lt;=0.2,"11-20%",IF(K74&lt;=0.3,"21-30%","Above 30%"))))</f>
        <v>1-10%</v>
      </c>
      <c r="R74" s="39" t="n">
        <f aca="false">I74*J74*MAX(0,K74-DiscountCap)</f>
        <v>0</v>
      </c>
    </row>
    <row r="75" customFormat="false" ht="15" hidden="false" customHeight="false" outlineLevel="0" collapsed="false">
      <c r="A75" s="37" t="s">
        <v>219</v>
      </c>
      <c r="B75" s="38" t="n">
        <v>45700</v>
      </c>
      <c r="C75" s="37" t="n">
        <f aca="false">MONTH(B75)</f>
        <v>2</v>
      </c>
      <c r="D75" s="37" t="s">
        <v>166</v>
      </c>
      <c r="E75" s="37" t="s">
        <v>44</v>
      </c>
      <c r="F75" s="37" t="s">
        <v>96</v>
      </c>
      <c r="G75" s="37" t="s">
        <v>90</v>
      </c>
      <c r="H75" s="37" t="s">
        <v>108</v>
      </c>
      <c r="I75" s="37" t="n">
        <v>2</v>
      </c>
      <c r="J75" s="39" t="n">
        <v>1999</v>
      </c>
      <c r="K75" s="40" t="n">
        <v>0.1</v>
      </c>
      <c r="L75" s="39" t="n">
        <f aca="false">VLOOKUP(H75,'Product List'!$A$3:$D$18,4,FALSE())</f>
        <v>1560</v>
      </c>
      <c r="M75" s="39" t="n">
        <f aca="false">I75*J75*(1-K75)</f>
        <v>3598.2</v>
      </c>
      <c r="N75" s="39" t="n">
        <f aca="false">I75*L75</f>
        <v>3120</v>
      </c>
      <c r="O75" s="39" t="n">
        <f aca="false">M75-N75</f>
        <v>478.2</v>
      </c>
      <c r="P75" s="41" t="n">
        <f aca="false">IF(M75=0,0,O75/M75)</f>
        <v>0.132899783224946</v>
      </c>
      <c r="Q75" s="37" t="str">
        <f aca="false">IF(K75=0,"No discount",IF(K75&lt;=0.1,"1-10%",IF(K75&lt;=0.2,"11-20%",IF(K75&lt;=0.3,"21-30%","Above 30%"))))</f>
        <v>1-10%</v>
      </c>
      <c r="R75" s="39" t="n">
        <f aca="false">I75*J75*MAX(0,K75-DiscountCap)</f>
        <v>0</v>
      </c>
    </row>
    <row r="76" customFormat="false" ht="15" hidden="false" customHeight="false" outlineLevel="0" collapsed="false">
      <c r="A76" s="37" t="s">
        <v>220</v>
      </c>
      <c r="B76" s="38" t="n">
        <v>45707</v>
      </c>
      <c r="C76" s="37" t="n">
        <f aca="false">MONTH(B76)</f>
        <v>2</v>
      </c>
      <c r="D76" s="37" t="s">
        <v>142</v>
      </c>
      <c r="E76" s="37" t="s">
        <v>47</v>
      </c>
      <c r="F76" s="37" t="s">
        <v>96</v>
      </c>
      <c r="G76" s="37" t="s">
        <v>91</v>
      </c>
      <c r="H76" s="37" t="s">
        <v>119</v>
      </c>
      <c r="I76" s="37" t="n">
        <v>1</v>
      </c>
      <c r="J76" s="39" t="n">
        <v>1099</v>
      </c>
      <c r="K76" s="40" t="n">
        <v>0.1</v>
      </c>
      <c r="L76" s="39" t="n">
        <f aca="false">VLOOKUP(H76,'Product List'!$A$3:$D$18,4,FALSE())</f>
        <v>560</v>
      </c>
      <c r="M76" s="39" t="n">
        <f aca="false">I76*J76*(1-K76)</f>
        <v>989.1</v>
      </c>
      <c r="N76" s="39" t="n">
        <f aca="false">I76*L76</f>
        <v>560</v>
      </c>
      <c r="O76" s="39" t="n">
        <f aca="false">M76-N76</f>
        <v>429.1</v>
      </c>
      <c r="P76" s="41" t="n">
        <f aca="false">IF(M76=0,0,O76/M76)</f>
        <v>0.433828733191791</v>
      </c>
      <c r="Q76" s="37" t="str">
        <f aca="false">IF(K76=0,"No discount",IF(K76&lt;=0.1,"1-10%",IF(K76&lt;=0.2,"11-20%",IF(K76&lt;=0.3,"21-30%","Above 30%"))))</f>
        <v>1-10%</v>
      </c>
      <c r="R76" s="39" t="n">
        <f aca="false">I76*J76*MAX(0,K76-DiscountCap)</f>
        <v>0</v>
      </c>
    </row>
    <row r="77" customFormat="false" ht="15" hidden="false" customHeight="false" outlineLevel="0" collapsed="false">
      <c r="A77" s="37" t="s">
        <v>221</v>
      </c>
      <c r="B77" s="38" t="n">
        <v>45714</v>
      </c>
      <c r="C77" s="37" t="n">
        <f aca="false">MONTH(B77)</f>
        <v>2</v>
      </c>
      <c r="D77" s="37" t="s">
        <v>134</v>
      </c>
      <c r="E77" s="37" t="s">
        <v>45</v>
      </c>
      <c r="F77" s="37" t="s">
        <v>96</v>
      </c>
      <c r="G77" s="37" t="s">
        <v>92</v>
      </c>
      <c r="H77" s="37" t="s">
        <v>114</v>
      </c>
      <c r="I77" s="37" t="n">
        <v>2</v>
      </c>
      <c r="J77" s="39" t="n">
        <v>1199</v>
      </c>
      <c r="K77" s="40" t="n">
        <v>0.1</v>
      </c>
      <c r="L77" s="39" t="n">
        <f aca="false">VLOOKUP(H77,'Product List'!$A$3:$D$18,4,FALSE())</f>
        <v>780</v>
      </c>
      <c r="M77" s="39" t="n">
        <f aca="false">I77*J77*(1-K77)</f>
        <v>2158.2</v>
      </c>
      <c r="N77" s="39" t="n">
        <f aca="false">I77*L77</f>
        <v>1560</v>
      </c>
      <c r="O77" s="39" t="n">
        <f aca="false">M77-N77</f>
        <v>598.2</v>
      </c>
      <c r="P77" s="41" t="n">
        <f aca="false">IF(M77=0,0,O77/M77)</f>
        <v>0.277175423964415</v>
      </c>
      <c r="Q77" s="37" t="str">
        <f aca="false">IF(K77=0,"No discount",IF(K77&lt;=0.1,"1-10%",IF(K77&lt;=0.2,"11-20%",IF(K77&lt;=0.3,"21-30%","Above 30%"))))</f>
        <v>1-10%</v>
      </c>
      <c r="R77" s="39" t="n">
        <f aca="false">I77*J77*MAX(0,K77-DiscountCap)</f>
        <v>0</v>
      </c>
    </row>
    <row r="78" customFormat="false" ht="15" hidden="false" customHeight="false" outlineLevel="0" collapsed="false">
      <c r="A78" s="37" t="s">
        <v>222</v>
      </c>
      <c r="B78" s="38" t="n">
        <v>45708</v>
      </c>
      <c r="C78" s="37" t="n">
        <f aca="false">MONTH(B78)</f>
        <v>2</v>
      </c>
      <c r="D78" s="37" t="s">
        <v>136</v>
      </c>
      <c r="E78" s="37" t="s">
        <v>47</v>
      </c>
      <c r="F78" s="37" t="s">
        <v>96</v>
      </c>
      <c r="G78" s="37" t="s">
        <v>93</v>
      </c>
      <c r="H78" s="37" t="s">
        <v>120</v>
      </c>
      <c r="I78" s="37" t="n">
        <v>1</v>
      </c>
      <c r="J78" s="39" t="n">
        <v>449</v>
      </c>
      <c r="K78" s="40" t="n">
        <v>0.1</v>
      </c>
      <c r="L78" s="39" t="n">
        <f aca="false">VLOOKUP(H78,'Product List'!$A$3:$D$18,4,FALSE())</f>
        <v>240</v>
      </c>
      <c r="M78" s="39" t="n">
        <f aca="false">I78*J78*(1-K78)</f>
        <v>404.1</v>
      </c>
      <c r="N78" s="39" t="n">
        <f aca="false">I78*L78</f>
        <v>240</v>
      </c>
      <c r="O78" s="39" t="n">
        <f aca="false">M78-N78</f>
        <v>164.1</v>
      </c>
      <c r="P78" s="41" t="n">
        <f aca="false">IF(M78=0,0,O78/M78)</f>
        <v>0.406087602078693</v>
      </c>
      <c r="Q78" s="37" t="str">
        <f aca="false">IF(K78=0,"No discount",IF(K78&lt;=0.1,"1-10%",IF(K78&lt;=0.2,"11-20%",IF(K78&lt;=0.3,"21-30%","Above 30%"))))</f>
        <v>1-10%</v>
      </c>
      <c r="R78" s="39" t="n">
        <f aca="false">I78*J78*MAX(0,K78-DiscountCap)</f>
        <v>0</v>
      </c>
    </row>
    <row r="79" customFormat="false" ht="15" hidden="false" customHeight="false" outlineLevel="0" collapsed="false">
      <c r="A79" s="37" t="s">
        <v>223</v>
      </c>
      <c r="B79" s="38" t="n">
        <v>45713</v>
      </c>
      <c r="C79" s="37" t="n">
        <f aca="false">MONTH(B79)</f>
        <v>2</v>
      </c>
      <c r="D79" s="37" t="s">
        <v>142</v>
      </c>
      <c r="E79" s="37" t="s">
        <v>47</v>
      </c>
      <c r="F79" s="37" t="s">
        <v>96</v>
      </c>
      <c r="G79" s="37" t="s">
        <v>91</v>
      </c>
      <c r="H79" s="37" t="s">
        <v>118</v>
      </c>
      <c r="I79" s="37" t="n">
        <v>2</v>
      </c>
      <c r="J79" s="39" t="n">
        <v>2299</v>
      </c>
      <c r="K79" s="40" t="n">
        <v>0.3</v>
      </c>
      <c r="L79" s="39" t="n">
        <f aca="false">VLOOKUP(H79,'Product List'!$A$3:$D$18,4,FALSE())</f>
        <v>1300</v>
      </c>
      <c r="M79" s="39" t="n">
        <f aca="false">I79*J79*(1-K79)</f>
        <v>3218.6</v>
      </c>
      <c r="N79" s="39" t="n">
        <f aca="false">I79*L79</f>
        <v>2600</v>
      </c>
      <c r="O79" s="39" t="n">
        <f aca="false">M79-N79</f>
        <v>618.6</v>
      </c>
      <c r="P79" s="41" t="n">
        <f aca="false">IF(M79=0,0,O79/M79)</f>
        <v>0.192195364444168</v>
      </c>
      <c r="Q79" s="37" t="str">
        <f aca="false">IF(K79=0,"No discount",IF(K79&lt;=0.1,"1-10%",IF(K79&lt;=0.2,"11-20%",IF(K79&lt;=0.3,"21-30%","Above 30%"))))</f>
        <v>21-30%</v>
      </c>
      <c r="R79" s="39" t="n">
        <f aca="false">I79*J79*MAX(0,K79-DiscountCap)</f>
        <v>459.8</v>
      </c>
    </row>
    <row r="80" customFormat="false" ht="15" hidden="false" customHeight="false" outlineLevel="0" collapsed="false">
      <c r="A80" s="37" t="s">
        <v>224</v>
      </c>
      <c r="B80" s="38" t="n">
        <v>45703</v>
      </c>
      <c r="C80" s="37" t="n">
        <f aca="false">MONTH(B80)</f>
        <v>2</v>
      </c>
      <c r="D80" s="37" t="s">
        <v>146</v>
      </c>
      <c r="E80" s="37" t="s">
        <v>45</v>
      </c>
      <c r="F80" s="37" t="s">
        <v>96</v>
      </c>
      <c r="G80" s="37" t="s">
        <v>92</v>
      </c>
      <c r="H80" s="37" t="s">
        <v>113</v>
      </c>
      <c r="I80" s="37" t="n">
        <v>1</v>
      </c>
      <c r="J80" s="39" t="n">
        <v>2199</v>
      </c>
      <c r="K80" s="40" t="n">
        <v>0.2</v>
      </c>
      <c r="L80" s="39" t="n">
        <f aca="false">VLOOKUP(H80,'Product List'!$A$3:$D$18,4,FALSE())</f>
        <v>1400</v>
      </c>
      <c r="M80" s="39" t="n">
        <f aca="false">I80*J80*(1-K80)</f>
        <v>1759.2</v>
      </c>
      <c r="N80" s="39" t="n">
        <f aca="false">I80*L80</f>
        <v>1400</v>
      </c>
      <c r="O80" s="39" t="n">
        <f aca="false">M80-N80</f>
        <v>359.2</v>
      </c>
      <c r="P80" s="41" t="n">
        <f aca="false">IF(M80=0,0,O80/M80)</f>
        <v>0.204183719872669</v>
      </c>
      <c r="Q80" s="37" t="str">
        <f aca="false">IF(K80=0,"No discount",IF(K80&lt;=0.1,"1-10%",IF(K80&lt;=0.2,"11-20%",IF(K80&lt;=0.3,"21-30%","Above 30%"))))</f>
        <v>11-20%</v>
      </c>
      <c r="R80" s="39" t="n">
        <f aca="false">I80*J80*MAX(0,K80-DiscountCap)</f>
        <v>0</v>
      </c>
    </row>
    <row r="81" customFormat="false" ht="15" hidden="false" customHeight="false" outlineLevel="0" collapsed="false">
      <c r="A81" s="37" t="s">
        <v>225</v>
      </c>
      <c r="B81" s="38" t="n">
        <v>45707</v>
      </c>
      <c r="C81" s="37" t="n">
        <f aca="false">MONTH(B81)</f>
        <v>2</v>
      </c>
      <c r="D81" s="37" t="s">
        <v>138</v>
      </c>
      <c r="E81" s="37" t="s">
        <v>46</v>
      </c>
      <c r="F81" s="37" t="s">
        <v>96</v>
      </c>
      <c r="G81" s="37" t="s">
        <v>90</v>
      </c>
      <c r="H81" s="37" t="s">
        <v>108</v>
      </c>
      <c r="I81" s="37" t="n">
        <v>3</v>
      </c>
      <c r="J81" s="39" t="n">
        <v>1999</v>
      </c>
      <c r="K81" s="40" t="n">
        <v>0.15</v>
      </c>
      <c r="L81" s="39" t="n">
        <f aca="false">VLOOKUP(H81,'Product List'!$A$3:$D$18,4,FALSE())</f>
        <v>1560</v>
      </c>
      <c r="M81" s="39" t="n">
        <f aca="false">I81*J81*(1-K81)</f>
        <v>5097.45</v>
      </c>
      <c r="N81" s="39" t="n">
        <f aca="false">I81*L81</f>
        <v>4680</v>
      </c>
      <c r="O81" s="39" t="n">
        <f aca="false">M81-N81</f>
        <v>417.45</v>
      </c>
      <c r="P81" s="41" t="n">
        <f aca="false">IF(M81=0,0,O81/M81)</f>
        <v>0.0818938881205308</v>
      </c>
      <c r="Q81" s="37" t="str">
        <f aca="false">IF(K81=0,"No discount",IF(K81&lt;=0.1,"1-10%",IF(K81&lt;=0.2,"11-20%",IF(K81&lt;=0.3,"21-30%","Above 30%"))))</f>
        <v>11-20%</v>
      </c>
      <c r="R81" s="39" t="n">
        <f aca="false">I81*J81*MAX(0,K81-DiscountCap)</f>
        <v>0</v>
      </c>
    </row>
    <row r="82" customFormat="false" ht="15" hidden="false" customHeight="false" outlineLevel="0" collapsed="false">
      <c r="A82" s="37" t="s">
        <v>226</v>
      </c>
      <c r="B82" s="38" t="n">
        <v>45711</v>
      </c>
      <c r="C82" s="37" t="n">
        <f aca="false">MONTH(B82)</f>
        <v>2</v>
      </c>
      <c r="D82" s="37" t="s">
        <v>140</v>
      </c>
      <c r="E82" s="37" t="s">
        <v>44</v>
      </c>
      <c r="F82" s="37" t="s">
        <v>97</v>
      </c>
      <c r="G82" s="37" t="s">
        <v>91</v>
      </c>
      <c r="H82" s="37" t="s">
        <v>118</v>
      </c>
      <c r="I82" s="37" t="n">
        <v>5</v>
      </c>
      <c r="J82" s="39" t="n">
        <v>2299</v>
      </c>
      <c r="K82" s="40" t="n">
        <v>0.1</v>
      </c>
      <c r="L82" s="39" t="n">
        <f aca="false">VLOOKUP(H82,'Product List'!$A$3:$D$18,4,FALSE())</f>
        <v>1300</v>
      </c>
      <c r="M82" s="39" t="n">
        <f aca="false">I82*J82*(1-K82)</f>
        <v>10345.5</v>
      </c>
      <c r="N82" s="39" t="n">
        <f aca="false">I82*L82</f>
        <v>6500</v>
      </c>
      <c r="O82" s="39" t="n">
        <f aca="false">M82-N82</f>
        <v>3845.5</v>
      </c>
      <c r="P82" s="41" t="n">
        <f aca="false">IF(M82=0,0,O82/M82)</f>
        <v>0.371707505678798</v>
      </c>
      <c r="Q82" s="37" t="str">
        <f aca="false">IF(K82=0,"No discount",IF(K82&lt;=0.1,"1-10%",IF(K82&lt;=0.2,"11-20%",IF(K82&lt;=0.3,"21-30%","Above 30%"))))</f>
        <v>1-10%</v>
      </c>
      <c r="R82" s="39" t="n">
        <f aca="false">I82*J82*MAX(0,K82-DiscountCap)</f>
        <v>0</v>
      </c>
    </row>
    <row r="83" customFormat="false" ht="15" hidden="false" customHeight="false" outlineLevel="0" collapsed="false">
      <c r="A83" s="37" t="s">
        <v>227</v>
      </c>
      <c r="B83" s="38" t="n">
        <v>45714</v>
      </c>
      <c r="C83" s="37" t="n">
        <f aca="false">MONTH(B83)</f>
        <v>2</v>
      </c>
      <c r="D83" s="37" t="s">
        <v>140</v>
      </c>
      <c r="E83" s="37" t="s">
        <v>44</v>
      </c>
      <c r="F83" s="37" t="s">
        <v>96</v>
      </c>
      <c r="G83" s="37" t="s">
        <v>92</v>
      </c>
      <c r="H83" s="37" t="s">
        <v>113</v>
      </c>
      <c r="I83" s="37" t="n">
        <v>2</v>
      </c>
      <c r="J83" s="39" t="n">
        <v>2199</v>
      </c>
      <c r="K83" s="40" t="n">
        <v>0</v>
      </c>
      <c r="L83" s="39" t="n">
        <f aca="false">VLOOKUP(H83,'Product List'!$A$3:$D$18,4,FALSE())</f>
        <v>1400</v>
      </c>
      <c r="M83" s="39" t="n">
        <f aca="false">I83*J83*(1-K83)</f>
        <v>4398</v>
      </c>
      <c r="N83" s="39" t="n">
        <f aca="false">I83*L83</f>
        <v>2800</v>
      </c>
      <c r="O83" s="39" t="n">
        <f aca="false">M83-N83</f>
        <v>1598</v>
      </c>
      <c r="P83" s="41" t="n">
        <f aca="false">IF(M83=0,0,O83/M83)</f>
        <v>0.363346975898136</v>
      </c>
      <c r="Q83" s="37" t="str">
        <f aca="false">IF(K83=0,"No discount",IF(K83&lt;=0.1,"1-10%",IF(K83&lt;=0.2,"11-20%",IF(K83&lt;=0.3,"21-30%","Above 30%"))))</f>
        <v>No discount</v>
      </c>
      <c r="R83" s="39" t="n">
        <f aca="false">I83*J83*MAX(0,K83-DiscountCap)</f>
        <v>0</v>
      </c>
    </row>
    <row r="84" customFormat="false" ht="15" hidden="false" customHeight="false" outlineLevel="0" collapsed="false">
      <c r="A84" s="37" t="s">
        <v>228</v>
      </c>
      <c r="B84" s="38" t="n">
        <v>45709</v>
      </c>
      <c r="C84" s="37" t="n">
        <f aca="false">MONTH(B84)</f>
        <v>2</v>
      </c>
      <c r="D84" s="37" t="s">
        <v>136</v>
      </c>
      <c r="E84" s="37" t="s">
        <v>47</v>
      </c>
      <c r="F84" s="37" t="s">
        <v>96</v>
      </c>
      <c r="G84" s="37" t="s">
        <v>90</v>
      </c>
      <c r="H84" s="37" t="s">
        <v>109</v>
      </c>
      <c r="I84" s="37" t="n">
        <v>1</v>
      </c>
      <c r="J84" s="39" t="n">
        <v>3499</v>
      </c>
      <c r="K84" s="40" t="n">
        <v>0.15</v>
      </c>
      <c r="L84" s="39" t="n">
        <f aca="false">VLOOKUP(H84,'Product List'!$A$3:$D$18,4,FALSE())</f>
        <v>2750</v>
      </c>
      <c r="M84" s="39" t="n">
        <f aca="false">I84*J84*(1-K84)</f>
        <v>2974.15</v>
      </c>
      <c r="N84" s="39" t="n">
        <f aca="false">I84*L84</f>
        <v>2750</v>
      </c>
      <c r="O84" s="39" t="n">
        <f aca="false">M84-N84</f>
        <v>224.15</v>
      </c>
      <c r="P84" s="41" t="n">
        <f aca="false">IF(M84=0,0,O84/M84)</f>
        <v>0.0753660709782627</v>
      </c>
      <c r="Q84" s="37" t="str">
        <f aca="false">IF(K84=0,"No discount",IF(K84&lt;=0.1,"1-10%",IF(K84&lt;=0.2,"11-20%",IF(K84&lt;=0.3,"21-30%","Above 30%"))))</f>
        <v>11-20%</v>
      </c>
      <c r="R84" s="39" t="n">
        <f aca="false">I84*J84*MAX(0,K84-DiscountCap)</f>
        <v>0</v>
      </c>
    </row>
    <row r="85" customFormat="false" ht="15" hidden="false" customHeight="false" outlineLevel="0" collapsed="false">
      <c r="A85" s="37" t="s">
        <v>229</v>
      </c>
      <c r="B85" s="38" t="n">
        <v>45697</v>
      </c>
      <c r="C85" s="37" t="n">
        <f aca="false">MONTH(B85)</f>
        <v>2</v>
      </c>
      <c r="D85" s="37" t="s">
        <v>169</v>
      </c>
      <c r="E85" s="37" t="s">
        <v>44</v>
      </c>
      <c r="F85" s="37" t="s">
        <v>96</v>
      </c>
      <c r="G85" s="37" t="s">
        <v>91</v>
      </c>
      <c r="H85" s="37" t="s">
        <v>117</v>
      </c>
      <c r="I85" s="37" t="n">
        <v>1</v>
      </c>
      <c r="J85" s="39" t="n">
        <v>1499</v>
      </c>
      <c r="K85" s="40" t="n">
        <v>0.25</v>
      </c>
      <c r="L85" s="39" t="n">
        <f aca="false">VLOOKUP(H85,'Product List'!$A$3:$D$18,4,FALSE())</f>
        <v>780</v>
      </c>
      <c r="M85" s="39" t="n">
        <f aca="false">I85*J85*(1-K85)</f>
        <v>1124.25</v>
      </c>
      <c r="N85" s="39" t="n">
        <f aca="false">I85*L85</f>
        <v>780</v>
      </c>
      <c r="O85" s="39" t="n">
        <f aca="false">M85-N85</f>
        <v>344.25</v>
      </c>
      <c r="P85" s="41" t="n">
        <f aca="false">IF(M85=0,0,O85/M85)</f>
        <v>0.306204136090727</v>
      </c>
      <c r="Q85" s="37" t="str">
        <f aca="false">IF(K85=0,"No discount",IF(K85&lt;=0.1,"1-10%",IF(K85&lt;=0.2,"11-20%",IF(K85&lt;=0.3,"21-30%","Above 30%"))))</f>
        <v>21-30%</v>
      </c>
      <c r="R85" s="39" t="n">
        <f aca="false">I85*J85*MAX(0,K85-DiscountCap)</f>
        <v>74.95</v>
      </c>
    </row>
    <row r="86" customFormat="false" ht="15" hidden="false" customHeight="false" outlineLevel="0" collapsed="false">
      <c r="A86" s="37" t="s">
        <v>230</v>
      </c>
      <c r="B86" s="38" t="n">
        <v>45710</v>
      </c>
      <c r="C86" s="37" t="n">
        <f aca="false">MONTH(B86)</f>
        <v>2</v>
      </c>
      <c r="D86" s="37" t="s">
        <v>142</v>
      </c>
      <c r="E86" s="37" t="s">
        <v>47</v>
      </c>
      <c r="F86" s="37" t="s">
        <v>96</v>
      </c>
      <c r="G86" s="37" t="s">
        <v>92</v>
      </c>
      <c r="H86" s="37" t="s">
        <v>112</v>
      </c>
      <c r="I86" s="37" t="n">
        <v>2</v>
      </c>
      <c r="J86" s="39" t="n">
        <v>3299</v>
      </c>
      <c r="K86" s="40" t="n">
        <v>0</v>
      </c>
      <c r="L86" s="39" t="n">
        <f aca="false">VLOOKUP(H86,'Product List'!$A$3:$D$18,4,FALSE())</f>
        <v>2250</v>
      </c>
      <c r="M86" s="39" t="n">
        <f aca="false">I86*J86*(1-K86)</f>
        <v>6598</v>
      </c>
      <c r="N86" s="39" t="n">
        <f aca="false">I86*L86</f>
        <v>4500</v>
      </c>
      <c r="O86" s="39" t="n">
        <f aca="false">M86-N86</f>
        <v>2098</v>
      </c>
      <c r="P86" s="41" t="n">
        <f aca="false">IF(M86=0,0,O86/M86)</f>
        <v>0.317975143983025</v>
      </c>
      <c r="Q86" s="37" t="str">
        <f aca="false">IF(K86=0,"No discount",IF(K86&lt;=0.1,"1-10%",IF(K86&lt;=0.2,"11-20%",IF(K86&lt;=0.3,"21-30%","Above 30%"))))</f>
        <v>No discount</v>
      </c>
      <c r="R86" s="39" t="n">
        <f aca="false">I86*J86*MAX(0,K86-DiscountCap)</f>
        <v>0</v>
      </c>
    </row>
    <row r="87" customFormat="false" ht="15" hidden="false" customHeight="false" outlineLevel="0" collapsed="false">
      <c r="A87" s="37" t="s">
        <v>231</v>
      </c>
      <c r="B87" s="38" t="n">
        <v>45692</v>
      </c>
      <c r="C87" s="37" t="n">
        <f aca="false">MONTH(B87)</f>
        <v>2</v>
      </c>
      <c r="D87" s="37" t="s">
        <v>144</v>
      </c>
      <c r="E87" s="37" t="s">
        <v>45</v>
      </c>
      <c r="F87" s="37" t="s">
        <v>96</v>
      </c>
      <c r="G87" s="37" t="s">
        <v>92</v>
      </c>
      <c r="H87" s="37" t="s">
        <v>115</v>
      </c>
      <c r="I87" s="37" t="n">
        <v>1</v>
      </c>
      <c r="J87" s="39" t="n">
        <v>1799</v>
      </c>
      <c r="K87" s="40" t="n">
        <v>0.2</v>
      </c>
      <c r="L87" s="39" t="n">
        <f aca="false">VLOOKUP(H87,'Product List'!$A$3:$D$18,4,FALSE())</f>
        <v>1150</v>
      </c>
      <c r="M87" s="39" t="n">
        <f aca="false">I87*J87*(1-K87)</f>
        <v>1439.2</v>
      </c>
      <c r="N87" s="39" t="n">
        <f aca="false">I87*L87</f>
        <v>1150</v>
      </c>
      <c r="O87" s="39" t="n">
        <f aca="false">M87-N87</f>
        <v>289.2</v>
      </c>
      <c r="P87" s="41" t="n">
        <f aca="false">IF(M87=0,0,O87/M87)</f>
        <v>0.20094496942746</v>
      </c>
      <c r="Q87" s="37" t="str">
        <f aca="false">IF(K87=0,"No discount",IF(K87&lt;=0.1,"1-10%",IF(K87&lt;=0.2,"11-20%",IF(K87&lt;=0.3,"21-30%","Above 30%"))))</f>
        <v>11-20%</v>
      </c>
      <c r="R87" s="39" t="n">
        <f aca="false">I87*J87*MAX(0,K87-DiscountCap)</f>
        <v>0</v>
      </c>
    </row>
    <row r="88" customFormat="false" ht="15" hidden="false" customHeight="false" outlineLevel="0" collapsed="false">
      <c r="A88" s="37" t="s">
        <v>232</v>
      </c>
      <c r="B88" s="38" t="n">
        <v>45700</v>
      </c>
      <c r="C88" s="37" t="n">
        <f aca="false">MONTH(B88)</f>
        <v>2</v>
      </c>
      <c r="D88" s="37" t="s">
        <v>169</v>
      </c>
      <c r="E88" s="37" t="s">
        <v>44</v>
      </c>
      <c r="F88" s="37" t="s">
        <v>97</v>
      </c>
      <c r="G88" s="37" t="s">
        <v>93</v>
      </c>
      <c r="H88" s="37" t="s">
        <v>121</v>
      </c>
      <c r="I88" s="37" t="n">
        <v>1</v>
      </c>
      <c r="J88" s="39" t="n">
        <v>999</v>
      </c>
      <c r="K88" s="40" t="n">
        <v>0.1</v>
      </c>
      <c r="L88" s="39" t="n">
        <f aca="false">VLOOKUP(H88,'Product List'!$A$3:$D$18,4,FALSE())</f>
        <v>500</v>
      </c>
      <c r="M88" s="39" t="n">
        <f aca="false">I88*J88*(1-K88)</f>
        <v>899.1</v>
      </c>
      <c r="N88" s="39" t="n">
        <f aca="false">I88*L88</f>
        <v>500</v>
      </c>
      <c r="O88" s="39" t="n">
        <f aca="false">M88-N88</f>
        <v>399.1</v>
      </c>
      <c r="P88" s="41" t="n">
        <f aca="false">IF(M88=0,0,O88/M88)</f>
        <v>0.443888332777222</v>
      </c>
      <c r="Q88" s="37" t="str">
        <f aca="false">IF(K88=0,"No discount",IF(K88&lt;=0.1,"1-10%",IF(K88&lt;=0.2,"11-20%",IF(K88&lt;=0.3,"21-30%","Above 30%"))))</f>
        <v>1-10%</v>
      </c>
      <c r="R88" s="39" t="n">
        <f aca="false">I88*J88*MAX(0,K88-DiscountCap)</f>
        <v>0</v>
      </c>
    </row>
    <row r="89" customFormat="false" ht="15" hidden="false" customHeight="false" outlineLevel="0" collapsed="false">
      <c r="A89" s="37" t="s">
        <v>233</v>
      </c>
      <c r="B89" s="38" t="n">
        <v>45689</v>
      </c>
      <c r="C89" s="37" t="n">
        <f aca="false">MONTH(B89)</f>
        <v>2</v>
      </c>
      <c r="D89" s="37" t="s">
        <v>144</v>
      </c>
      <c r="E89" s="37" t="s">
        <v>45</v>
      </c>
      <c r="F89" s="37" t="s">
        <v>97</v>
      </c>
      <c r="G89" s="37" t="s">
        <v>93</v>
      </c>
      <c r="H89" s="37" t="s">
        <v>121</v>
      </c>
      <c r="I89" s="37" t="n">
        <v>1</v>
      </c>
      <c r="J89" s="39" t="n">
        <v>999</v>
      </c>
      <c r="K89" s="40" t="n">
        <v>0</v>
      </c>
      <c r="L89" s="39" t="n">
        <f aca="false">VLOOKUP(H89,'Product List'!$A$3:$D$18,4,FALSE())</f>
        <v>500</v>
      </c>
      <c r="M89" s="39" t="n">
        <f aca="false">I89*J89*(1-K89)</f>
        <v>999</v>
      </c>
      <c r="N89" s="39" t="n">
        <f aca="false">I89*L89</f>
        <v>500</v>
      </c>
      <c r="O89" s="39" t="n">
        <f aca="false">M89-N89</f>
        <v>499</v>
      </c>
      <c r="P89" s="41" t="n">
        <f aca="false">IF(M89=0,0,O89/M89)</f>
        <v>0.4994994994995</v>
      </c>
      <c r="Q89" s="37" t="str">
        <f aca="false">IF(K89=0,"No discount",IF(K89&lt;=0.1,"1-10%",IF(K89&lt;=0.2,"11-20%",IF(K89&lt;=0.3,"21-30%","Above 30%"))))</f>
        <v>No discount</v>
      </c>
      <c r="R89" s="39" t="n">
        <f aca="false">I89*J89*MAX(0,K89-DiscountCap)</f>
        <v>0</v>
      </c>
    </row>
    <row r="90" customFormat="false" ht="15" hidden="false" customHeight="false" outlineLevel="0" collapsed="false">
      <c r="A90" s="37" t="s">
        <v>234</v>
      </c>
      <c r="B90" s="38" t="n">
        <v>45708</v>
      </c>
      <c r="C90" s="37" t="n">
        <f aca="false">MONTH(B90)</f>
        <v>2</v>
      </c>
      <c r="D90" s="37" t="s">
        <v>166</v>
      </c>
      <c r="E90" s="37" t="s">
        <v>44</v>
      </c>
      <c r="F90" s="37" t="s">
        <v>97</v>
      </c>
      <c r="G90" s="37" t="s">
        <v>93</v>
      </c>
      <c r="H90" s="37" t="s">
        <v>120</v>
      </c>
      <c r="I90" s="37" t="n">
        <v>2</v>
      </c>
      <c r="J90" s="39" t="n">
        <v>449</v>
      </c>
      <c r="K90" s="40" t="n">
        <v>0.1</v>
      </c>
      <c r="L90" s="39" t="n">
        <f aca="false">VLOOKUP(H90,'Product List'!$A$3:$D$18,4,FALSE())</f>
        <v>240</v>
      </c>
      <c r="M90" s="39" t="n">
        <f aca="false">I90*J90*(1-K90)</f>
        <v>808.2</v>
      </c>
      <c r="N90" s="39" t="n">
        <f aca="false">I90*L90</f>
        <v>480</v>
      </c>
      <c r="O90" s="39" t="n">
        <f aca="false">M90-N90</f>
        <v>328.2</v>
      </c>
      <c r="P90" s="41" t="n">
        <f aca="false">IF(M90=0,0,O90/M90)</f>
        <v>0.406087602078693</v>
      </c>
      <c r="Q90" s="37" t="str">
        <f aca="false">IF(K90=0,"No discount",IF(K90&lt;=0.1,"1-10%",IF(K90&lt;=0.2,"11-20%",IF(K90&lt;=0.3,"21-30%","Above 30%"))))</f>
        <v>1-10%</v>
      </c>
      <c r="R90" s="39" t="n">
        <f aca="false">I90*J90*MAX(0,K90-DiscountCap)</f>
        <v>0</v>
      </c>
    </row>
    <row r="91" customFormat="false" ht="15" hidden="false" customHeight="false" outlineLevel="0" collapsed="false">
      <c r="A91" s="37" t="s">
        <v>235</v>
      </c>
      <c r="B91" s="38" t="n">
        <v>45698</v>
      </c>
      <c r="C91" s="37" t="n">
        <f aca="false">MONTH(B91)</f>
        <v>2</v>
      </c>
      <c r="D91" s="37" t="s">
        <v>146</v>
      </c>
      <c r="E91" s="37" t="s">
        <v>45</v>
      </c>
      <c r="F91" s="37" t="s">
        <v>97</v>
      </c>
      <c r="G91" s="37" t="s">
        <v>92</v>
      </c>
      <c r="H91" s="37" t="s">
        <v>113</v>
      </c>
      <c r="I91" s="37" t="n">
        <v>1</v>
      </c>
      <c r="J91" s="39" t="n">
        <v>2199</v>
      </c>
      <c r="K91" s="40" t="n">
        <v>0</v>
      </c>
      <c r="L91" s="39" t="n">
        <f aca="false">VLOOKUP(H91,'Product List'!$A$3:$D$18,4,FALSE())</f>
        <v>1400</v>
      </c>
      <c r="M91" s="39" t="n">
        <f aca="false">I91*J91*(1-K91)</f>
        <v>2199</v>
      </c>
      <c r="N91" s="39" t="n">
        <f aca="false">I91*L91</f>
        <v>1400</v>
      </c>
      <c r="O91" s="39" t="n">
        <f aca="false">M91-N91</f>
        <v>799</v>
      </c>
      <c r="P91" s="41" t="n">
        <f aca="false">IF(M91=0,0,O91/M91)</f>
        <v>0.363346975898136</v>
      </c>
      <c r="Q91" s="37" t="str">
        <f aca="false">IF(K91=0,"No discount",IF(K91&lt;=0.1,"1-10%",IF(K91&lt;=0.2,"11-20%",IF(K91&lt;=0.3,"21-30%","Above 30%"))))</f>
        <v>No discount</v>
      </c>
      <c r="R91" s="39" t="n">
        <f aca="false">I91*J91*MAX(0,K91-DiscountCap)</f>
        <v>0</v>
      </c>
    </row>
    <row r="92" customFormat="false" ht="15" hidden="false" customHeight="false" outlineLevel="0" collapsed="false">
      <c r="A92" s="37" t="s">
        <v>236</v>
      </c>
      <c r="B92" s="38" t="n">
        <v>45709</v>
      </c>
      <c r="C92" s="37" t="n">
        <f aca="false">MONTH(B92)</f>
        <v>2</v>
      </c>
      <c r="D92" s="37" t="s">
        <v>134</v>
      </c>
      <c r="E92" s="37" t="s">
        <v>45</v>
      </c>
      <c r="F92" s="37" t="s">
        <v>96</v>
      </c>
      <c r="G92" s="37" t="s">
        <v>90</v>
      </c>
      <c r="H92" s="37" t="s">
        <v>111</v>
      </c>
      <c r="I92" s="37" t="n">
        <v>4</v>
      </c>
      <c r="J92" s="39" t="n">
        <v>2499</v>
      </c>
      <c r="K92" s="40" t="n">
        <v>0.15</v>
      </c>
      <c r="L92" s="39" t="n">
        <f aca="false">VLOOKUP(H92,'Product List'!$A$3:$D$18,4,FALSE())</f>
        <v>1950</v>
      </c>
      <c r="M92" s="39" t="n">
        <f aca="false">I92*J92*(1-K92)</f>
        <v>8496.6</v>
      </c>
      <c r="N92" s="39" t="n">
        <f aca="false">I92*L92</f>
        <v>7800</v>
      </c>
      <c r="O92" s="39" t="n">
        <f aca="false">M92-N92</f>
        <v>696.6</v>
      </c>
      <c r="P92" s="41" t="n">
        <f aca="false">IF(M92=0,0,O92/M92)</f>
        <v>0.0819857354706589</v>
      </c>
      <c r="Q92" s="37" t="str">
        <f aca="false">IF(K92=0,"No discount",IF(K92&lt;=0.1,"1-10%",IF(K92&lt;=0.2,"11-20%",IF(K92&lt;=0.3,"21-30%","Above 30%"))))</f>
        <v>11-20%</v>
      </c>
      <c r="R92" s="39" t="n">
        <f aca="false">I92*J92*MAX(0,K92-DiscountCap)</f>
        <v>0</v>
      </c>
    </row>
    <row r="93" customFormat="false" ht="15" hidden="false" customHeight="false" outlineLevel="0" collapsed="false">
      <c r="A93" s="37" t="s">
        <v>237</v>
      </c>
      <c r="B93" s="38" t="n">
        <v>45704</v>
      </c>
      <c r="C93" s="37" t="n">
        <f aca="false">MONTH(B93)</f>
        <v>2</v>
      </c>
      <c r="D93" s="37" t="s">
        <v>138</v>
      </c>
      <c r="E93" s="37" t="s">
        <v>46</v>
      </c>
      <c r="F93" s="37" t="s">
        <v>97</v>
      </c>
      <c r="G93" s="37" t="s">
        <v>91</v>
      </c>
      <c r="H93" s="37" t="s">
        <v>119</v>
      </c>
      <c r="I93" s="37" t="n">
        <v>1</v>
      </c>
      <c r="J93" s="39" t="n">
        <v>1099</v>
      </c>
      <c r="K93" s="40" t="n">
        <v>0</v>
      </c>
      <c r="L93" s="39" t="n">
        <f aca="false">VLOOKUP(H93,'Product List'!$A$3:$D$18,4,FALSE())</f>
        <v>560</v>
      </c>
      <c r="M93" s="39" t="n">
        <f aca="false">I93*J93*(1-K93)</f>
        <v>1099</v>
      </c>
      <c r="N93" s="39" t="n">
        <f aca="false">I93*L93</f>
        <v>560</v>
      </c>
      <c r="O93" s="39" t="n">
        <f aca="false">M93-N93</f>
        <v>539</v>
      </c>
      <c r="P93" s="41" t="n">
        <f aca="false">IF(M93=0,0,O93/M93)</f>
        <v>0.490445859872611</v>
      </c>
      <c r="Q93" s="37" t="str">
        <f aca="false">IF(K93=0,"No discount",IF(K93&lt;=0.1,"1-10%",IF(K93&lt;=0.2,"11-20%",IF(K93&lt;=0.3,"21-30%","Above 30%"))))</f>
        <v>No discount</v>
      </c>
      <c r="R93" s="39" t="n">
        <f aca="false">I93*J93*MAX(0,K93-DiscountCap)</f>
        <v>0</v>
      </c>
    </row>
    <row r="94" customFormat="false" ht="15" hidden="false" customHeight="false" outlineLevel="0" collapsed="false">
      <c r="A94" s="37" t="s">
        <v>238</v>
      </c>
      <c r="B94" s="38" t="n">
        <v>45694</v>
      </c>
      <c r="C94" s="37" t="n">
        <f aca="false">MONTH(B94)</f>
        <v>2</v>
      </c>
      <c r="D94" s="37" t="s">
        <v>136</v>
      </c>
      <c r="E94" s="37" t="s">
        <v>47</v>
      </c>
      <c r="F94" s="37" t="s">
        <v>96</v>
      </c>
      <c r="G94" s="37" t="s">
        <v>90</v>
      </c>
      <c r="H94" s="37" t="s">
        <v>111</v>
      </c>
      <c r="I94" s="37" t="n">
        <v>1</v>
      </c>
      <c r="J94" s="39" t="n">
        <v>2499</v>
      </c>
      <c r="K94" s="40" t="n">
        <v>0.2</v>
      </c>
      <c r="L94" s="39" t="n">
        <f aca="false">VLOOKUP(H94,'Product List'!$A$3:$D$18,4,FALSE())</f>
        <v>1950</v>
      </c>
      <c r="M94" s="39" t="n">
        <f aca="false">I94*J94*(1-K94)</f>
        <v>1999.2</v>
      </c>
      <c r="N94" s="39" t="n">
        <f aca="false">I94*L94</f>
        <v>1950</v>
      </c>
      <c r="O94" s="39" t="n">
        <f aca="false">M94-N94</f>
        <v>49.2</v>
      </c>
      <c r="P94" s="41" t="n">
        <f aca="false">IF(M94=0,0,O94/M94)</f>
        <v>0.0246098439375751</v>
      </c>
      <c r="Q94" s="37" t="str">
        <f aca="false">IF(K94=0,"No discount",IF(K94&lt;=0.1,"1-10%",IF(K94&lt;=0.2,"11-20%",IF(K94&lt;=0.3,"21-30%","Above 30%"))))</f>
        <v>11-20%</v>
      </c>
      <c r="R94" s="39" t="n">
        <f aca="false">I94*J94*MAX(0,K94-DiscountCap)</f>
        <v>0</v>
      </c>
    </row>
    <row r="95" customFormat="false" ht="15" hidden="false" customHeight="false" outlineLevel="0" collapsed="false">
      <c r="A95" s="37" t="s">
        <v>239</v>
      </c>
      <c r="B95" s="38" t="n">
        <v>45716</v>
      </c>
      <c r="C95" s="37" t="n">
        <f aca="false">MONTH(B95)</f>
        <v>2</v>
      </c>
      <c r="D95" s="37" t="s">
        <v>166</v>
      </c>
      <c r="E95" s="37" t="s">
        <v>44</v>
      </c>
      <c r="F95" s="37" t="s">
        <v>96</v>
      </c>
      <c r="G95" s="37" t="s">
        <v>91</v>
      </c>
      <c r="H95" s="37" t="s">
        <v>118</v>
      </c>
      <c r="I95" s="37" t="n">
        <v>3</v>
      </c>
      <c r="J95" s="39" t="n">
        <v>2299</v>
      </c>
      <c r="K95" s="40" t="n">
        <v>0.3</v>
      </c>
      <c r="L95" s="39" t="n">
        <f aca="false">VLOOKUP(H95,'Product List'!$A$3:$D$18,4,FALSE())</f>
        <v>1300</v>
      </c>
      <c r="M95" s="39" t="n">
        <f aca="false">I95*J95*(1-K95)</f>
        <v>4827.9</v>
      </c>
      <c r="N95" s="39" t="n">
        <f aca="false">I95*L95</f>
        <v>3900</v>
      </c>
      <c r="O95" s="39" t="n">
        <f aca="false">M95-N95</f>
        <v>927.9</v>
      </c>
      <c r="P95" s="41" t="n">
        <f aca="false">IF(M95=0,0,O95/M95)</f>
        <v>0.192195364444168</v>
      </c>
      <c r="Q95" s="37" t="str">
        <f aca="false">IF(K95=0,"No discount",IF(K95&lt;=0.1,"1-10%",IF(K95&lt;=0.2,"11-20%",IF(K95&lt;=0.3,"21-30%","Above 30%"))))</f>
        <v>21-30%</v>
      </c>
      <c r="R95" s="39" t="n">
        <f aca="false">I95*J95*MAX(0,K95-DiscountCap)</f>
        <v>689.7</v>
      </c>
    </row>
    <row r="96" customFormat="false" ht="15" hidden="false" customHeight="false" outlineLevel="0" collapsed="false">
      <c r="A96" s="37" t="s">
        <v>240</v>
      </c>
      <c r="B96" s="38" t="n">
        <v>45701</v>
      </c>
      <c r="C96" s="37" t="n">
        <f aca="false">MONTH(B96)</f>
        <v>2</v>
      </c>
      <c r="D96" s="37" t="s">
        <v>144</v>
      </c>
      <c r="E96" s="37" t="s">
        <v>45</v>
      </c>
      <c r="F96" s="37" t="s">
        <v>97</v>
      </c>
      <c r="G96" s="37" t="s">
        <v>90</v>
      </c>
      <c r="H96" s="37" t="s">
        <v>110</v>
      </c>
      <c r="I96" s="37" t="n">
        <v>1</v>
      </c>
      <c r="J96" s="39" t="n">
        <v>1299</v>
      </c>
      <c r="K96" s="40" t="n">
        <v>0.15</v>
      </c>
      <c r="L96" s="39" t="n">
        <f aca="false">VLOOKUP(H96,'Product List'!$A$3:$D$18,4,FALSE())</f>
        <v>1000</v>
      </c>
      <c r="M96" s="39" t="n">
        <f aca="false">I96*J96*(1-K96)</f>
        <v>1104.15</v>
      </c>
      <c r="N96" s="39" t="n">
        <f aca="false">I96*L96</f>
        <v>1000</v>
      </c>
      <c r="O96" s="39" t="n">
        <f aca="false">M96-N96</f>
        <v>104.15</v>
      </c>
      <c r="P96" s="41" t="n">
        <f aca="false">IF(M96=0,0,O96/M96)</f>
        <v>0.0943259520898428</v>
      </c>
      <c r="Q96" s="37" t="str">
        <f aca="false">IF(K96=0,"No discount",IF(K96&lt;=0.1,"1-10%",IF(K96&lt;=0.2,"11-20%",IF(K96&lt;=0.3,"21-30%","Above 30%"))))</f>
        <v>11-20%</v>
      </c>
      <c r="R96" s="39" t="n">
        <f aca="false">I96*J96*MAX(0,K96-DiscountCap)</f>
        <v>0</v>
      </c>
    </row>
    <row r="97" customFormat="false" ht="15" hidden="false" customHeight="false" outlineLevel="0" collapsed="false">
      <c r="A97" s="37" t="s">
        <v>241</v>
      </c>
      <c r="B97" s="38" t="n">
        <v>45700</v>
      </c>
      <c r="C97" s="37" t="n">
        <f aca="false">MONTH(B97)</f>
        <v>2</v>
      </c>
      <c r="D97" s="37" t="s">
        <v>169</v>
      </c>
      <c r="E97" s="37" t="s">
        <v>44</v>
      </c>
      <c r="F97" s="37" t="s">
        <v>97</v>
      </c>
      <c r="G97" s="37" t="s">
        <v>93</v>
      </c>
      <c r="H97" s="37" t="s">
        <v>120</v>
      </c>
      <c r="I97" s="37" t="n">
        <v>1</v>
      </c>
      <c r="J97" s="39" t="n">
        <v>449</v>
      </c>
      <c r="K97" s="40" t="n">
        <v>0.15</v>
      </c>
      <c r="L97" s="39" t="n">
        <f aca="false">VLOOKUP(H97,'Product List'!$A$3:$D$18,4,FALSE())</f>
        <v>240</v>
      </c>
      <c r="M97" s="39" t="n">
        <f aca="false">I97*J97*(1-K97)</f>
        <v>381.65</v>
      </c>
      <c r="N97" s="39" t="n">
        <f aca="false">I97*L97</f>
        <v>240</v>
      </c>
      <c r="O97" s="39" t="n">
        <f aca="false">M97-N97</f>
        <v>141.65</v>
      </c>
      <c r="P97" s="41" t="n">
        <f aca="false">IF(M97=0,0,O97/M97)</f>
        <v>0.371151578671558</v>
      </c>
      <c r="Q97" s="37" t="str">
        <f aca="false">IF(K97=0,"No discount",IF(K97&lt;=0.1,"1-10%",IF(K97&lt;=0.2,"11-20%",IF(K97&lt;=0.3,"21-30%","Above 30%"))))</f>
        <v>11-20%</v>
      </c>
      <c r="R97" s="39" t="n">
        <f aca="false">I97*J97*MAX(0,K97-DiscountCap)</f>
        <v>0</v>
      </c>
    </row>
    <row r="98" customFormat="false" ht="15" hidden="false" customHeight="false" outlineLevel="0" collapsed="false">
      <c r="A98" s="37" t="s">
        <v>242</v>
      </c>
      <c r="B98" s="38" t="n">
        <v>45714</v>
      </c>
      <c r="C98" s="37" t="n">
        <f aca="false">MONTH(B98)</f>
        <v>2</v>
      </c>
      <c r="D98" s="37" t="s">
        <v>172</v>
      </c>
      <c r="E98" s="37" t="s">
        <v>46</v>
      </c>
      <c r="F98" s="37" t="s">
        <v>96</v>
      </c>
      <c r="G98" s="37" t="s">
        <v>92</v>
      </c>
      <c r="H98" s="37" t="s">
        <v>113</v>
      </c>
      <c r="I98" s="37" t="n">
        <v>1</v>
      </c>
      <c r="J98" s="39" t="n">
        <v>2199</v>
      </c>
      <c r="K98" s="40" t="n">
        <v>0.25</v>
      </c>
      <c r="L98" s="39" t="n">
        <f aca="false">VLOOKUP(H98,'Product List'!$A$3:$D$18,4,FALSE())</f>
        <v>1400</v>
      </c>
      <c r="M98" s="39" t="n">
        <f aca="false">I98*J98*(1-K98)</f>
        <v>1649.25</v>
      </c>
      <c r="N98" s="39" t="n">
        <f aca="false">I98*L98</f>
        <v>1400</v>
      </c>
      <c r="O98" s="39" t="n">
        <f aca="false">M98-N98</f>
        <v>249.25</v>
      </c>
      <c r="P98" s="41" t="n">
        <f aca="false">IF(M98=0,0,O98/M98)</f>
        <v>0.151129301197514</v>
      </c>
      <c r="Q98" s="37" t="str">
        <f aca="false">IF(K98=0,"No discount",IF(K98&lt;=0.1,"1-10%",IF(K98&lt;=0.2,"11-20%",IF(K98&lt;=0.3,"21-30%","Above 30%"))))</f>
        <v>21-30%</v>
      </c>
      <c r="R98" s="39" t="n">
        <f aca="false">I98*J98*MAX(0,K98-DiscountCap)</f>
        <v>109.95</v>
      </c>
    </row>
    <row r="99" customFormat="false" ht="15" hidden="false" customHeight="false" outlineLevel="0" collapsed="false">
      <c r="A99" s="37" t="s">
        <v>243</v>
      </c>
      <c r="B99" s="38" t="n">
        <v>45711</v>
      </c>
      <c r="C99" s="37" t="n">
        <f aca="false">MONTH(B99)</f>
        <v>2</v>
      </c>
      <c r="D99" s="37" t="s">
        <v>142</v>
      </c>
      <c r="E99" s="37" t="s">
        <v>47</v>
      </c>
      <c r="F99" s="37" t="s">
        <v>96</v>
      </c>
      <c r="G99" s="37" t="s">
        <v>92</v>
      </c>
      <c r="H99" s="37" t="s">
        <v>114</v>
      </c>
      <c r="I99" s="37" t="n">
        <v>1</v>
      </c>
      <c r="J99" s="39" t="n">
        <v>1199</v>
      </c>
      <c r="K99" s="40" t="n">
        <v>0</v>
      </c>
      <c r="L99" s="39" t="n">
        <f aca="false">VLOOKUP(H99,'Product List'!$A$3:$D$18,4,FALSE())</f>
        <v>780</v>
      </c>
      <c r="M99" s="39" t="n">
        <f aca="false">I99*J99*(1-K99)</f>
        <v>1199</v>
      </c>
      <c r="N99" s="39" t="n">
        <f aca="false">I99*L99</f>
        <v>780</v>
      </c>
      <c r="O99" s="39" t="n">
        <f aca="false">M99-N99</f>
        <v>419</v>
      </c>
      <c r="P99" s="41" t="n">
        <f aca="false">IF(M99=0,0,O99/M99)</f>
        <v>0.349457881567973</v>
      </c>
      <c r="Q99" s="37" t="str">
        <f aca="false">IF(K99=0,"No discount",IF(K99&lt;=0.1,"1-10%",IF(K99&lt;=0.2,"11-20%",IF(K99&lt;=0.3,"21-30%","Above 30%"))))</f>
        <v>No discount</v>
      </c>
      <c r="R99" s="39" t="n">
        <f aca="false">I99*J99*MAX(0,K99-DiscountCap)</f>
        <v>0</v>
      </c>
    </row>
    <row r="100" customFormat="false" ht="15" hidden="false" customHeight="false" outlineLevel="0" collapsed="false">
      <c r="A100" s="37" t="s">
        <v>244</v>
      </c>
      <c r="B100" s="38" t="n">
        <v>45716</v>
      </c>
      <c r="C100" s="37" t="n">
        <f aca="false">MONTH(B100)</f>
        <v>2</v>
      </c>
      <c r="D100" s="37" t="s">
        <v>166</v>
      </c>
      <c r="E100" s="37" t="s">
        <v>44</v>
      </c>
      <c r="F100" s="37" t="s">
        <v>96</v>
      </c>
      <c r="G100" s="37" t="s">
        <v>93</v>
      </c>
      <c r="H100" s="37" t="s">
        <v>121</v>
      </c>
      <c r="I100" s="37" t="n">
        <v>1</v>
      </c>
      <c r="J100" s="39" t="n">
        <v>999</v>
      </c>
      <c r="K100" s="40" t="n">
        <v>0</v>
      </c>
      <c r="L100" s="39" t="n">
        <f aca="false">VLOOKUP(H100,'Product List'!$A$3:$D$18,4,FALSE())</f>
        <v>500</v>
      </c>
      <c r="M100" s="39" t="n">
        <f aca="false">I100*J100*(1-K100)</f>
        <v>999</v>
      </c>
      <c r="N100" s="39" t="n">
        <f aca="false">I100*L100</f>
        <v>500</v>
      </c>
      <c r="O100" s="39" t="n">
        <f aca="false">M100-N100</f>
        <v>499</v>
      </c>
      <c r="P100" s="41" t="n">
        <f aca="false">IF(M100=0,0,O100/M100)</f>
        <v>0.4994994994995</v>
      </c>
      <c r="Q100" s="37" t="str">
        <f aca="false">IF(K100=0,"No discount",IF(K100&lt;=0.1,"1-10%",IF(K100&lt;=0.2,"11-20%",IF(K100&lt;=0.3,"21-30%","Above 30%"))))</f>
        <v>No discount</v>
      </c>
      <c r="R100" s="39" t="n">
        <f aca="false">I100*J100*MAX(0,K100-DiscountCap)</f>
        <v>0</v>
      </c>
    </row>
    <row r="101" customFormat="false" ht="15" hidden="false" customHeight="false" outlineLevel="0" collapsed="false">
      <c r="A101" s="37" t="s">
        <v>245</v>
      </c>
      <c r="B101" s="38" t="n">
        <v>45705</v>
      </c>
      <c r="C101" s="37" t="n">
        <f aca="false">MONTH(B101)</f>
        <v>2</v>
      </c>
      <c r="D101" s="37" t="s">
        <v>154</v>
      </c>
      <c r="E101" s="37" t="s">
        <v>47</v>
      </c>
      <c r="F101" s="37" t="s">
        <v>97</v>
      </c>
      <c r="G101" s="37" t="s">
        <v>92</v>
      </c>
      <c r="H101" s="37" t="s">
        <v>115</v>
      </c>
      <c r="I101" s="37" t="n">
        <v>3</v>
      </c>
      <c r="J101" s="39" t="n">
        <v>1799</v>
      </c>
      <c r="K101" s="40" t="n">
        <v>0</v>
      </c>
      <c r="L101" s="39" t="n">
        <f aca="false">VLOOKUP(H101,'Product List'!$A$3:$D$18,4,FALSE())</f>
        <v>1150</v>
      </c>
      <c r="M101" s="39" t="n">
        <f aca="false">I101*J101*(1-K101)</f>
        <v>5397</v>
      </c>
      <c r="N101" s="39" t="n">
        <f aca="false">I101*L101</f>
        <v>3450</v>
      </c>
      <c r="O101" s="39" t="n">
        <f aca="false">M101-N101</f>
        <v>1947</v>
      </c>
      <c r="P101" s="41" t="n">
        <f aca="false">IF(M101=0,0,O101/M101)</f>
        <v>0.360755975541968</v>
      </c>
      <c r="Q101" s="37" t="str">
        <f aca="false">IF(K101=0,"No discount",IF(K101&lt;=0.1,"1-10%",IF(K101&lt;=0.2,"11-20%",IF(K101&lt;=0.3,"21-30%","Above 30%"))))</f>
        <v>No discount</v>
      </c>
      <c r="R101" s="39" t="n">
        <f aca="false">I101*J101*MAX(0,K101-DiscountCap)</f>
        <v>0</v>
      </c>
    </row>
    <row r="102" customFormat="false" ht="15" hidden="false" customHeight="false" outlineLevel="0" collapsed="false">
      <c r="A102" s="37" t="s">
        <v>246</v>
      </c>
      <c r="B102" s="38" t="n">
        <v>45693</v>
      </c>
      <c r="C102" s="37" t="n">
        <f aca="false">MONTH(B102)</f>
        <v>2</v>
      </c>
      <c r="D102" s="37" t="s">
        <v>142</v>
      </c>
      <c r="E102" s="37" t="s">
        <v>47</v>
      </c>
      <c r="F102" s="37" t="s">
        <v>97</v>
      </c>
      <c r="G102" s="37" t="s">
        <v>91</v>
      </c>
      <c r="H102" s="37" t="s">
        <v>118</v>
      </c>
      <c r="I102" s="37" t="n">
        <v>2</v>
      </c>
      <c r="J102" s="39" t="n">
        <v>2299</v>
      </c>
      <c r="K102" s="40" t="n">
        <v>0.05</v>
      </c>
      <c r="L102" s="39" t="n">
        <f aca="false">VLOOKUP(H102,'Product List'!$A$3:$D$18,4,FALSE())</f>
        <v>1300</v>
      </c>
      <c r="M102" s="39" t="n">
        <f aca="false">I102*J102*(1-K102)</f>
        <v>4368.1</v>
      </c>
      <c r="N102" s="39" t="n">
        <f aca="false">I102*L102</f>
        <v>2600</v>
      </c>
      <c r="O102" s="39" t="n">
        <f aca="false">M102-N102</f>
        <v>1768.1</v>
      </c>
      <c r="P102" s="41" t="n">
        <f aca="false">IF(M102=0,0,O102/M102)</f>
        <v>0.404775531695703</v>
      </c>
      <c r="Q102" s="37" t="str">
        <f aca="false">IF(K102=0,"No discount",IF(K102&lt;=0.1,"1-10%",IF(K102&lt;=0.2,"11-20%",IF(K102&lt;=0.3,"21-30%","Above 30%"))))</f>
        <v>1-10%</v>
      </c>
      <c r="R102" s="39" t="n">
        <f aca="false">I102*J102*MAX(0,K102-DiscountCap)</f>
        <v>0</v>
      </c>
    </row>
    <row r="103" customFormat="false" ht="15" hidden="false" customHeight="false" outlineLevel="0" collapsed="false">
      <c r="A103" s="37" t="s">
        <v>247</v>
      </c>
      <c r="B103" s="38" t="n">
        <v>45699</v>
      </c>
      <c r="C103" s="37" t="n">
        <f aca="false">MONTH(B103)</f>
        <v>2</v>
      </c>
      <c r="D103" s="37" t="s">
        <v>144</v>
      </c>
      <c r="E103" s="37" t="s">
        <v>45</v>
      </c>
      <c r="F103" s="37" t="s">
        <v>97</v>
      </c>
      <c r="G103" s="37" t="s">
        <v>92</v>
      </c>
      <c r="H103" s="37" t="s">
        <v>113</v>
      </c>
      <c r="I103" s="37" t="n">
        <v>2</v>
      </c>
      <c r="J103" s="39" t="n">
        <v>2199</v>
      </c>
      <c r="K103" s="40" t="n">
        <v>0.05</v>
      </c>
      <c r="L103" s="39" t="n">
        <f aca="false">VLOOKUP(H103,'Product List'!$A$3:$D$18,4,FALSE())</f>
        <v>1400</v>
      </c>
      <c r="M103" s="39" t="n">
        <f aca="false">I103*J103*(1-K103)</f>
        <v>4178.1</v>
      </c>
      <c r="N103" s="39" t="n">
        <f aca="false">I103*L103</f>
        <v>2800</v>
      </c>
      <c r="O103" s="39" t="n">
        <f aca="false">M103-N103</f>
        <v>1378.1</v>
      </c>
      <c r="P103" s="41" t="n">
        <f aca="false">IF(M103=0,0,O103/M103)</f>
        <v>0.329838921998037</v>
      </c>
      <c r="Q103" s="37" t="str">
        <f aca="false">IF(K103=0,"No discount",IF(K103&lt;=0.1,"1-10%",IF(K103&lt;=0.2,"11-20%",IF(K103&lt;=0.3,"21-30%","Above 30%"))))</f>
        <v>1-10%</v>
      </c>
      <c r="R103" s="39" t="n">
        <f aca="false">I103*J103*MAX(0,K103-DiscountCap)</f>
        <v>0</v>
      </c>
    </row>
    <row r="104" customFormat="false" ht="15" hidden="false" customHeight="false" outlineLevel="0" collapsed="false">
      <c r="A104" s="37" t="s">
        <v>248</v>
      </c>
      <c r="B104" s="38" t="n">
        <v>45707</v>
      </c>
      <c r="C104" s="37" t="n">
        <f aca="false">MONTH(B104)</f>
        <v>2</v>
      </c>
      <c r="D104" s="37" t="s">
        <v>166</v>
      </c>
      <c r="E104" s="37" t="s">
        <v>44</v>
      </c>
      <c r="F104" s="37" t="s">
        <v>97</v>
      </c>
      <c r="G104" s="37" t="s">
        <v>92</v>
      </c>
      <c r="H104" s="37" t="s">
        <v>113</v>
      </c>
      <c r="I104" s="37" t="n">
        <v>1</v>
      </c>
      <c r="J104" s="39" t="n">
        <v>2199</v>
      </c>
      <c r="K104" s="40" t="n">
        <v>0</v>
      </c>
      <c r="L104" s="39" t="n">
        <f aca="false">VLOOKUP(H104,'Product List'!$A$3:$D$18,4,FALSE())</f>
        <v>1400</v>
      </c>
      <c r="M104" s="39" t="n">
        <f aca="false">I104*J104*(1-K104)</f>
        <v>2199</v>
      </c>
      <c r="N104" s="39" t="n">
        <f aca="false">I104*L104</f>
        <v>1400</v>
      </c>
      <c r="O104" s="39" t="n">
        <f aca="false">M104-N104</f>
        <v>799</v>
      </c>
      <c r="P104" s="41" t="n">
        <f aca="false">IF(M104=0,0,O104/M104)</f>
        <v>0.363346975898136</v>
      </c>
      <c r="Q104" s="37" t="str">
        <f aca="false">IF(K104=0,"No discount",IF(K104&lt;=0.1,"1-10%",IF(K104&lt;=0.2,"11-20%",IF(K104&lt;=0.3,"21-30%","Above 30%"))))</f>
        <v>No discount</v>
      </c>
      <c r="R104" s="39" t="n">
        <f aca="false">I104*J104*MAX(0,K104-DiscountCap)</f>
        <v>0</v>
      </c>
    </row>
    <row r="105" customFormat="false" ht="15" hidden="false" customHeight="false" outlineLevel="0" collapsed="false">
      <c r="A105" s="37" t="s">
        <v>249</v>
      </c>
      <c r="B105" s="38" t="n">
        <v>45700</v>
      </c>
      <c r="C105" s="37" t="n">
        <f aca="false">MONTH(B105)</f>
        <v>2</v>
      </c>
      <c r="D105" s="37" t="s">
        <v>138</v>
      </c>
      <c r="E105" s="37" t="s">
        <v>46</v>
      </c>
      <c r="F105" s="37" t="s">
        <v>97</v>
      </c>
      <c r="G105" s="37" t="s">
        <v>93</v>
      </c>
      <c r="H105" s="37" t="s">
        <v>123</v>
      </c>
      <c r="I105" s="37" t="n">
        <v>2</v>
      </c>
      <c r="J105" s="39" t="n">
        <v>1299</v>
      </c>
      <c r="K105" s="40" t="n">
        <v>0</v>
      </c>
      <c r="L105" s="39" t="n">
        <f aca="false">VLOOKUP(H105,'Product List'!$A$3:$D$18,4,FALSE())</f>
        <v>700</v>
      </c>
      <c r="M105" s="39" t="n">
        <f aca="false">I105*J105*(1-K105)</f>
        <v>2598</v>
      </c>
      <c r="N105" s="39" t="n">
        <f aca="false">I105*L105</f>
        <v>1400</v>
      </c>
      <c r="O105" s="39" t="n">
        <f aca="false">M105-N105</f>
        <v>1198</v>
      </c>
      <c r="P105" s="41" t="n">
        <f aca="false">IF(M105=0,0,O105/M105)</f>
        <v>0.461123941493457</v>
      </c>
      <c r="Q105" s="37" t="str">
        <f aca="false">IF(K105=0,"No discount",IF(K105&lt;=0.1,"1-10%",IF(K105&lt;=0.2,"11-20%",IF(K105&lt;=0.3,"21-30%","Above 30%"))))</f>
        <v>No discount</v>
      </c>
      <c r="R105" s="39" t="n">
        <f aca="false">I105*J105*MAX(0,K105-DiscountCap)</f>
        <v>0</v>
      </c>
    </row>
    <row r="106" customFormat="false" ht="15" hidden="false" customHeight="false" outlineLevel="0" collapsed="false">
      <c r="A106" s="37" t="s">
        <v>250</v>
      </c>
      <c r="B106" s="38" t="n">
        <v>45695</v>
      </c>
      <c r="C106" s="37" t="n">
        <f aca="false">MONTH(B106)</f>
        <v>2</v>
      </c>
      <c r="D106" s="37" t="s">
        <v>154</v>
      </c>
      <c r="E106" s="37" t="s">
        <v>47</v>
      </c>
      <c r="F106" s="37" t="s">
        <v>97</v>
      </c>
      <c r="G106" s="37" t="s">
        <v>91</v>
      </c>
      <c r="H106" s="37" t="s">
        <v>116</v>
      </c>
      <c r="I106" s="37" t="n">
        <v>1</v>
      </c>
      <c r="J106" s="39" t="n">
        <v>899</v>
      </c>
      <c r="K106" s="40" t="n">
        <v>0.1</v>
      </c>
      <c r="L106" s="39" t="n">
        <f aca="false">VLOOKUP(H106,'Product List'!$A$3:$D$18,4,FALSE())</f>
        <v>430</v>
      </c>
      <c r="M106" s="39" t="n">
        <f aca="false">I106*J106*(1-K106)</f>
        <v>809.1</v>
      </c>
      <c r="N106" s="39" t="n">
        <f aca="false">I106*L106</f>
        <v>430</v>
      </c>
      <c r="O106" s="39" t="n">
        <f aca="false">M106-N106</f>
        <v>379.1</v>
      </c>
      <c r="P106" s="41" t="n">
        <f aca="false">IF(M106=0,0,O106/M106)</f>
        <v>0.468545297243851</v>
      </c>
      <c r="Q106" s="37" t="str">
        <f aca="false">IF(K106=0,"No discount",IF(K106&lt;=0.1,"1-10%",IF(K106&lt;=0.2,"11-20%",IF(K106&lt;=0.3,"21-30%","Above 30%"))))</f>
        <v>1-10%</v>
      </c>
      <c r="R106" s="39" t="n">
        <f aca="false">I106*J106*MAX(0,K106-DiscountCap)</f>
        <v>0</v>
      </c>
    </row>
    <row r="107" customFormat="false" ht="15" hidden="false" customHeight="false" outlineLevel="0" collapsed="false">
      <c r="A107" s="37" t="s">
        <v>251</v>
      </c>
      <c r="B107" s="38" t="n">
        <v>45698</v>
      </c>
      <c r="C107" s="37" t="n">
        <f aca="false">MONTH(B107)</f>
        <v>2</v>
      </c>
      <c r="D107" s="37" t="s">
        <v>142</v>
      </c>
      <c r="E107" s="37" t="s">
        <v>47</v>
      </c>
      <c r="F107" s="37" t="s">
        <v>96</v>
      </c>
      <c r="G107" s="37" t="s">
        <v>91</v>
      </c>
      <c r="H107" s="37" t="s">
        <v>118</v>
      </c>
      <c r="I107" s="37" t="n">
        <v>4</v>
      </c>
      <c r="J107" s="39" t="n">
        <v>2299</v>
      </c>
      <c r="K107" s="40" t="n">
        <v>0.1</v>
      </c>
      <c r="L107" s="39" t="n">
        <f aca="false">VLOOKUP(H107,'Product List'!$A$3:$D$18,4,FALSE())</f>
        <v>1300</v>
      </c>
      <c r="M107" s="39" t="n">
        <f aca="false">I107*J107*(1-K107)</f>
        <v>8276.4</v>
      </c>
      <c r="N107" s="39" t="n">
        <f aca="false">I107*L107</f>
        <v>5200</v>
      </c>
      <c r="O107" s="39" t="n">
        <f aca="false">M107-N107</f>
        <v>3076.4</v>
      </c>
      <c r="P107" s="41" t="n">
        <f aca="false">IF(M107=0,0,O107/M107)</f>
        <v>0.371707505678798</v>
      </c>
      <c r="Q107" s="37" t="str">
        <f aca="false">IF(K107=0,"No discount",IF(K107&lt;=0.1,"1-10%",IF(K107&lt;=0.2,"11-20%",IF(K107&lt;=0.3,"21-30%","Above 30%"))))</f>
        <v>1-10%</v>
      </c>
      <c r="R107" s="39" t="n">
        <f aca="false">I107*J107*MAX(0,K107-DiscountCap)</f>
        <v>0</v>
      </c>
    </row>
    <row r="108" customFormat="false" ht="15" hidden="false" customHeight="false" outlineLevel="0" collapsed="false">
      <c r="A108" s="37" t="s">
        <v>252</v>
      </c>
      <c r="B108" s="38" t="n">
        <v>45693</v>
      </c>
      <c r="C108" s="37" t="n">
        <f aca="false">MONTH(B108)</f>
        <v>2</v>
      </c>
      <c r="D108" s="37" t="s">
        <v>146</v>
      </c>
      <c r="E108" s="37" t="s">
        <v>45</v>
      </c>
      <c r="F108" s="37" t="s">
        <v>97</v>
      </c>
      <c r="G108" s="37" t="s">
        <v>91</v>
      </c>
      <c r="H108" s="37" t="s">
        <v>117</v>
      </c>
      <c r="I108" s="37" t="n">
        <v>5</v>
      </c>
      <c r="J108" s="39" t="n">
        <v>1499</v>
      </c>
      <c r="K108" s="40" t="n">
        <v>0.05</v>
      </c>
      <c r="L108" s="39" t="n">
        <f aca="false">VLOOKUP(H108,'Product List'!$A$3:$D$18,4,FALSE())</f>
        <v>780</v>
      </c>
      <c r="M108" s="39" t="n">
        <f aca="false">I108*J108*(1-K108)</f>
        <v>7120.25</v>
      </c>
      <c r="N108" s="39" t="n">
        <f aca="false">I108*L108</f>
        <v>3900</v>
      </c>
      <c r="O108" s="39" t="n">
        <f aca="false">M108-N108</f>
        <v>3220.25</v>
      </c>
      <c r="P108" s="41" t="n">
        <f aca="false">IF(M108=0,0,O108/M108)</f>
        <v>0.452266423229521</v>
      </c>
      <c r="Q108" s="37" t="str">
        <f aca="false">IF(K108=0,"No discount",IF(K108&lt;=0.1,"1-10%",IF(K108&lt;=0.2,"11-20%",IF(K108&lt;=0.3,"21-30%","Above 30%"))))</f>
        <v>1-10%</v>
      </c>
      <c r="R108" s="39" t="n">
        <f aca="false">I108*J108*MAX(0,K108-DiscountCap)</f>
        <v>0</v>
      </c>
    </row>
    <row r="109" customFormat="false" ht="15" hidden="false" customHeight="false" outlineLevel="0" collapsed="false">
      <c r="A109" s="37" t="s">
        <v>253</v>
      </c>
      <c r="B109" s="38" t="n">
        <v>45695</v>
      </c>
      <c r="C109" s="37" t="n">
        <f aca="false">MONTH(B109)</f>
        <v>2</v>
      </c>
      <c r="D109" s="37" t="s">
        <v>144</v>
      </c>
      <c r="E109" s="37" t="s">
        <v>45</v>
      </c>
      <c r="F109" s="37" t="s">
        <v>96</v>
      </c>
      <c r="G109" s="37" t="s">
        <v>93</v>
      </c>
      <c r="H109" s="37" t="s">
        <v>121</v>
      </c>
      <c r="I109" s="37" t="n">
        <v>1</v>
      </c>
      <c r="J109" s="39" t="n">
        <v>999</v>
      </c>
      <c r="K109" s="40" t="n">
        <v>0.2</v>
      </c>
      <c r="L109" s="39" t="n">
        <f aca="false">VLOOKUP(H109,'Product List'!$A$3:$D$18,4,FALSE())</f>
        <v>500</v>
      </c>
      <c r="M109" s="39" t="n">
        <f aca="false">I109*J109*(1-K109)</f>
        <v>799.2</v>
      </c>
      <c r="N109" s="39" t="n">
        <f aca="false">I109*L109</f>
        <v>500</v>
      </c>
      <c r="O109" s="39" t="n">
        <f aca="false">M109-N109</f>
        <v>299.2</v>
      </c>
      <c r="P109" s="41" t="n">
        <f aca="false">IF(M109=0,0,O109/M109)</f>
        <v>0.374374374374374</v>
      </c>
      <c r="Q109" s="37" t="str">
        <f aca="false">IF(K109=0,"No discount",IF(K109&lt;=0.1,"1-10%",IF(K109&lt;=0.2,"11-20%",IF(K109&lt;=0.3,"21-30%","Above 30%"))))</f>
        <v>11-20%</v>
      </c>
      <c r="R109" s="39" t="n">
        <f aca="false">I109*J109*MAX(0,K109-DiscountCap)</f>
        <v>0</v>
      </c>
    </row>
    <row r="110" customFormat="false" ht="15" hidden="false" customHeight="false" outlineLevel="0" collapsed="false">
      <c r="A110" s="37" t="s">
        <v>254</v>
      </c>
      <c r="B110" s="38" t="n">
        <v>45691</v>
      </c>
      <c r="C110" s="37" t="n">
        <f aca="false">MONTH(B110)</f>
        <v>2</v>
      </c>
      <c r="D110" s="37" t="s">
        <v>136</v>
      </c>
      <c r="E110" s="37" t="s">
        <v>47</v>
      </c>
      <c r="F110" s="37" t="s">
        <v>96</v>
      </c>
      <c r="G110" s="37" t="s">
        <v>90</v>
      </c>
      <c r="H110" s="37" t="s">
        <v>109</v>
      </c>
      <c r="I110" s="37" t="n">
        <v>1</v>
      </c>
      <c r="J110" s="39" t="n">
        <v>3499</v>
      </c>
      <c r="K110" s="40" t="n">
        <v>0.2</v>
      </c>
      <c r="L110" s="39" t="n">
        <f aca="false">VLOOKUP(H110,'Product List'!$A$3:$D$18,4,FALSE())</f>
        <v>2750</v>
      </c>
      <c r="M110" s="39" t="n">
        <f aca="false">I110*J110*(1-K110)</f>
        <v>2799.2</v>
      </c>
      <c r="N110" s="39" t="n">
        <f aca="false">I110*L110</f>
        <v>2750</v>
      </c>
      <c r="O110" s="39" t="n">
        <f aca="false">M110-N110</f>
        <v>49.2000000000003</v>
      </c>
      <c r="P110" s="41" t="n">
        <f aca="false">IF(M110=0,0,O110/M110)</f>
        <v>0.0175764504144042</v>
      </c>
      <c r="Q110" s="37" t="str">
        <f aca="false">IF(K110=0,"No discount",IF(K110&lt;=0.1,"1-10%",IF(K110&lt;=0.2,"11-20%",IF(K110&lt;=0.3,"21-30%","Above 30%"))))</f>
        <v>11-20%</v>
      </c>
      <c r="R110" s="39" t="n">
        <f aca="false">I110*J110*MAX(0,K110-DiscountCap)</f>
        <v>0</v>
      </c>
    </row>
    <row r="111" customFormat="false" ht="15" hidden="false" customHeight="false" outlineLevel="0" collapsed="false">
      <c r="A111" s="37" t="s">
        <v>255</v>
      </c>
      <c r="B111" s="38" t="n">
        <v>45696</v>
      </c>
      <c r="C111" s="37" t="n">
        <f aca="false">MONTH(B111)</f>
        <v>2</v>
      </c>
      <c r="D111" s="37" t="s">
        <v>142</v>
      </c>
      <c r="E111" s="37" t="s">
        <v>47</v>
      </c>
      <c r="F111" s="37" t="s">
        <v>97</v>
      </c>
      <c r="G111" s="37" t="s">
        <v>91</v>
      </c>
      <c r="H111" s="37" t="s">
        <v>118</v>
      </c>
      <c r="I111" s="37" t="n">
        <v>1</v>
      </c>
      <c r="J111" s="39" t="n">
        <v>2299</v>
      </c>
      <c r="K111" s="40" t="n">
        <v>0.05</v>
      </c>
      <c r="L111" s="39" t="n">
        <f aca="false">VLOOKUP(H111,'Product List'!$A$3:$D$18,4,FALSE())</f>
        <v>1300</v>
      </c>
      <c r="M111" s="39" t="n">
        <f aca="false">I111*J111*(1-K111)</f>
        <v>2184.05</v>
      </c>
      <c r="N111" s="39" t="n">
        <f aca="false">I111*L111</f>
        <v>1300</v>
      </c>
      <c r="O111" s="39" t="n">
        <f aca="false">M111-N111</f>
        <v>884.05</v>
      </c>
      <c r="P111" s="41" t="n">
        <f aca="false">IF(M111=0,0,O111/M111)</f>
        <v>0.404775531695703</v>
      </c>
      <c r="Q111" s="37" t="str">
        <f aca="false">IF(K111=0,"No discount",IF(K111&lt;=0.1,"1-10%",IF(K111&lt;=0.2,"11-20%",IF(K111&lt;=0.3,"21-30%","Above 30%"))))</f>
        <v>1-10%</v>
      </c>
      <c r="R111" s="39" t="n">
        <f aca="false">I111*J111*MAX(0,K111-DiscountCap)</f>
        <v>0</v>
      </c>
    </row>
    <row r="112" customFormat="false" ht="15" hidden="false" customHeight="false" outlineLevel="0" collapsed="false">
      <c r="A112" s="37" t="s">
        <v>256</v>
      </c>
      <c r="B112" s="38" t="n">
        <v>45708</v>
      </c>
      <c r="C112" s="37" t="n">
        <f aca="false">MONTH(B112)</f>
        <v>2</v>
      </c>
      <c r="D112" s="37" t="s">
        <v>136</v>
      </c>
      <c r="E112" s="37" t="s">
        <v>47</v>
      </c>
      <c r="F112" s="37" t="s">
        <v>97</v>
      </c>
      <c r="G112" s="37" t="s">
        <v>91</v>
      </c>
      <c r="H112" s="37" t="s">
        <v>119</v>
      </c>
      <c r="I112" s="37" t="n">
        <v>2</v>
      </c>
      <c r="J112" s="39" t="n">
        <v>1099</v>
      </c>
      <c r="K112" s="40" t="n">
        <v>0</v>
      </c>
      <c r="L112" s="39" t="n">
        <f aca="false">VLOOKUP(H112,'Product List'!$A$3:$D$18,4,FALSE())</f>
        <v>560</v>
      </c>
      <c r="M112" s="39" t="n">
        <f aca="false">I112*J112*(1-K112)</f>
        <v>2198</v>
      </c>
      <c r="N112" s="39" t="n">
        <f aca="false">I112*L112</f>
        <v>1120</v>
      </c>
      <c r="O112" s="39" t="n">
        <f aca="false">M112-N112</f>
        <v>1078</v>
      </c>
      <c r="P112" s="41" t="n">
        <f aca="false">IF(M112=0,0,O112/M112)</f>
        <v>0.490445859872611</v>
      </c>
      <c r="Q112" s="37" t="str">
        <f aca="false">IF(K112=0,"No discount",IF(K112&lt;=0.1,"1-10%",IF(K112&lt;=0.2,"11-20%",IF(K112&lt;=0.3,"21-30%","Above 30%"))))</f>
        <v>No discount</v>
      </c>
      <c r="R112" s="39" t="n">
        <f aca="false">I112*J112*MAX(0,K112-DiscountCap)</f>
        <v>0</v>
      </c>
    </row>
    <row r="113" customFormat="false" ht="15" hidden="false" customHeight="false" outlineLevel="0" collapsed="false">
      <c r="A113" s="37" t="s">
        <v>257</v>
      </c>
      <c r="B113" s="38" t="n">
        <v>45696</v>
      </c>
      <c r="C113" s="37" t="n">
        <f aca="false">MONTH(B113)</f>
        <v>2</v>
      </c>
      <c r="D113" s="37" t="s">
        <v>136</v>
      </c>
      <c r="E113" s="37" t="s">
        <v>47</v>
      </c>
      <c r="F113" s="37" t="s">
        <v>96</v>
      </c>
      <c r="G113" s="37" t="s">
        <v>91</v>
      </c>
      <c r="H113" s="37" t="s">
        <v>118</v>
      </c>
      <c r="I113" s="37" t="n">
        <v>1</v>
      </c>
      <c r="J113" s="39" t="n">
        <v>2299</v>
      </c>
      <c r="K113" s="40" t="n">
        <v>0.3</v>
      </c>
      <c r="L113" s="39" t="n">
        <f aca="false">VLOOKUP(H113,'Product List'!$A$3:$D$18,4,FALSE())</f>
        <v>1300</v>
      </c>
      <c r="M113" s="39" t="n">
        <f aca="false">I113*J113*(1-K113)</f>
        <v>1609.3</v>
      </c>
      <c r="N113" s="39" t="n">
        <f aca="false">I113*L113</f>
        <v>1300</v>
      </c>
      <c r="O113" s="39" t="n">
        <f aca="false">M113-N113</f>
        <v>309.3</v>
      </c>
      <c r="P113" s="41" t="n">
        <f aca="false">IF(M113=0,0,O113/M113)</f>
        <v>0.192195364444168</v>
      </c>
      <c r="Q113" s="37" t="str">
        <f aca="false">IF(K113=0,"No discount",IF(K113&lt;=0.1,"1-10%",IF(K113&lt;=0.2,"11-20%",IF(K113&lt;=0.3,"21-30%","Above 30%"))))</f>
        <v>21-30%</v>
      </c>
      <c r="R113" s="39" t="n">
        <f aca="false">I113*J113*MAX(0,K113-DiscountCap)</f>
        <v>229.9</v>
      </c>
    </row>
    <row r="114" customFormat="false" ht="15" hidden="false" customHeight="false" outlineLevel="0" collapsed="false">
      <c r="A114" s="37" t="s">
        <v>258</v>
      </c>
      <c r="B114" s="38" t="n">
        <v>45700</v>
      </c>
      <c r="C114" s="37" t="n">
        <f aca="false">MONTH(B114)</f>
        <v>2</v>
      </c>
      <c r="D114" s="37" t="s">
        <v>142</v>
      </c>
      <c r="E114" s="37" t="s">
        <v>47</v>
      </c>
      <c r="F114" s="37" t="s">
        <v>97</v>
      </c>
      <c r="G114" s="37" t="s">
        <v>91</v>
      </c>
      <c r="H114" s="37" t="s">
        <v>117</v>
      </c>
      <c r="I114" s="37" t="n">
        <v>1</v>
      </c>
      <c r="J114" s="39" t="n">
        <v>1499</v>
      </c>
      <c r="K114" s="40" t="n">
        <v>0.05</v>
      </c>
      <c r="L114" s="39" t="n">
        <f aca="false">VLOOKUP(H114,'Product List'!$A$3:$D$18,4,FALSE())</f>
        <v>780</v>
      </c>
      <c r="M114" s="39" t="n">
        <f aca="false">I114*J114*(1-K114)</f>
        <v>1424.05</v>
      </c>
      <c r="N114" s="39" t="n">
        <f aca="false">I114*L114</f>
        <v>780</v>
      </c>
      <c r="O114" s="39" t="n">
        <f aca="false">M114-N114</f>
        <v>644.05</v>
      </c>
      <c r="P114" s="41" t="n">
        <f aca="false">IF(M114=0,0,O114/M114)</f>
        <v>0.452266423229521</v>
      </c>
      <c r="Q114" s="37" t="str">
        <f aca="false">IF(K114=0,"No discount",IF(K114&lt;=0.1,"1-10%",IF(K114&lt;=0.2,"11-20%",IF(K114&lt;=0.3,"21-30%","Above 30%"))))</f>
        <v>1-10%</v>
      </c>
      <c r="R114" s="39" t="n">
        <f aca="false">I114*J114*MAX(0,K114-DiscountCap)</f>
        <v>0</v>
      </c>
    </row>
    <row r="115" customFormat="false" ht="15" hidden="false" customHeight="false" outlineLevel="0" collapsed="false">
      <c r="A115" s="37" t="s">
        <v>259</v>
      </c>
      <c r="B115" s="38" t="n">
        <v>45691</v>
      </c>
      <c r="C115" s="37" t="n">
        <f aca="false">MONTH(B115)</f>
        <v>2</v>
      </c>
      <c r="D115" s="37" t="s">
        <v>138</v>
      </c>
      <c r="E115" s="37" t="s">
        <v>46</v>
      </c>
      <c r="F115" s="37" t="s">
        <v>97</v>
      </c>
      <c r="G115" s="37" t="s">
        <v>90</v>
      </c>
      <c r="H115" s="37" t="s">
        <v>109</v>
      </c>
      <c r="I115" s="37" t="n">
        <v>1</v>
      </c>
      <c r="J115" s="39" t="n">
        <v>3499</v>
      </c>
      <c r="K115" s="40" t="n">
        <v>0.05</v>
      </c>
      <c r="L115" s="39" t="n">
        <f aca="false">VLOOKUP(H115,'Product List'!$A$3:$D$18,4,FALSE())</f>
        <v>2750</v>
      </c>
      <c r="M115" s="39" t="n">
        <f aca="false">I115*J115*(1-K115)</f>
        <v>3324.05</v>
      </c>
      <c r="N115" s="39" t="n">
        <f aca="false">I115*L115</f>
        <v>2750</v>
      </c>
      <c r="O115" s="39" t="n">
        <f aca="false">M115-N115</f>
        <v>574.05</v>
      </c>
      <c r="P115" s="41" t="n">
        <f aca="false">IF(M115=0,0,O115/M115)</f>
        <v>0.172695958243709</v>
      </c>
      <c r="Q115" s="37" t="str">
        <f aca="false">IF(K115=0,"No discount",IF(K115&lt;=0.1,"1-10%",IF(K115&lt;=0.2,"11-20%",IF(K115&lt;=0.3,"21-30%","Above 30%"))))</f>
        <v>1-10%</v>
      </c>
      <c r="R115" s="39" t="n">
        <f aca="false">I115*J115*MAX(0,K115-DiscountCap)</f>
        <v>0</v>
      </c>
    </row>
    <row r="116" customFormat="false" ht="15" hidden="false" customHeight="false" outlineLevel="0" collapsed="false">
      <c r="A116" s="37" t="s">
        <v>260</v>
      </c>
      <c r="B116" s="38" t="n">
        <v>45706</v>
      </c>
      <c r="C116" s="37" t="n">
        <f aca="false">MONTH(B116)</f>
        <v>2</v>
      </c>
      <c r="D116" s="37" t="s">
        <v>146</v>
      </c>
      <c r="E116" s="37" t="s">
        <v>45</v>
      </c>
      <c r="F116" s="37" t="s">
        <v>97</v>
      </c>
      <c r="G116" s="37" t="s">
        <v>92</v>
      </c>
      <c r="H116" s="37" t="s">
        <v>114</v>
      </c>
      <c r="I116" s="37" t="n">
        <v>1</v>
      </c>
      <c r="J116" s="39" t="n">
        <v>1199</v>
      </c>
      <c r="K116" s="40" t="n">
        <v>0.1</v>
      </c>
      <c r="L116" s="39" t="n">
        <f aca="false">VLOOKUP(H116,'Product List'!$A$3:$D$18,4,FALSE())</f>
        <v>780</v>
      </c>
      <c r="M116" s="39" t="n">
        <f aca="false">I116*J116*(1-K116)</f>
        <v>1079.1</v>
      </c>
      <c r="N116" s="39" t="n">
        <f aca="false">I116*L116</f>
        <v>780</v>
      </c>
      <c r="O116" s="39" t="n">
        <f aca="false">M116-N116</f>
        <v>299.1</v>
      </c>
      <c r="P116" s="41" t="n">
        <f aca="false">IF(M116=0,0,O116/M116)</f>
        <v>0.277175423964415</v>
      </c>
      <c r="Q116" s="37" t="str">
        <f aca="false">IF(K116=0,"No discount",IF(K116&lt;=0.1,"1-10%",IF(K116&lt;=0.2,"11-20%",IF(K116&lt;=0.3,"21-30%","Above 30%"))))</f>
        <v>1-10%</v>
      </c>
      <c r="R116" s="39" t="n">
        <f aca="false">I116*J116*MAX(0,K116-DiscountCap)</f>
        <v>0</v>
      </c>
    </row>
    <row r="117" customFormat="false" ht="15" hidden="false" customHeight="false" outlineLevel="0" collapsed="false">
      <c r="A117" s="37" t="s">
        <v>261</v>
      </c>
      <c r="B117" s="38" t="n">
        <v>45700</v>
      </c>
      <c r="C117" s="37" t="n">
        <f aca="false">MONTH(B117)</f>
        <v>2</v>
      </c>
      <c r="D117" s="37" t="s">
        <v>142</v>
      </c>
      <c r="E117" s="37" t="s">
        <v>47</v>
      </c>
      <c r="F117" s="37" t="s">
        <v>96</v>
      </c>
      <c r="G117" s="37" t="s">
        <v>91</v>
      </c>
      <c r="H117" s="37" t="s">
        <v>119</v>
      </c>
      <c r="I117" s="37" t="n">
        <v>4</v>
      </c>
      <c r="J117" s="39" t="n">
        <v>1099</v>
      </c>
      <c r="K117" s="40" t="n">
        <v>0.2</v>
      </c>
      <c r="L117" s="39" t="n">
        <f aca="false">VLOOKUP(H117,'Product List'!$A$3:$D$18,4,FALSE())</f>
        <v>560</v>
      </c>
      <c r="M117" s="39" t="n">
        <f aca="false">I117*J117*(1-K117)</f>
        <v>3516.8</v>
      </c>
      <c r="N117" s="39" t="n">
        <f aca="false">I117*L117</f>
        <v>2240</v>
      </c>
      <c r="O117" s="39" t="n">
        <f aca="false">M117-N117</f>
        <v>1276.8</v>
      </c>
      <c r="P117" s="41" t="n">
        <f aca="false">IF(M117=0,0,O117/M117)</f>
        <v>0.363057324840764</v>
      </c>
      <c r="Q117" s="37" t="str">
        <f aca="false">IF(K117=0,"No discount",IF(K117&lt;=0.1,"1-10%",IF(K117&lt;=0.2,"11-20%",IF(K117&lt;=0.3,"21-30%","Above 30%"))))</f>
        <v>11-20%</v>
      </c>
      <c r="R117" s="39" t="n">
        <f aca="false">I117*J117*MAX(0,K117-DiscountCap)</f>
        <v>0</v>
      </c>
    </row>
    <row r="118" customFormat="false" ht="15" hidden="false" customHeight="false" outlineLevel="0" collapsed="false">
      <c r="A118" s="37" t="s">
        <v>262</v>
      </c>
      <c r="B118" s="38" t="n">
        <v>45699</v>
      </c>
      <c r="C118" s="37" t="n">
        <f aca="false">MONTH(B118)</f>
        <v>2</v>
      </c>
      <c r="D118" s="37" t="s">
        <v>140</v>
      </c>
      <c r="E118" s="37" t="s">
        <v>44</v>
      </c>
      <c r="F118" s="37" t="s">
        <v>96</v>
      </c>
      <c r="G118" s="37" t="s">
        <v>91</v>
      </c>
      <c r="H118" s="37" t="s">
        <v>118</v>
      </c>
      <c r="I118" s="37" t="n">
        <v>1</v>
      </c>
      <c r="J118" s="39" t="n">
        <v>2299</v>
      </c>
      <c r="K118" s="40" t="n">
        <v>0.1</v>
      </c>
      <c r="L118" s="39" t="n">
        <f aca="false">VLOOKUP(H118,'Product List'!$A$3:$D$18,4,FALSE())</f>
        <v>1300</v>
      </c>
      <c r="M118" s="39" t="n">
        <f aca="false">I118*J118*(1-K118)</f>
        <v>2069.1</v>
      </c>
      <c r="N118" s="39" t="n">
        <f aca="false">I118*L118</f>
        <v>1300</v>
      </c>
      <c r="O118" s="39" t="n">
        <f aca="false">M118-N118</f>
        <v>769.1</v>
      </c>
      <c r="P118" s="41" t="n">
        <f aca="false">IF(M118=0,0,O118/M118)</f>
        <v>0.371707505678798</v>
      </c>
      <c r="Q118" s="37" t="str">
        <f aca="false">IF(K118=0,"No discount",IF(K118&lt;=0.1,"1-10%",IF(K118&lt;=0.2,"11-20%",IF(K118&lt;=0.3,"21-30%","Above 30%"))))</f>
        <v>1-10%</v>
      </c>
      <c r="R118" s="39" t="n">
        <f aca="false">I118*J118*MAX(0,K118-DiscountCap)</f>
        <v>0</v>
      </c>
    </row>
    <row r="119" customFormat="false" ht="15" hidden="false" customHeight="false" outlineLevel="0" collapsed="false">
      <c r="A119" s="37" t="s">
        <v>263</v>
      </c>
      <c r="B119" s="38" t="n">
        <v>45698</v>
      </c>
      <c r="C119" s="37" t="n">
        <f aca="false">MONTH(B119)</f>
        <v>2</v>
      </c>
      <c r="D119" s="37" t="s">
        <v>134</v>
      </c>
      <c r="E119" s="37" t="s">
        <v>45</v>
      </c>
      <c r="F119" s="37" t="s">
        <v>97</v>
      </c>
      <c r="G119" s="37" t="s">
        <v>90</v>
      </c>
      <c r="H119" s="37" t="s">
        <v>111</v>
      </c>
      <c r="I119" s="37" t="n">
        <v>2</v>
      </c>
      <c r="J119" s="39" t="n">
        <v>2499</v>
      </c>
      <c r="K119" s="40" t="n">
        <v>0.1</v>
      </c>
      <c r="L119" s="39" t="n">
        <f aca="false">VLOOKUP(H119,'Product List'!$A$3:$D$18,4,FALSE())</f>
        <v>1950</v>
      </c>
      <c r="M119" s="39" t="n">
        <f aca="false">I119*J119*(1-K119)</f>
        <v>4498.2</v>
      </c>
      <c r="N119" s="39" t="n">
        <f aca="false">I119*L119</f>
        <v>3900</v>
      </c>
      <c r="O119" s="39" t="n">
        <f aca="false">M119-N119</f>
        <v>598.2</v>
      </c>
      <c r="P119" s="41" t="n">
        <f aca="false">IF(M119=0,0,O119/M119)</f>
        <v>0.132986527944511</v>
      </c>
      <c r="Q119" s="37" t="str">
        <f aca="false">IF(K119=0,"No discount",IF(K119&lt;=0.1,"1-10%",IF(K119&lt;=0.2,"11-20%",IF(K119&lt;=0.3,"21-30%","Above 30%"))))</f>
        <v>1-10%</v>
      </c>
      <c r="R119" s="39" t="n">
        <f aca="false">I119*J119*MAX(0,K119-DiscountCap)</f>
        <v>0</v>
      </c>
    </row>
    <row r="120" customFormat="false" ht="15" hidden="false" customHeight="false" outlineLevel="0" collapsed="false">
      <c r="A120" s="37" t="s">
        <v>264</v>
      </c>
      <c r="B120" s="38" t="n">
        <v>45695</v>
      </c>
      <c r="C120" s="37" t="n">
        <f aca="false">MONTH(B120)</f>
        <v>2</v>
      </c>
      <c r="D120" s="37" t="s">
        <v>138</v>
      </c>
      <c r="E120" s="37" t="s">
        <v>46</v>
      </c>
      <c r="F120" s="37" t="s">
        <v>96</v>
      </c>
      <c r="G120" s="37" t="s">
        <v>93</v>
      </c>
      <c r="H120" s="37" t="s">
        <v>123</v>
      </c>
      <c r="I120" s="37" t="n">
        <v>1</v>
      </c>
      <c r="J120" s="39" t="n">
        <v>1299</v>
      </c>
      <c r="K120" s="40" t="n">
        <v>0.2</v>
      </c>
      <c r="L120" s="39" t="n">
        <f aca="false">VLOOKUP(H120,'Product List'!$A$3:$D$18,4,FALSE())</f>
        <v>700</v>
      </c>
      <c r="M120" s="39" t="n">
        <f aca="false">I120*J120*(1-K120)</f>
        <v>1039.2</v>
      </c>
      <c r="N120" s="39" t="n">
        <f aca="false">I120*L120</f>
        <v>700</v>
      </c>
      <c r="O120" s="39" t="n">
        <f aca="false">M120-N120</f>
        <v>339.2</v>
      </c>
      <c r="P120" s="41" t="n">
        <f aca="false">IF(M120=0,0,O120/M120)</f>
        <v>0.326404926866821</v>
      </c>
      <c r="Q120" s="37" t="str">
        <f aca="false">IF(K120=0,"No discount",IF(K120&lt;=0.1,"1-10%",IF(K120&lt;=0.2,"11-20%",IF(K120&lt;=0.3,"21-30%","Above 30%"))))</f>
        <v>11-20%</v>
      </c>
      <c r="R120" s="39" t="n">
        <f aca="false">I120*J120*MAX(0,K120-DiscountCap)</f>
        <v>0</v>
      </c>
    </row>
    <row r="121" customFormat="false" ht="15" hidden="false" customHeight="false" outlineLevel="0" collapsed="false">
      <c r="A121" s="37" t="s">
        <v>265</v>
      </c>
      <c r="B121" s="38" t="n">
        <v>45694</v>
      </c>
      <c r="C121" s="37" t="n">
        <f aca="false">MONTH(B121)</f>
        <v>2</v>
      </c>
      <c r="D121" s="37" t="s">
        <v>142</v>
      </c>
      <c r="E121" s="37" t="s">
        <v>47</v>
      </c>
      <c r="F121" s="37" t="s">
        <v>96</v>
      </c>
      <c r="G121" s="37" t="s">
        <v>90</v>
      </c>
      <c r="H121" s="37" t="s">
        <v>110</v>
      </c>
      <c r="I121" s="37" t="n">
        <v>2</v>
      </c>
      <c r="J121" s="39" t="n">
        <v>1299</v>
      </c>
      <c r="K121" s="40" t="n">
        <v>0.2</v>
      </c>
      <c r="L121" s="39" t="n">
        <f aca="false">VLOOKUP(H121,'Product List'!$A$3:$D$18,4,FALSE())</f>
        <v>1000</v>
      </c>
      <c r="M121" s="39" t="n">
        <f aca="false">I121*J121*(1-K121)</f>
        <v>2078.4</v>
      </c>
      <c r="N121" s="39" t="n">
        <f aca="false">I121*L121</f>
        <v>2000</v>
      </c>
      <c r="O121" s="39" t="n">
        <f aca="false">M121-N121</f>
        <v>78.4000000000001</v>
      </c>
      <c r="P121" s="41" t="n">
        <f aca="false">IF(M121=0,0,O121/M121)</f>
        <v>0.0377213240954581</v>
      </c>
      <c r="Q121" s="37" t="str">
        <f aca="false">IF(K121=0,"No discount",IF(K121&lt;=0.1,"1-10%",IF(K121&lt;=0.2,"11-20%",IF(K121&lt;=0.3,"21-30%","Above 30%"))))</f>
        <v>11-20%</v>
      </c>
      <c r="R121" s="39" t="n">
        <f aca="false">I121*J121*MAX(0,K121-DiscountCap)</f>
        <v>0</v>
      </c>
    </row>
    <row r="122" customFormat="false" ht="15" hidden="false" customHeight="false" outlineLevel="0" collapsed="false">
      <c r="A122" s="37" t="s">
        <v>266</v>
      </c>
      <c r="B122" s="38" t="n">
        <v>45698</v>
      </c>
      <c r="C122" s="37" t="n">
        <f aca="false">MONTH(B122)</f>
        <v>2</v>
      </c>
      <c r="D122" s="37" t="s">
        <v>134</v>
      </c>
      <c r="E122" s="37" t="s">
        <v>45</v>
      </c>
      <c r="F122" s="37" t="s">
        <v>97</v>
      </c>
      <c r="G122" s="37" t="s">
        <v>91</v>
      </c>
      <c r="H122" s="37" t="s">
        <v>119</v>
      </c>
      <c r="I122" s="37" t="n">
        <v>1</v>
      </c>
      <c r="J122" s="39" t="n">
        <v>1099</v>
      </c>
      <c r="K122" s="40" t="n">
        <v>0.05</v>
      </c>
      <c r="L122" s="39" t="n">
        <f aca="false">VLOOKUP(H122,'Product List'!$A$3:$D$18,4,FALSE())</f>
        <v>560</v>
      </c>
      <c r="M122" s="39" t="n">
        <f aca="false">I122*J122*(1-K122)</f>
        <v>1044.05</v>
      </c>
      <c r="N122" s="39" t="n">
        <f aca="false">I122*L122</f>
        <v>560</v>
      </c>
      <c r="O122" s="39" t="n">
        <f aca="false">M122-N122</f>
        <v>484.05</v>
      </c>
      <c r="P122" s="41" t="n">
        <f aca="false">IF(M122=0,0,O122/M122)</f>
        <v>0.463627220918538</v>
      </c>
      <c r="Q122" s="37" t="str">
        <f aca="false">IF(K122=0,"No discount",IF(K122&lt;=0.1,"1-10%",IF(K122&lt;=0.2,"11-20%",IF(K122&lt;=0.3,"21-30%","Above 30%"))))</f>
        <v>1-10%</v>
      </c>
      <c r="R122" s="39" t="n">
        <f aca="false">I122*J122*MAX(0,K122-DiscountCap)</f>
        <v>0</v>
      </c>
    </row>
    <row r="123" customFormat="false" ht="15" hidden="false" customHeight="false" outlineLevel="0" collapsed="false">
      <c r="A123" s="37" t="s">
        <v>267</v>
      </c>
      <c r="B123" s="38" t="n">
        <v>45705</v>
      </c>
      <c r="C123" s="37" t="n">
        <f aca="false">MONTH(B123)</f>
        <v>2</v>
      </c>
      <c r="D123" s="37" t="s">
        <v>136</v>
      </c>
      <c r="E123" s="37" t="s">
        <v>47</v>
      </c>
      <c r="F123" s="37" t="s">
        <v>96</v>
      </c>
      <c r="G123" s="37" t="s">
        <v>92</v>
      </c>
      <c r="H123" s="37" t="s">
        <v>115</v>
      </c>
      <c r="I123" s="37" t="n">
        <v>2</v>
      </c>
      <c r="J123" s="39" t="n">
        <v>1799</v>
      </c>
      <c r="K123" s="40" t="n">
        <v>0.1</v>
      </c>
      <c r="L123" s="39" t="n">
        <f aca="false">VLOOKUP(H123,'Product List'!$A$3:$D$18,4,FALSE())</f>
        <v>1150</v>
      </c>
      <c r="M123" s="39" t="n">
        <f aca="false">I123*J123*(1-K123)</f>
        <v>3238.2</v>
      </c>
      <c r="N123" s="39" t="n">
        <f aca="false">I123*L123</f>
        <v>2300</v>
      </c>
      <c r="O123" s="39" t="n">
        <f aca="false">M123-N123</f>
        <v>938.2</v>
      </c>
      <c r="P123" s="41" t="n">
        <f aca="false">IF(M123=0,0,O123/M123)</f>
        <v>0.289728861713298</v>
      </c>
      <c r="Q123" s="37" t="str">
        <f aca="false">IF(K123=0,"No discount",IF(K123&lt;=0.1,"1-10%",IF(K123&lt;=0.2,"11-20%",IF(K123&lt;=0.3,"21-30%","Above 30%"))))</f>
        <v>1-10%</v>
      </c>
      <c r="R123" s="39" t="n">
        <f aca="false">I123*J123*MAX(0,K123-DiscountCap)</f>
        <v>0</v>
      </c>
    </row>
    <row r="124" customFormat="false" ht="15" hidden="false" customHeight="false" outlineLevel="0" collapsed="false">
      <c r="A124" s="37" t="s">
        <v>268</v>
      </c>
      <c r="B124" s="38" t="n">
        <v>45694</v>
      </c>
      <c r="C124" s="37" t="n">
        <f aca="false">MONTH(B124)</f>
        <v>2</v>
      </c>
      <c r="D124" s="37" t="s">
        <v>144</v>
      </c>
      <c r="E124" s="37" t="s">
        <v>45</v>
      </c>
      <c r="F124" s="37" t="s">
        <v>97</v>
      </c>
      <c r="G124" s="37" t="s">
        <v>91</v>
      </c>
      <c r="H124" s="37" t="s">
        <v>117</v>
      </c>
      <c r="I124" s="37" t="n">
        <v>3</v>
      </c>
      <c r="J124" s="39" t="n">
        <v>1499</v>
      </c>
      <c r="K124" s="40" t="n">
        <v>0</v>
      </c>
      <c r="L124" s="39" t="n">
        <f aca="false">VLOOKUP(H124,'Product List'!$A$3:$D$18,4,FALSE())</f>
        <v>780</v>
      </c>
      <c r="M124" s="39" t="n">
        <f aca="false">I124*J124*(1-K124)</f>
        <v>4497</v>
      </c>
      <c r="N124" s="39" t="n">
        <f aca="false">I124*L124</f>
        <v>2340</v>
      </c>
      <c r="O124" s="39" t="n">
        <f aca="false">M124-N124</f>
        <v>2157</v>
      </c>
      <c r="P124" s="41" t="n">
        <f aca="false">IF(M124=0,0,O124/M124)</f>
        <v>0.479653102068045</v>
      </c>
      <c r="Q124" s="37" t="str">
        <f aca="false">IF(K124=0,"No discount",IF(K124&lt;=0.1,"1-10%",IF(K124&lt;=0.2,"11-20%",IF(K124&lt;=0.3,"21-30%","Above 30%"))))</f>
        <v>No discount</v>
      </c>
      <c r="R124" s="39" t="n">
        <f aca="false">I124*J124*MAX(0,K124-DiscountCap)</f>
        <v>0</v>
      </c>
    </row>
    <row r="125" customFormat="false" ht="15" hidden="false" customHeight="false" outlineLevel="0" collapsed="false">
      <c r="A125" s="37" t="s">
        <v>269</v>
      </c>
      <c r="B125" s="38" t="n">
        <v>45695</v>
      </c>
      <c r="C125" s="37" t="n">
        <f aca="false">MONTH(B125)</f>
        <v>2</v>
      </c>
      <c r="D125" s="37" t="s">
        <v>142</v>
      </c>
      <c r="E125" s="37" t="s">
        <v>47</v>
      </c>
      <c r="F125" s="37" t="s">
        <v>97</v>
      </c>
      <c r="G125" s="37" t="s">
        <v>93</v>
      </c>
      <c r="H125" s="37" t="s">
        <v>121</v>
      </c>
      <c r="I125" s="37" t="n">
        <v>2</v>
      </c>
      <c r="J125" s="39" t="n">
        <v>999</v>
      </c>
      <c r="K125" s="40" t="n">
        <v>0.1</v>
      </c>
      <c r="L125" s="39" t="n">
        <f aca="false">VLOOKUP(H125,'Product List'!$A$3:$D$18,4,FALSE())</f>
        <v>500</v>
      </c>
      <c r="M125" s="39" t="n">
        <f aca="false">I125*J125*(1-K125)</f>
        <v>1798.2</v>
      </c>
      <c r="N125" s="39" t="n">
        <f aca="false">I125*L125</f>
        <v>1000</v>
      </c>
      <c r="O125" s="39" t="n">
        <f aca="false">M125-N125</f>
        <v>798.2</v>
      </c>
      <c r="P125" s="41" t="n">
        <f aca="false">IF(M125=0,0,O125/M125)</f>
        <v>0.443888332777222</v>
      </c>
      <c r="Q125" s="37" t="str">
        <f aca="false">IF(K125=0,"No discount",IF(K125&lt;=0.1,"1-10%",IF(K125&lt;=0.2,"11-20%",IF(K125&lt;=0.3,"21-30%","Above 30%"))))</f>
        <v>1-10%</v>
      </c>
      <c r="R125" s="39" t="n">
        <f aca="false">I125*J125*MAX(0,K125-DiscountCap)</f>
        <v>0</v>
      </c>
    </row>
    <row r="126" customFormat="false" ht="15" hidden="false" customHeight="false" outlineLevel="0" collapsed="false">
      <c r="A126" s="37" t="s">
        <v>270</v>
      </c>
      <c r="B126" s="38" t="n">
        <v>45691</v>
      </c>
      <c r="C126" s="37" t="n">
        <f aca="false">MONTH(B126)</f>
        <v>2</v>
      </c>
      <c r="D126" s="37" t="s">
        <v>134</v>
      </c>
      <c r="E126" s="37" t="s">
        <v>45</v>
      </c>
      <c r="F126" s="37" t="s">
        <v>97</v>
      </c>
      <c r="G126" s="37" t="s">
        <v>90</v>
      </c>
      <c r="H126" s="37" t="s">
        <v>110</v>
      </c>
      <c r="I126" s="37" t="n">
        <v>2</v>
      </c>
      <c r="J126" s="39" t="n">
        <v>1299</v>
      </c>
      <c r="K126" s="40" t="n">
        <v>0.25</v>
      </c>
      <c r="L126" s="39" t="n">
        <f aca="false">VLOOKUP(H126,'Product List'!$A$3:$D$18,4,FALSE())</f>
        <v>1000</v>
      </c>
      <c r="M126" s="39" t="n">
        <f aca="false">I126*J126*(1-K126)</f>
        <v>1948.5</v>
      </c>
      <c r="N126" s="39" t="n">
        <f aca="false">I126*L126</f>
        <v>2000</v>
      </c>
      <c r="O126" s="39" t="n">
        <f aca="false">M126-N126</f>
        <v>-51.5</v>
      </c>
      <c r="P126" s="41" t="n">
        <f aca="false">IF(M126=0,0,O126/M126)</f>
        <v>-0.0264305876315114</v>
      </c>
      <c r="Q126" s="37" t="str">
        <f aca="false">IF(K126=0,"No discount",IF(K126&lt;=0.1,"1-10%",IF(K126&lt;=0.2,"11-20%",IF(K126&lt;=0.3,"21-30%","Above 30%"))))</f>
        <v>21-30%</v>
      </c>
      <c r="R126" s="39" t="n">
        <f aca="false">I126*J126*MAX(0,K126-DiscountCap)</f>
        <v>129.9</v>
      </c>
    </row>
    <row r="127" customFormat="false" ht="15" hidden="false" customHeight="false" outlineLevel="0" collapsed="false">
      <c r="A127" s="37" t="s">
        <v>271</v>
      </c>
      <c r="B127" s="38" t="n">
        <v>45703</v>
      </c>
      <c r="C127" s="37" t="n">
        <f aca="false">MONTH(B127)</f>
        <v>2</v>
      </c>
      <c r="D127" s="37" t="s">
        <v>138</v>
      </c>
      <c r="E127" s="37" t="s">
        <v>46</v>
      </c>
      <c r="F127" s="37" t="s">
        <v>96</v>
      </c>
      <c r="G127" s="37" t="s">
        <v>92</v>
      </c>
      <c r="H127" s="37" t="s">
        <v>112</v>
      </c>
      <c r="I127" s="37" t="n">
        <v>2</v>
      </c>
      <c r="J127" s="39" t="n">
        <v>3299</v>
      </c>
      <c r="K127" s="40" t="n">
        <v>0.1</v>
      </c>
      <c r="L127" s="39" t="n">
        <f aca="false">VLOOKUP(H127,'Product List'!$A$3:$D$18,4,FALSE())</f>
        <v>2250</v>
      </c>
      <c r="M127" s="39" t="n">
        <f aca="false">I127*J127*(1-K127)</f>
        <v>5938.2</v>
      </c>
      <c r="N127" s="39" t="n">
        <f aca="false">I127*L127</f>
        <v>4500</v>
      </c>
      <c r="O127" s="39" t="n">
        <f aca="false">M127-N127</f>
        <v>1438.2</v>
      </c>
      <c r="P127" s="41" t="n">
        <f aca="false">IF(M127=0,0,O127/M127)</f>
        <v>0.242194604425584</v>
      </c>
      <c r="Q127" s="37" t="str">
        <f aca="false">IF(K127=0,"No discount",IF(K127&lt;=0.1,"1-10%",IF(K127&lt;=0.2,"11-20%",IF(K127&lt;=0.3,"21-30%","Above 30%"))))</f>
        <v>1-10%</v>
      </c>
      <c r="R127" s="39" t="n">
        <f aca="false">I127*J127*MAX(0,K127-DiscountCap)</f>
        <v>0</v>
      </c>
    </row>
    <row r="128" customFormat="false" ht="15" hidden="false" customHeight="false" outlineLevel="0" collapsed="false">
      <c r="A128" s="37" t="s">
        <v>272</v>
      </c>
      <c r="B128" s="38" t="n">
        <v>45703</v>
      </c>
      <c r="C128" s="37" t="n">
        <f aca="false">MONTH(B128)</f>
        <v>2</v>
      </c>
      <c r="D128" s="37" t="s">
        <v>166</v>
      </c>
      <c r="E128" s="37" t="s">
        <v>44</v>
      </c>
      <c r="F128" s="37" t="s">
        <v>97</v>
      </c>
      <c r="G128" s="37" t="s">
        <v>91</v>
      </c>
      <c r="H128" s="37" t="s">
        <v>116</v>
      </c>
      <c r="I128" s="37" t="n">
        <v>2</v>
      </c>
      <c r="J128" s="39" t="n">
        <v>899</v>
      </c>
      <c r="K128" s="40" t="n">
        <v>0</v>
      </c>
      <c r="L128" s="39" t="n">
        <f aca="false">VLOOKUP(H128,'Product List'!$A$3:$D$18,4,FALSE())</f>
        <v>430</v>
      </c>
      <c r="M128" s="39" t="n">
        <f aca="false">I128*J128*(1-K128)</f>
        <v>1798</v>
      </c>
      <c r="N128" s="39" t="n">
        <f aca="false">I128*L128</f>
        <v>860</v>
      </c>
      <c r="O128" s="39" t="n">
        <f aca="false">M128-N128</f>
        <v>938</v>
      </c>
      <c r="P128" s="41" t="n">
        <f aca="false">IF(M128=0,0,O128/M128)</f>
        <v>0.521690767519466</v>
      </c>
      <c r="Q128" s="37" t="str">
        <f aca="false">IF(K128=0,"No discount",IF(K128&lt;=0.1,"1-10%",IF(K128&lt;=0.2,"11-20%",IF(K128&lt;=0.3,"21-30%","Above 30%"))))</f>
        <v>No discount</v>
      </c>
      <c r="R128" s="39" t="n">
        <f aca="false">I128*J128*MAX(0,K128-DiscountCap)</f>
        <v>0</v>
      </c>
    </row>
    <row r="129" customFormat="false" ht="15" hidden="false" customHeight="false" outlineLevel="0" collapsed="false">
      <c r="A129" s="37" t="s">
        <v>273</v>
      </c>
      <c r="B129" s="38" t="n">
        <v>45711</v>
      </c>
      <c r="C129" s="37" t="n">
        <f aca="false">MONTH(B129)</f>
        <v>2</v>
      </c>
      <c r="D129" s="37" t="s">
        <v>154</v>
      </c>
      <c r="E129" s="37" t="s">
        <v>47</v>
      </c>
      <c r="F129" s="37" t="s">
        <v>96</v>
      </c>
      <c r="G129" s="37" t="s">
        <v>90</v>
      </c>
      <c r="H129" s="37" t="s">
        <v>108</v>
      </c>
      <c r="I129" s="37" t="n">
        <v>1</v>
      </c>
      <c r="J129" s="39" t="n">
        <v>1999</v>
      </c>
      <c r="K129" s="40" t="n">
        <v>0.15</v>
      </c>
      <c r="L129" s="39" t="n">
        <f aca="false">VLOOKUP(H129,'Product List'!$A$3:$D$18,4,FALSE())</f>
        <v>1560</v>
      </c>
      <c r="M129" s="39" t="n">
        <f aca="false">I129*J129*(1-K129)</f>
        <v>1699.15</v>
      </c>
      <c r="N129" s="39" t="n">
        <f aca="false">I129*L129</f>
        <v>1560</v>
      </c>
      <c r="O129" s="39" t="n">
        <f aca="false">M129-N129</f>
        <v>139.15</v>
      </c>
      <c r="P129" s="41" t="n">
        <f aca="false">IF(M129=0,0,O129/M129)</f>
        <v>0.0818938881205308</v>
      </c>
      <c r="Q129" s="37" t="str">
        <f aca="false">IF(K129=0,"No discount",IF(K129&lt;=0.1,"1-10%",IF(K129&lt;=0.2,"11-20%",IF(K129&lt;=0.3,"21-30%","Above 30%"))))</f>
        <v>11-20%</v>
      </c>
      <c r="R129" s="39" t="n">
        <f aca="false">I129*J129*MAX(0,K129-DiscountCap)</f>
        <v>0</v>
      </c>
    </row>
    <row r="130" customFormat="false" ht="15" hidden="false" customHeight="false" outlineLevel="0" collapsed="false">
      <c r="A130" s="37" t="s">
        <v>274</v>
      </c>
      <c r="B130" s="38" t="n">
        <v>45690</v>
      </c>
      <c r="C130" s="37" t="n">
        <f aca="false">MONTH(B130)</f>
        <v>2</v>
      </c>
      <c r="D130" s="37" t="s">
        <v>144</v>
      </c>
      <c r="E130" s="37" t="s">
        <v>45</v>
      </c>
      <c r="F130" s="37" t="s">
        <v>96</v>
      </c>
      <c r="G130" s="37" t="s">
        <v>91</v>
      </c>
      <c r="H130" s="37" t="s">
        <v>116</v>
      </c>
      <c r="I130" s="37" t="n">
        <v>2</v>
      </c>
      <c r="J130" s="39" t="n">
        <v>899</v>
      </c>
      <c r="K130" s="40" t="n">
        <v>0.15</v>
      </c>
      <c r="L130" s="39" t="n">
        <f aca="false">VLOOKUP(H130,'Product List'!$A$3:$D$18,4,FALSE())</f>
        <v>430</v>
      </c>
      <c r="M130" s="39" t="n">
        <f aca="false">I130*J130*(1-K130)</f>
        <v>1528.3</v>
      </c>
      <c r="N130" s="39" t="n">
        <f aca="false">I130*L130</f>
        <v>860</v>
      </c>
      <c r="O130" s="39" t="n">
        <f aca="false">M130-N130</f>
        <v>668.3</v>
      </c>
      <c r="P130" s="41" t="n">
        <f aca="false">IF(M130=0,0,O130/M130)</f>
        <v>0.437283255905254</v>
      </c>
      <c r="Q130" s="37" t="str">
        <f aca="false">IF(K130=0,"No discount",IF(K130&lt;=0.1,"1-10%",IF(K130&lt;=0.2,"11-20%",IF(K130&lt;=0.3,"21-30%","Above 30%"))))</f>
        <v>11-20%</v>
      </c>
      <c r="R130" s="39" t="n">
        <f aca="false">I130*J130*MAX(0,K130-DiscountCap)</f>
        <v>0</v>
      </c>
    </row>
    <row r="131" customFormat="false" ht="15" hidden="false" customHeight="false" outlineLevel="0" collapsed="false">
      <c r="A131" s="37" t="s">
        <v>275</v>
      </c>
      <c r="B131" s="38" t="n">
        <v>45716</v>
      </c>
      <c r="C131" s="37" t="n">
        <f aca="false">MONTH(B131)</f>
        <v>2</v>
      </c>
      <c r="D131" s="37" t="s">
        <v>146</v>
      </c>
      <c r="E131" s="37" t="s">
        <v>45</v>
      </c>
      <c r="F131" s="37" t="s">
        <v>97</v>
      </c>
      <c r="G131" s="37" t="s">
        <v>91</v>
      </c>
      <c r="H131" s="37" t="s">
        <v>117</v>
      </c>
      <c r="I131" s="37" t="n">
        <v>2</v>
      </c>
      <c r="J131" s="39" t="n">
        <v>1499</v>
      </c>
      <c r="K131" s="40" t="n">
        <v>0.1</v>
      </c>
      <c r="L131" s="39" t="n">
        <f aca="false">VLOOKUP(H131,'Product List'!$A$3:$D$18,4,FALSE())</f>
        <v>780</v>
      </c>
      <c r="M131" s="39" t="n">
        <f aca="false">I131*J131*(1-K131)</f>
        <v>2698.2</v>
      </c>
      <c r="N131" s="39" t="n">
        <f aca="false">I131*L131</f>
        <v>1560</v>
      </c>
      <c r="O131" s="39" t="n">
        <f aca="false">M131-N131</f>
        <v>1138.2</v>
      </c>
      <c r="P131" s="41" t="n">
        <f aca="false">IF(M131=0,0,O131/M131)</f>
        <v>0.421836780075606</v>
      </c>
      <c r="Q131" s="37" t="str">
        <f aca="false">IF(K131=0,"No discount",IF(K131&lt;=0.1,"1-10%",IF(K131&lt;=0.2,"11-20%",IF(K131&lt;=0.3,"21-30%","Above 30%"))))</f>
        <v>1-10%</v>
      </c>
      <c r="R131" s="39" t="n">
        <f aca="false">I131*J131*MAX(0,K131-DiscountCap)</f>
        <v>0</v>
      </c>
    </row>
    <row r="132" customFormat="false" ht="15" hidden="false" customHeight="false" outlineLevel="0" collapsed="false">
      <c r="A132" s="37" t="s">
        <v>276</v>
      </c>
      <c r="B132" s="38" t="n">
        <v>45709</v>
      </c>
      <c r="C132" s="37" t="n">
        <f aca="false">MONTH(B132)</f>
        <v>2</v>
      </c>
      <c r="D132" s="37" t="s">
        <v>144</v>
      </c>
      <c r="E132" s="37" t="s">
        <v>45</v>
      </c>
      <c r="F132" s="37" t="s">
        <v>97</v>
      </c>
      <c r="G132" s="37" t="s">
        <v>92</v>
      </c>
      <c r="H132" s="37" t="s">
        <v>114</v>
      </c>
      <c r="I132" s="37" t="n">
        <v>2</v>
      </c>
      <c r="J132" s="39" t="n">
        <v>1199</v>
      </c>
      <c r="K132" s="40" t="n">
        <v>0</v>
      </c>
      <c r="L132" s="39" t="n">
        <f aca="false">VLOOKUP(H132,'Product List'!$A$3:$D$18,4,FALSE())</f>
        <v>780</v>
      </c>
      <c r="M132" s="39" t="n">
        <f aca="false">I132*J132*(1-K132)</f>
        <v>2398</v>
      </c>
      <c r="N132" s="39" t="n">
        <f aca="false">I132*L132</f>
        <v>1560</v>
      </c>
      <c r="O132" s="39" t="n">
        <f aca="false">M132-N132</f>
        <v>838</v>
      </c>
      <c r="P132" s="41" t="n">
        <f aca="false">IF(M132=0,0,O132/M132)</f>
        <v>0.349457881567973</v>
      </c>
      <c r="Q132" s="37" t="str">
        <f aca="false">IF(K132=0,"No discount",IF(K132&lt;=0.1,"1-10%",IF(K132&lt;=0.2,"11-20%",IF(K132&lt;=0.3,"21-30%","Above 30%"))))</f>
        <v>No discount</v>
      </c>
      <c r="R132" s="39" t="n">
        <f aca="false">I132*J132*MAX(0,K132-DiscountCap)</f>
        <v>0</v>
      </c>
    </row>
    <row r="133" customFormat="false" ht="15" hidden="false" customHeight="false" outlineLevel="0" collapsed="false">
      <c r="A133" s="37" t="s">
        <v>277</v>
      </c>
      <c r="B133" s="38" t="n">
        <v>45743</v>
      </c>
      <c r="C133" s="37" t="n">
        <f aca="false">MONTH(B133)</f>
        <v>3</v>
      </c>
      <c r="D133" s="37" t="s">
        <v>154</v>
      </c>
      <c r="E133" s="37" t="s">
        <v>47</v>
      </c>
      <c r="F133" s="37" t="s">
        <v>96</v>
      </c>
      <c r="G133" s="37" t="s">
        <v>91</v>
      </c>
      <c r="H133" s="37" t="s">
        <v>119</v>
      </c>
      <c r="I133" s="37" t="n">
        <v>1</v>
      </c>
      <c r="J133" s="39" t="n">
        <v>1099</v>
      </c>
      <c r="K133" s="40" t="n">
        <v>0.1</v>
      </c>
      <c r="L133" s="39" t="n">
        <f aca="false">VLOOKUP(H133,'Product List'!$A$3:$D$18,4,FALSE())</f>
        <v>560</v>
      </c>
      <c r="M133" s="39" t="n">
        <f aca="false">I133*J133*(1-K133)</f>
        <v>989.1</v>
      </c>
      <c r="N133" s="39" t="n">
        <f aca="false">I133*L133</f>
        <v>560</v>
      </c>
      <c r="O133" s="39" t="n">
        <f aca="false">M133-N133</f>
        <v>429.1</v>
      </c>
      <c r="P133" s="41" t="n">
        <f aca="false">IF(M133=0,0,O133/M133)</f>
        <v>0.433828733191791</v>
      </c>
      <c r="Q133" s="37" t="str">
        <f aca="false">IF(K133=0,"No discount",IF(K133&lt;=0.1,"1-10%",IF(K133&lt;=0.2,"11-20%",IF(K133&lt;=0.3,"21-30%","Above 30%"))))</f>
        <v>1-10%</v>
      </c>
      <c r="R133" s="39" t="n">
        <f aca="false">I133*J133*MAX(0,K133-DiscountCap)</f>
        <v>0</v>
      </c>
    </row>
    <row r="134" customFormat="false" ht="15" hidden="false" customHeight="false" outlineLevel="0" collapsed="false">
      <c r="A134" s="37" t="s">
        <v>278</v>
      </c>
      <c r="B134" s="38" t="n">
        <v>45718</v>
      </c>
      <c r="C134" s="37" t="n">
        <f aca="false">MONTH(B134)</f>
        <v>3</v>
      </c>
      <c r="D134" s="37" t="s">
        <v>142</v>
      </c>
      <c r="E134" s="37" t="s">
        <v>47</v>
      </c>
      <c r="F134" s="37" t="s">
        <v>96</v>
      </c>
      <c r="G134" s="37" t="s">
        <v>90</v>
      </c>
      <c r="H134" s="37" t="s">
        <v>111</v>
      </c>
      <c r="I134" s="37" t="n">
        <v>1</v>
      </c>
      <c r="J134" s="39" t="n">
        <v>2499</v>
      </c>
      <c r="K134" s="40" t="n">
        <v>0.05</v>
      </c>
      <c r="L134" s="39" t="n">
        <f aca="false">VLOOKUP(H134,'Product List'!$A$3:$D$18,4,FALSE())</f>
        <v>1950</v>
      </c>
      <c r="M134" s="39" t="n">
        <f aca="false">I134*J134*(1-K134)</f>
        <v>2374.05</v>
      </c>
      <c r="N134" s="39" t="n">
        <f aca="false">I134*L134</f>
        <v>1950</v>
      </c>
      <c r="O134" s="39" t="n">
        <f aca="false">M134-N134</f>
        <v>424.05</v>
      </c>
      <c r="P134" s="41" t="n">
        <f aca="false">IF(M134=0,0,O134/M134)</f>
        <v>0.178618815947432</v>
      </c>
      <c r="Q134" s="37" t="str">
        <f aca="false">IF(K134=0,"No discount",IF(K134&lt;=0.1,"1-10%",IF(K134&lt;=0.2,"11-20%",IF(K134&lt;=0.3,"21-30%","Above 30%"))))</f>
        <v>1-10%</v>
      </c>
      <c r="R134" s="39" t="n">
        <f aca="false">I134*J134*MAX(0,K134-DiscountCap)</f>
        <v>0</v>
      </c>
    </row>
    <row r="135" customFormat="false" ht="15" hidden="false" customHeight="false" outlineLevel="0" collapsed="false">
      <c r="A135" s="37" t="s">
        <v>279</v>
      </c>
      <c r="B135" s="38" t="n">
        <v>45734</v>
      </c>
      <c r="C135" s="37" t="n">
        <f aca="false">MONTH(B135)</f>
        <v>3</v>
      </c>
      <c r="D135" s="37" t="s">
        <v>144</v>
      </c>
      <c r="E135" s="37" t="s">
        <v>45</v>
      </c>
      <c r="F135" s="37" t="s">
        <v>96</v>
      </c>
      <c r="G135" s="37" t="s">
        <v>93</v>
      </c>
      <c r="H135" s="37" t="s">
        <v>123</v>
      </c>
      <c r="I135" s="37" t="n">
        <v>3</v>
      </c>
      <c r="J135" s="39" t="n">
        <v>1299</v>
      </c>
      <c r="K135" s="40" t="n">
        <v>0</v>
      </c>
      <c r="L135" s="39" t="n">
        <f aca="false">VLOOKUP(H135,'Product List'!$A$3:$D$18,4,FALSE())</f>
        <v>700</v>
      </c>
      <c r="M135" s="39" t="n">
        <f aca="false">I135*J135*(1-K135)</f>
        <v>3897</v>
      </c>
      <c r="N135" s="39" t="n">
        <f aca="false">I135*L135</f>
        <v>2100</v>
      </c>
      <c r="O135" s="39" t="n">
        <f aca="false">M135-N135</f>
        <v>1797</v>
      </c>
      <c r="P135" s="41" t="n">
        <f aca="false">IF(M135=0,0,O135/M135)</f>
        <v>0.461123941493457</v>
      </c>
      <c r="Q135" s="37" t="str">
        <f aca="false">IF(K135=0,"No discount",IF(K135&lt;=0.1,"1-10%",IF(K135&lt;=0.2,"11-20%",IF(K135&lt;=0.3,"21-30%","Above 30%"))))</f>
        <v>No discount</v>
      </c>
      <c r="R135" s="39" t="n">
        <f aca="false">I135*J135*MAX(0,K135-DiscountCap)</f>
        <v>0</v>
      </c>
    </row>
    <row r="136" customFormat="false" ht="15" hidden="false" customHeight="false" outlineLevel="0" collapsed="false">
      <c r="A136" s="37" t="s">
        <v>280</v>
      </c>
      <c r="B136" s="38" t="n">
        <v>45736</v>
      </c>
      <c r="C136" s="37" t="n">
        <f aca="false">MONTH(B136)</f>
        <v>3</v>
      </c>
      <c r="D136" s="37" t="s">
        <v>134</v>
      </c>
      <c r="E136" s="37" t="s">
        <v>45</v>
      </c>
      <c r="F136" s="37" t="s">
        <v>96</v>
      </c>
      <c r="G136" s="37" t="s">
        <v>91</v>
      </c>
      <c r="H136" s="37" t="s">
        <v>118</v>
      </c>
      <c r="I136" s="37" t="n">
        <v>1</v>
      </c>
      <c r="J136" s="39" t="n">
        <v>2299</v>
      </c>
      <c r="K136" s="40" t="n">
        <v>0.2</v>
      </c>
      <c r="L136" s="39" t="n">
        <f aca="false">VLOOKUP(H136,'Product List'!$A$3:$D$18,4,FALSE())</f>
        <v>1300</v>
      </c>
      <c r="M136" s="39" t="n">
        <f aca="false">I136*J136*(1-K136)</f>
        <v>1839.2</v>
      </c>
      <c r="N136" s="39" t="n">
        <f aca="false">I136*L136</f>
        <v>1300</v>
      </c>
      <c r="O136" s="39" t="n">
        <f aca="false">M136-N136</f>
        <v>539.2</v>
      </c>
      <c r="P136" s="41" t="n">
        <f aca="false">IF(M136=0,0,O136/M136)</f>
        <v>0.293170943888647</v>
      </c>
      <c r="Q136" s="37" t="str">
        <f aca="false">IF(K136=0,"No discount",IF(K136&lt;=0.1,"1-10%",IF(K136&lt;=0.2,"11-20%",IF(K136&lt;=0.3,"21-30%","Above 30%"))))</f>
        <v>11-20%</v>
      </c>
      <c r="R136" s="39" t="n">
        <f aca="false">I136*J136*MAX(0,K136-DiscountCap)</f>
        <v>0</v>
      </c>
    </row>
    <row r="137" customFormat="false" ht="15" hidden="false" customHeight="false" outlineLevel="0" collapsed="false">
      <c r="A137" s="37" t="s">
        <v>281</v>
      </c>
      <c r="B137" s="38" t="n">
        <v>45724</v>
      </c>
      <c r="C137" s="37" t="n">
        <f aca="false">MONTH(B137)</f>
        <v>3</v>
      </c>
      <c r="D137" s="37" t="s">
        <v>144</v>
      </c>
      <c r="E137" s="37" t="s">
        <v>45</v>
      </c>
      <c r="F137" s="37" t="s">
        <v>96</v>
      </c>
      <c r="G137" s="37" t="s">
        <v>92</v>
      </c>
      <c r="H137" s="37" t="s">
        <v>112</v>
      </c>
      <c r="I137" s="37" t="n">
        <v>1</v>
      </c>
      <c r="J137" s="39" t="n">
        <v>3299</v>
      </c>
      <c r="K137" s="40" t="n">
        <v>0.1</v>
      </c>
      <c r="L137" s="39" t="n">
        <f aca="false">VLOOKUP(H137,'Product List'!$A$3:$D$18,4,FALSE())</f>
        <v>2250</v>
      </c>
      <c r="M137" s="39" t="n">
        <f aca="false">I137*J137*(1-K137)</f>
        <v>2969.1</v>
      </c>
      <c r="N137" s="39" t="n">
        <f aca="false">I137*L137</f>
        <v>2250</v>
      </c>
      <c r="O137" s="39" t="n">
        <f aca="false">M137-N137</f>
        <v>719.1</v>
      </c>
      <c r="P137" s="41" t="n">
        <f aca="false">IF(M137=0,0,O137/M137)</f>
        <v>0.242194604425584</v>
      </c>
      <c r="Q137" s="37" t="str">
        <f aca="false">IF(K137=0,"No discount",IF(K137&lt;=0.1,"1-10%",IF(K137&lt;=0.2,"11-20%",IF(K137&lt;=0.3,"21-30%","Above 30%"))))</f>
        <v>1-10%</v>
      </c>
      <c r="R137" s="39" t="n">
        <f aca="false">I137*J137*MAX(0,K137-DiscountCap)</f>
        <v>0</v>
      </c>
    </row>
    <row r="138" customFormat="false" ht="15" hidden="false" customHeight="false" outlineLevel="0" collapsed="false">
      <c r="A138" s="37" t="s">
        <v>282</v>
      </c>
      <c r="B138" s="38" t="n">
        <v>45728</v>
      </c>
      <c r="C138" s="37" t="n">
        <f aca="false">MONTH(B138)</f>
        <v>3</v>
      </c>
      <c r="D138" s="37" t="s">
        <v>160</v>
      </c>
      <c r="E138" s="37" t="s">
        <v>46</v>
      </c>
      <c r="F138" s="37" t="s">
        <v>97</v>
      </c>
      <c r="G138" s="37" t="s">
        <v>93</v>
      </c>
      <c r="H138" s="37" t="s">
        <v>122</v>
      </c>
      <c r="I138" s="37" t="n">
        <v>2</v>
      </c>
      <c r="J138" s="39" t="n">
        <v>1799</v>
      </c>
      <c r="K138" s="40" t="n">
        <v>0</v>
      </c>
      <c r="L138" s="39" t="n">
        <f aca="false">VLOOKUP(H138,'Product List'!$A$3:$D$18,4,FALSE())</f>
        <v>1250</v>
      </c>
      <c r="M138" s="39" t="n">
        <f aca="false">I138*J138*(1-K138)</f>
        <v>3598</v>
      </c>
      <c r="N138" s="39" t="n">
        <f aca="false">I138*L138</f>
        <v>2500</v>
      </c>
      <c r="O138" s="39" t="n">
        <f aca="false">M138-N138</f>
        <v>1098</v>
      </c>
      <c r="P138" s="41" t="n">
        <f aca="false">IF(M138=0,0,O138/M138)</f>
        <v>0.305169538632574</v>
      </c>
      <c r="Q138" s="37" t="str">
        <f aca="false">IF(K138=0,"No discount",IF(K138&lt;=0.1,"1-10%",IF(K138&lt;=0.2,"11-20%",IF(K138&lt;=0.3,"21-30%","Above 30%"))))</f>
        <v>No discount</v>
      </c>
      <c r="R138" s="39" t="n">
        <f aca="false">I138*J138*MAX(0,K138-DiscountCap)</f>
        <v>0</v>
      </c>
    </row>
    <row r="139" customFormat="false" ht="15" hidden="false" customHeight="false" outlineLevel="0" collapsed="false">
      <c r="A139" s="37" t="s">
        <v>283</v>
      </c>
      <c r="B139" s="38" t="n">
        <v>45717</v>
      </c>
      <c r="C139" s="37" t="n">
        <f aca="false">MONTH(B139)</f>
        <v>3</v>
      </c>
      <c r="D139" s="37" t="s">
        <v>140</v>
      </c>
      <c r="E139" s="37" t="s">
        <v>44</v>
      </c>
      <c r="F139" s="37" t="s">
        <v>97</v>
      </c>
      <c r="G139" s="37" t="s">
        <v>93</v>
      </c>
      <c r="H139" s="37" t="s">
        <v>121</v>
      </c>
      <c r="I139" s="37" t="n">
        <v>2</v>
      </c>
      <c r="J139" s="39" t="n">
        <v>999</v>
      </c>
      <c r="K139" s="40" t="n">
        <v>0</v>
      </c>
      <c r="L139" s="39" t="n">
        <f aca="false">VLOOKUP(H139,'Product List'!$A$3:$D$18,4,FALSE())</f>
        <v>500</v>
      </c>
      <c r="M139" s="39" t="n">
        <f aca="false">I139*J139*(1-K139)</f>
        <v>1998</v>
      </c>
      <c r="N139" s="39" t="n">
        <f aca="false">I139*L139</f>
        <v>1000</v>
      </c>
      <c r="O139" s="39" t="n">
        <f aca="false">M139-N139</f>
        <v>998</v>
      </c>
      <c r="P139" s="41" t="n">
        <f aca="false">IF(M139=0,0,O139/M139)</f>
        <v>0.4994994994995</v>
      </c>
      <c r="Q139" s="37" t="str">
        <f aca="false">IF(K139=0,"No discount",IF(K139&lt;=0.1,"1-10%",IF(K139&lt;=0.2,"11-20%",IF(K139&lt;=0.3,"21-30%","Above 30%"))))</f>
        <v>No discount</v>
      </c>
      <c r="R139" s="39" t="n">
        <f aca="false">I139*J139*MAX(0,K139-DiscountCap)</f>
        <v>0</v>
      </c>
    </row>
    <row r="140" customFormat="false" ht="15" hidden="false" customHeight="false" outlineLevel="0" collapsed="false">
      <c r="A140" s="37" t="s">
        <v>284</v>
      </c>
      <c r="B140" s="38" t="n">
        <v>45730</v>
      </c>
      <c r="C140" s="37" t="n">
        <f aca="false">MONTH(B140)</f>
        <v>3</v>
      </c>
      <c r="D140" s="37" t="s">
        <v>136</v>
      </c>
      <c r="E140" s="37" t="s">
        <v>47</v>
      </c>
      <c r="F140" s="37" t="s">
        <v>96</v>
      </c>
      <c r="G140" s="37" t="s">
        <v>92</v>
      </c>
      <c r="H140" s="37" t="s">
        <v>113</v>
      </c>
      <c r="I140" s="37" t="n">
        <v>1</v>
      </c>
      <c r="J140" s="39" t="n">
        <v>2199</v>
      </c>
      <c r="K140" s="40" t="n">
        <v>0.2</v>
      </c>
      <c r="L140" s="39" t="n">
        <f aca="false">VLOOKUP(H140,'Product List'!$A$3:$D$18,4,FALSE())</f>
        <v>1400</v>
      </c>
      <c r="M140" s="39" t="n">
        <f aca="false">I140*J140*(1-K140)</f>
        <v>1759.2</v>
      </c>
      <c r="N140" s="39" t="n">
        <f aca="false">I140*L140</f>
        <v>1400</v>
      </c>
      <c r="O140" s="39" t="n">
        <f aca="false">M140-N140</f>
        <v>359.2</v>
      </c>
      <c r="P140" s="41" t="n">
        <f aca="false">IF(M140=0,0,O140/M140)</f>
        <v>0.204183719872669</v>
      </c>
      <c r="Q140" s="37" t="str">
        <f aca="false">IF(K140=0,"No discount",IF(K140&lt;=0.1,"1-10%",IF(K140&lt;=0.2,"11-20%",IF(K140&lt;=0.3,"21-30%","Above 30%"))))</f>
        <v>11-20%</v>
      </c>
      <c r="R140" s="39" t="n">
        <f aca="false">I140*J140*MAX(0,K140-DiscountCap)</f>
        <v>0</v>
      </c>
    </row>
    <row r="141" customFormat="false" ht="15" hidden="false" customHeight="false" outlineLevel="0" collapsed="false">
      <c r="A141" s="37" t="s">
        <v>285</v>
      </c>
      <c r="B141" s="38" t="n">
        <v>45735</v>
      </c>
      <c r="C141" s="37" t="n">
        <f aca="false">MONTH(B141)</f>
        <v>3</v>
      </c>
      <c r="D141" s="37" t="s">
        <v>138</v>
      </c>
      <c r="E141" s="37" t="s">
        <v>46</v>
      </c>
      <c r="F141" s="37" t="s">
        <v>96</v>
      </c>
      <c r="G141" s="37" t="s">
        <v>90</v>
      </c>
      <c r="H141" s="37" t="s">
        <v>109</v>
      </c>
      <c r="I141" s="37" t="n">
        <v>4</v>
      </c>
      <c r="J141" s="39" t="n">
        <v>3499</v>
      </c>
      <c r="K141" s="40" t="n">
        <v>0.1</v>
      </c>
      <c r="L141" s="39" t="n">
        <f aca="false">VLOOKUP(H141,'Product List'!$A$3:$D$18,4,FALSE())</f>
        <v>2750</v>
      </c>
      <c r="M141" s="39" t="n">
        <f aca="false">I141*J141*(1-K141)</f>
        <v>12596.4</v>
      </c>
      <c r="N141" s="39" t="n">
        <f aca="false">I141*L141</f>
        <v>11000</v>
      </c>
      <c r="O141" s="39" t="n">
        <f aca="false">M141-N141</f>
        <v>1596.4</v>
      </c>
      <c r="P141" s="41" t="n">
        <f aca="false">IF(M141=0,0,O141/M141)</f>
        <v>0.126734622590581</v>
      </c>
      <c r="Q141" s="37" t="str">
        <f aca="false">IF(K141=0,"No discount",IF(K141&lt;=0.1,"1-10%",IF(K141&lt;=0.2,"11-20%",IF(K141&lt;=0.3,"21-30%","Above 30%"))))</f>
        <v>1-10%</v>
      </c>
      <c r="R141" s="39" t="n">
        <f aca="false">I141*J141*MAX(0,K141-DiscountCap)</f>
        <v>0</v>
      </c>
    </row>
    <row r="142" customFormat="false" ht="15" hidden="false" customHeight="false" outlineLevel="0" collapsed="false">
      <c r="A142" s="37" t="s">
        <v>286</v>
      </c>
      <c r="B142" s="38" t="n">
        <v>45744</v>
      </c>
      <c r="C142" s="37" t="n">
        <f aca="false">MONTH(B142)</f>
        <v>3</v>
      </c>
      <c r="D142" s="37" t="s">
        <v>136</v>
      </c>
      <c r="E142" s="37" t="s">
        <v>47</v>
      </c>
      <c r="F142" s="37" t="s">
        <v>96</v>
      </c>
      <c r="G142" s="37" t="s">
        <v>92</v>
      </c>
      <c r="H142" s="37" t="s">
        <v>114</v>
      </c>
      <c r="I142" s="37" t="n">
        <v>1</v>
      </c>
      <c r="J142" s="39" t="n">
        <v>1199</v>
      </c>
      <c r="K142" s="40" t="n">
        <v>0.1</v>
      </c>
      <c r="L142" s="39" t="n">
        <f aca="false">VLOOKUP(H142,'Product List'!$A$3:$D$18,4,FALSE())</f>
        <v>780</v>
      </c>
      <c r="M142" s="39" t="n">
        <f aca="false">I142*J142*(1-K142)</f>
        <v>1079.1</v>
      </c>
      <c r="N142" s="39" t="n">
        <f aca="false">I142*L142</f>
        <v>780</v>
      </c>
      <c r="O142" s="39" t="n">
        <f aca="false">M142-N142</f>
        <v>299.1</v>
      </c>
      <c r="P142" s="41" t="n">
        <f aca="false">IF(M142=0,0,O142/M142)</f>
        <v>0.277175423964415</v>
      </c>
      <c r="Q142" s="37" t="str">
        <f aca="false">IF(K142=0,"No discount",IF(K142&lt;=0.1,"1-10%",IF(K142&lt;=0.2,"11-20%",IF(K142&lt;=0.3,"21-30%","Above 30%"))))</f>
        <v>1-10%</v>
      </c>
      <c r="R142" s="39" t="n">
        <f aca="false">I142*J142*MAX(0,K142-DiscountCap)</f>
        <v>0</v>
      </c>
    </row>
    <row r="143" customFormat="false" ht="15" hidden="false" customHeight="false" outlineLevel="0" collapsed="false">
      <c r="A143" s="37" t="s">
        <v>287</v>
      </c>
      <c r="B143" s="38" t="n">
        <v>45745</v>
      </c>
      <c r="C143" s="37" t="n">
        <f aca="false">MONTH(B143)</f>
        <v>3</v>
      </c>
      <c r="D143" s="37" t="s">
        <v>154</v>
      </c>
      <c r="E143" s="37" t="s">
        <v>47</v>
      </c>
      <c r="F143" s="37" t="s">
        <v>97</v>
      </c>
      <c r="G143" s="37" t="s">
        <v>91</v>
      </c>
      <c r="H143" s="37" t="s">
        <v>117</v>
      </c>
      <c r="I143" s="37" t="n">
        <v>1</v>
      </c>
      <c r="J143" s="39" t="n">
        <v>1499</v>
      </c>
      <c r="K143" s="40" t="n">
        <v>0.1</v>
      </c>
      <c r="L143" s="39" t="n">
        <f aca="false">VLOOKUP(H143,'Product List'!$A$3:$D$18,4,FALSE())</f>
        <v>780</v>
      </c>
      <c r="M143" s="39" t="n">
        <f aca="false">I143*J143*(1-K143)</f>
        <v>1349.1</v>
      </c>
      <c r="N143" s="39" t="n">
        <f aca="false">I143*L143</f>
        <v>780</v>
      </c>
      <c r="O143" s="39" t="n">
        <f aca="false">M143-N143</f>
        <v>569.1</v>
      </c>
      <c r="P143" s="41" t="n">
        <f aca="false">IF(M143=0,0,O143/M143)</f>
        <v>0.421836780075606</v>
      </c>
      <c r="Q143" s="37" t="str">
        <f aca="false">IF(K143=0,"No discount",IF(K143&lt;=0.1,"1-10%",IF(K143&lt;=0.2,"11-20%",IF(K143&lt;=0.3,"21-30%","Above 30%"))))</f>
        <v>1-10%</v>
      </c>
      <c r="R143" s="39" t="n">
        <f aca="false">I143*J143*MAX(0,K143-DiscountCap)</f>
        <v>0</v>
      </c>
    </row>
    <row r="144" customFormat="false" ht="15" hidden="false" customHeight="false" outlineLevel="0" collapsed="false">
      <c r="A144" s="37" t="s">
        <v>288</v>
      </c>
      <c r="B144" s="38" t="n">
        <v>45722</v>
      </c>
      <c r="C144" s="37" t="n">
        <f aca="false">MONTH(B144)</f>
        <v>3</v>
      </c>
      <c r="D144" s="37" t="s">
        <v>144</v>
      </c>
      <c r="E144" s="37" t="s">
        <v>45</v>
      </c>
      <c r="F144" s="37" t="s">
        <v>96</v>
      </c>
      <c r="G144" s="37" t="s">
        <v>90</v>
      </c>
      <c r="H144" s="37" t="s">
        <v>108</v>
      </c>
      <c r="I144" s="37" t="n">
        <v>1</v>
      </c>
      <c r="J144" s="39" t="n">
        <v>1999</v>
      </c>
      <c r="K144" s="40" t="n">
        <v>0.05</v>
      </c>
      <c r="L144" s="39" t="n">
        <f aca="false">VLOOKUP(H144,'Product List'!$A$3:$D$18,4,FALSE())</f>
        <v>1560</v>
      </c>
      <c r="M144" s="39" t="n">
        <f aca="false">I144*J144*(1-K144)</f>
        <v>1899.05</v>
      </c>
      <c r="N144" s="39" t="n">
        <f aca="false">I144*L144</f>
        <v>1560</v>
      </c>
      <c r="O144" s="39" t="n">
        <f aca="false">M144-N144</f>
        <v>339.05</v>
      </c>
      <c r="P144" s="41" t="n">
        <f aca="false">IF(M144=0,0,O144/M144)</f>
        <v>0.178536636739422</v>
      </c>
      <c r="Q144" s="37" t="str">
        <f aca="false">IF(K144=0,"No discount",IF(K144&lt;=0.1,"1-10%",IF(K144&lt;=0.2,"11-20%",IF(K144&lt;=0.3,"21-30%","Above 30%"))))</f>
        <v>1-10%</v>
      </c>
      <c r="R144" s="39" t="n">
        <f aca="false">I144*J144*MAX(0,K144-DiscountCap)</f>
        <v>0</v>
      </c>
    </row>
    <row r="145" customFormat="false" ht="15" hidden="false" customHeight="false" outlineLevel="0" collapsed="false">
      <c r="A145" s="37" t="s">
        <v>289</v>
      </c>
      <c r="B145" s="38" t="n">
        <v>45734</v>
      </c>
      <c r="C145" s="37" t="n">
        <f aca="false">MONTH(B145)</f>
        <v>3</v>
      </c>
      <c r="D145" s="37" t="s">
        <v>144</v>
      </c>
      <c r="E145" s="37" t="s">
        <v>45</v>
      </c>
      <c r="F145" s="37" t="s">
        <v>97</v>
      </c>
      <c r="G145" s="37" t="s">
        <v>92</v>
      </c>
      <c r="H145" s="37" t="s">
        <v>113</v>
      </c>
      <c r="I145" s="37" t="n">
        <v>2</v>
      </c>
      <c r="J145" s="39" t="n">
        <v>2199</v>
      </c>
      <c r="K145" s="40" t="n">
        <v>0.1</v>
      </c>
      <c r="L145" s="39" t="n">
        <f aca="false">VLOOKUP(H145,'Product List'!$A$3:$D$18,4,FALSE())</f>
        <v>1400</v>
      </c>
      <c r="M145" s="39" t="n">
        <f aca="false">I145*J145*(1-K145)</f>
        <v>3958.2</v>
      </c>
      <c r="N145" s="39" t="n">
        <f aca="false">I145*L145</f>
        <v>2800</v>
      </c>
      <c r="O145" s="39" t="n">
        <f aca="false">M145-N145</f>
        <v>1158.2</v>
      </c>
      <c r="P145" s="41" t="n">
        <f aca="false">IF(M145=0,0,O145/M145)</f>
        <v>0.292607750997928</v>
      </c>
      <c r="Q145" s="37" t="str">
        <f aca="false">IF(K145=0,"No discount",IF(K145&lt;=0.1,"1-10%",IF(K145&lt;=0.2,"11-20%",IF(K145&lt;=0.3,"21-30%","Above 30%"))))</f>
        <v>1-10%</v>
      </c>
      <c r="R145" s="39" t="n">
        <f aca="false">I145*J145*MAX(0,K145-DiscountCap)</f>
        <v>0</v>
      </c>
    </row>
    <row r="146" customFormat="false" ht="15" hidden="false" customHeight="false" outlineLevel="0" collapsed="false">
      <c r="A146" s="37" t="s">
        <v>290</v>
      </c>
      <c r="B146" s="38" t="n">
        <v>45741</v>
      </c>
      <c r="C146" s="37" t="n">
        <f aca="false">MONTH(B146)</f>
        <v>3</v>
      </c>
      <c r="D146" s="37" t="s">
        <v>144</v>
      </c>
      <c r="E146" s="37" t="s">
        <v>45</v>
      </c>
      <c r="F146" s="37" t="s">
        <v>97</v>
      </c>
      <c r="G146" s="37" t="s">
        <v>93</v>
      </c>
      <c r="H146" s="37" t="s">
        <v>120</v>
      </c>
      <c r="I146" s="37" t="n">
        <v>2</v>
      </c>
      <c r="J146" s="39" t="n">
        <v>449</v>
      </c>
      <c r="K146" s="40" t="n">
        <v>0</v>
      </c>
      <c r="L146" s="39" t="n">
        <f aca="false">VLOOKUP(H146,'Product List'!$A$3:$D$18,4,FALSE())</f>
        <v>240</v>
      </c>
      <c r="M146" s="39" t="n">
        <f aca="false">I146*J146*(1-K146)</f>
        <v>898</v>
      </c>
      <c r="N146" s="39" t="n">
        <f aca="false">I146*L146</f>
        <v>480</v>
      </c>
      <c r="O146" s="39" t="n">
        <f aca="false">M146-N146</f>
        <v>418</v>
      </c>
      <c r="P146" s="41" t="n">
        <f aca="false">IF(M146=0,0,O146/M146)</f>
        <v>0.465478841870824</v>
      </c>
      <c r="Q146" s="37" t="str">
        <f aca="false">IF(K146=0,"No discount",IF(K146&lt;=0.1,"1-10%",IF(K146&lt;=0.2,"11-20%",IF(K146&lt;=0.3,"21-30%","Above 30%"))))</f>
        <v>No discount</v>
      </c>
      <c r="R146" s="39" t="n">
        <f aca="false">I146*J146*MAX(0,K146-DiscountCap)</f>
        <v>0</v>
      </c>
    </row>
    <row r="147" customFormat="false" ht="15" hidden="false" customHeight="false" outlineLevel="0" collapsed="false">
      <c r="A147" s="37" t="s">
        <v>291</v>
      </c>
      <c r="B147" s="38" t="n">
        <v>45719</v>
      </c>
      <c r="C147" s="37" t="n">
        <f aca="false">MONTH(B147)</f>
        <v>3</v>
      </c>
      <c r="D147" s="37" t="s">
        <v>166</v>
      </c>
      <c r="E147" s="37" t="s">
        <v>44</v>
      </c>
      <c r="F147" s="37" t="s">
        <v>96</v>
      </c>
      <c r="G147" s="37" t="s">
        <v>90</v>
      </c>
      <c r="H147" s="37" t="s">
        <v>111</v>
      </c>
      <c r="I147" s="37" t="n">
        <v>1</v>
      </c>
      <c r="J147" s="39" t="n">
        <v>2499</v>
      </c>
      <c r="K147" s="40" t="n">
        <v>0.1</v>
      </c>
      <c r="L147" s="39" t="n">
        <f aca="false">VLOOKUP(H147,'Product List'!$A$3:$D$18,4,FALSE())</f>
        <v>1950</v>
      </c>
      <c r="M147" s="39" t="n">
        <f aca="false">I147*J147*(1-K147)</f>
        <v>2249.1</v>
      </c>
      <c r="N147" s="39" t="n">
        <f aca="false">I147*L147</f>
        <v>1950</v>
      </c>
      <c r="O147" s="39" t="n">
        <f aca="false">M147-N147</f>
        <v>299.1</v>
      </c>
      <c r="P147" s="41" t="n">
        <f aca="false">IF(M147=0,0,O147/M147)</f>
        <v>0.132986527944511</v>
      </c>
      <c r="Q147" s="37" t="str">
        <f aca="false">IF(K147=0,"No discount",IF(K147&lt;=0.1,"1-10%",IF(K147&lt;=0.2,"11-20%",IF(K147&lt;=0.3,"21-30%","Above 30%"))))</f>
        <v>1-10%</v>
      </c>
      <c r="R147" s="39" t="n">
        <f aca="false">I147*J147*MAX(0,K147-DiscountCap)</f>
        <v>0</v>
      </c>
    </row>
    <row r="148" customFormat="false" ht="15" hidden="false" customHeight="false" outlineLevel="0" collapsed="false">
      <c r="A148" s="37" t="s">
        <v>292</v>
      </c>
      <c r="B148" s="38" t="n">
        <v>45739</v>
      </c>
      <c r="C148" s="37" t="n">
        <f aca="false">MONTH(B148)</f>
        <v>3</v>
      </c>
      <c r="D148" s="37" t="s">
        <v>144</v>
      </c>
      <c r="E148" s="37" t="s">
        <v>45</v>
      </c>
      <c r="F148" s="37" t="s">
        <v>96</v>
      </c>
      <c r="G148" s="37" t="s">
        <v>90</v>
      </c>
      <c r="H148" s="37" t="s">
        <v>108</v>
      </c>
      <c r="I148" s="37" t="n">
        <v>1</v>
      </c>
      <c r="J148" s="39" t="n">
        <v>1999</v>
      </c>
      <c r="K148" s="40" t="n">
        <v>0.3</v>
      </c>
      <c r="L148" s="39" t="n">
        <f aca="false">VLOOKUP(H148,'Product List'!$A$3:$D$18,4,FALSE())</f>
        <v>1560</v>
      </c>
      <c r="M148" s="39" t="n">
        <f aca="false">I148*J148*(1-K148)</f>
        <v>1399.3</v>
      </c>
      <c r="N148" s="39" t="n">
        <f aca="false">I148*L148</f>
        <v>1560</v>
      </c>
      <c r="O148" s="39" t="n">
        <f aca="false">M148-N148</f>
        <v>-160.7</v>
      </c>
      <c r="P148" s="41" t="n">
        <f aca="false">IF(M148=0,0,O148/M148)</f>
        <v>-0.114843135853641</v>
      </c>
      <c r="Q148" s="37" t="str">
        <f aca="false">IF(K148=0,"No discount",IF(K148&lt;=0.1,"1-10%",IF(K148&lt;=0.2,"11-20%",IF(K148&lt;=0.3,"21-30%","Above 30%"))))</f>
        <v>21-30%</v>
      </c>
      <c r="R148" s="39" t="n">
        <f aca="false">I148*J148*MAX(0,K148-DiscountCap)</f>
        <v>199.9</v>
      </c>
    </row>
    <row r="149" customFormat="false" ht="15" hidden="false" customHeight="false" outlineLevel="0" collapsed="false">
      <c r="A149" s="37" t="s">
        <v>293</v>
      </c>
      <c r="B149" s="38" t="n">
        <v>45717</v>
      </c>
      <c r="C149" s="37" t="n">
        <f aca="false">MONTH(B149)</f>
        <v>3</v>
      </c>
      <c r="D149" s="37" t="s">
        <v>172</v>
      </c>
      <c r="E149" s="37" t="s">
        <v>46</v>
      </c>
      <c r="F149" s="37" t="s">
        <v>96</v>
      </c>
      <c r="G149" s="37" t="s">
        <v>91</v>
      </c>
      <c r="H149" s="37" t="s">
        <v>117</v>
      </c>
      <c r="I149" s="37" t="n">
        <v>1</v>
      </c>
      <c r="J149" s="39" t="n">
        <v>1499</v>
      </c>
      <c r="K149" s="40" t="n">
        <v>0</v>
      </c>
      <c r="L149" s="39" t="n">
        <f aca="false">VLOOKUP(H149,'Product List'!$A$3:$D$18,4,FALSE())</f>
        <v>780</v>
      </c>
      <c r="M149" s="39" t="n">
        <f aca="false">I149*J149*(1-K149)</f>
        <v>1499</v>
      </c>
      <c r="N149" s="39" t="n">
        <f aca="false">I149*L149</f>
        <v>780</v>
      </c>
      <c r="O149" s="39" t="n">
        <f aca="false">M149-N149</f>
        <v>719</v>
      </c>
      <c r="P149" s="41" t="n">
        <f aca="false">IF(M149=0,0,O149/M149)</f>
        <v>0.479653102068045</v>
      </c>
      <c r="Q149" s="37" t="str">
        <f aca="false">IF(K149=0,"No discount",IF(K149&lt;=0.1,"1-10%",IF(K149&lt;=0.2,"11-20%",IF(K149&lt;=0.3,"21-30%","Above 30%"))))</f>
        <v>No discount</v>
      </c>
      <c r="R149" s="39" t="n">
        <f aca="false">I149*J149*MAX(0,K149-DiscountCap)</f>
        <v>0</v>
      </c>
    </row>
    <row r="150" customFormat="false" ht="15" hidden="false" customHeight="false" outlineLevel="0" collapsed="false">
      <c r="A150" s="37" t="s">
        <v>294</v>
      </c>
      <c r="B150" s="38" t="n">
        <v>45721</v>
      </c>
      <c r="C150" s="37" t="n">
        <f aca="false">MONTH(B150)</f>
        <v>3</v>
      </c>
      <c r="D150" s="37" t="s">
        <v>140</v>
      </c>
      <c r="E150" s="37" t="s">
        <v>44</v>
      </c>
      <c r="F150" s="37" t="s">
        <v>97</v>
      </c>
      <c r="G150" s="37" t="s">
        <v>90</v>
      </c>
      <c r="H150" s="37" t="s">
        <v>111</v>
      </c>
      <c r="I150" s="37" t="n">
        <v>2</v>
      </c>
      <c r="J150" s="39" t="n">
        <v>2499</v>
      </c>
      <c r="K150" s="40" t="n">
        <v>0.25</v>
      </c>
      <c r="L150" s="39" t="n">
        <f aca="false">VLOOKUP(H150,'Product List'!$A$3:$D$18,4,FALSE())</f>
        <v>1950</v>
      </c>
      <c r="M150" s="39" t="n">
        <f aca="false">I150*J150*(1-K150)</f>
        <v>3748.5</v>
      </c>
      <c r="N150" s="39" t="n">
        <f aca="false">I150*L150</f>
        <v>3900</v>
      </c>
      <c r="O150" s="39" t="n">
        <f aca="false">M150-N150</f>
        <v>-151.5</v>
      </c>
      <c r="P150" s="41" t="n">
        <f aca="false">IF(M150=0,0,O150/M150)</f>
        <v>-0.0404161664665866</v>
      </c>
      <c r="Q150" s="37" t="str">
        <f aca="false">IF(K150=0,"No discount",IF(K150&lt;=0.1,"1-10%",IF(K150&lt;=0.2,"11-20%",IF(K150&lt;=0.3,"21-30%","Above 30%"))))</f>
        <v>21-30%</v>
      </c>
      <c r="R150" s="39" t="n">
        <f aca="false">I150*J150*MAX(0,K150-DiscountCap)</f>
        <v>249.9</v>
      </c>
    </row>
    <row r="151" customFormat="false" ht="15" hidden="false" customHeight="false" outlineLevel="0" collapsed="false">
      <c r="A151" s="37" t="s">
        <v>295</v>
      </c>
      <c r="B151" s="38" t="n">
        <v>45744</v>
      </c>
      <c r="C151" s="37" t="n">
        <f aca="false">MONTH(B151)</f>
        <v>3</v>
      </c>
      <c r="D151" s="37" t="s">
        <v>134</v>
      </c>
      <c r="E151" s="37" t="s">
        <v>45</v>
      </c>
      <c r="F151" s="37" t="s">
        <v>96</v>
      </c>
      <c r="G151" s="37" t="s">
        <v>90</v>
      </c>
      <c r="H151" s="37" t="s">
        <v>109</v>
      </c>
      <c r="I151" s="37" t="n">
        <v>1</v>
      </c>
      <c r="J151" s="39" t="n">
        <v>3499</v>
      </c>
      <c r="K151" s="40" t="n">
        <v>0.2</v>
      </c>
      <c r="L151" s="39" t="n">
        <f aca="false">VLOOKUP(H151,'Product List'!$A$3:$D$18,4,FALSE())</f>
        <v>2750</v>
      </c>
      <c r="M151" s="39" t="n">
        <f aca="false">I151*J151*(1-K151)</f>
        <v>2799.2</v>
      </c>
      <c r="N151" s="39" t="n">
        <f aca="false">I151*L151</f>
        <v>2750</v>
      </c>
      <c r="O151" s="39" t="n">
        <f aca="false">M151-N151</f>
        <v>49.2000000000003</v>
      </c>
      <c r="P151" s="41" t="n">
        <f aca="false">IF(M151=0,0,O151/M151)</f>
        <v>0.0175764504144042</v>
      </c>
      <c r="Q151" s="37" t="str">
        <f aca="false">IF(K151=0,"No discount",IF(K151&lt;=0.1,"1-10%",IF(K151&lt;=0.2,"11-20%",IF(K151&lt;=0.3,"21-30%","Above 30%"))))</f>
        <v>11-20%</v>
      </c>
      <c r="R151" s="39" t="n">
        <f aca="false">I151*J151*MAX(0,K151-DiscountCap)</f>
        <v>0</v>
      </c>
    </row>
    <row r="152" customFormat="false" ht="15" hidden="false" customHeight="false" outlineLevel="0" collapsed="false">
      <c r="A152" s="37" t="s">
        <v>296</v>
      </c>
      <c r="B152" s="38" t="n">
        <v>45721</v>
      </c>
      <c r="C152" s="37" t="n">
        <f aca="false">MONTH(B152)</f>
        <v>3</v>
      </c>
      <c r="D152" s="37" t="s">
        <v>154</v>
      </c>
      <c r="E152" s="37" t="s">
        <v>47</v>
      </c>
      <c r="F152" s="37" t="s">
        <v>97</v>
      </c>
      <c r="G152" s="37" t="s">
        <v>93</v>
      </c>
      <c r="H152" s="37" t="s">
        <v>120</v>
      </c>
      <c r="I152" s="37" t="n">
        <v>3</v>
      </c>
      <c r="J152" s="39" t="n">
        <v>449</v>
      </c>
      <c r="K152" s="40" t="n">
        <v>0</v>
      </c>
      <c r="L152" s="39" t="n">
        <f aca="false">VLOOKUP(H152,'Product List'!$A$3:$D$18,4,FALSE())</f>
        <v>240</v>
      </c>
      <c r="M152" s="39" t="n">
        <f aca="false">I152*J152*(1-K152)</f>
        <v>1347</v>
      </c>
      <c r="N152" s="39" t="n">
        <f aca="false">I152*L152</f>
        <v>720</v>
      </c>
      <c r="O152" s="39" t="n">
        <f aca="false">M152-N152</f>
        <v>627</v>
      </c>
      <c r="P152" s="41" t="n">
        <f aca="false">IF(M152=0,0,O152/M152)</f>
        <v>0.465478841870824</v>
      </c>
      <c r="Q152" s="37" t="str">
        <f aca="false">IF(K152=0,"No discount",IF(K152&lt;=0.1,"1-10%",IF(K152&lt;=0.2,"11-20%",IF(K152&lt;=0.3,"21-30%","Above 30%"))))</f>
        <v>No discount</v>
      </c>
      <c r="R152" s="39" t="n">
        <f aca="false">I152*J152*MAX(0,K152-DiscountCap)</f>
        <v>0</v>
      </c>
    </row>
    <row r="153" customFormat="false" ht="15" hidden="false" customHeight="false" outlineLevel="0" collapsed="false">
      <c r="A153" s="37" t="s">
        <v>297</v>
      </c>
      <c r="B153" s="38" t="n">
        <v>45739</v>
      </c>
      <c r="C153" s="37" t="n">
        <f aca="false">MONTH(B153)</f>
        <v>3</v>
      </c>
      <c r="D153" s="37" t="s">
        <v>146</v>
      </c>
      <c r="E153" s="37" t="s">
        <v>45</v>
      </c>
      <c r="F153" s="37" t="s">
        <v>96</v>
      </c>
      <c r="G153" s="37" t="s">
        <v>92</v>
      </c>
      <c r="H153" s="37" t="s">
        <v>114</v>
      </c>
      <c r="I153" s="37" t="n">
        <v>2</v>
      </c>
      <c r="J153" s="39" t="n">
        <v>1199</v>
      </c>
      <c r="K153" s="40" t="n">
        <v>0</v>
      </c>
      <c r="L153" s="39" t="n">
        <f aca="false">VLOOKUP(H153,'Product List'!$A$3:$D$18,4,FALSE())</f>
        <v>780</v>
      </c>
      <c r="M153" s="39" t="n">
        <f aca="false">I153*J153*(1-K153)</f>
        <v>2398</v>
      </c>
      <c r="N153" s="39" t="n">
        <f aca="false">I153*L153</f>
        <v>1560</v>
      </c>
      <c r="O153" s="39" t="n">
        <f aca="false">M153-N153</f>
        <v>838</v>
      </c>
      <c r="P153" s="41" t="n">
        <f aca="false">IF(M153=0,0,O153/M153)</f>
        <v>0.349457881567973</v>
      </c>
      <c r="Q153" s="37" t="str">
        <f aca="false">IF(K153=0,"No discount",IF(K153&lt;=0.1,"1-10%",IF(K153&lt;=0.2,"11-20%",IF(K153&lt;=0.3,"21-30%","Above 30%"))))</f>
        <v>No discount</v>
      </c>
      <c r="R153" s="39" t="n">
        <f aca="false">I153*J153*MAX(0,K153-DiscountCap)</f>
        <v>0</v>
      </c>
    </row>
    <row r="154" customFormat="false" ht="15" hidden="false" customHeight="false" outlineLevel="0" collapsed="false">
      <c r="A154" s="37" t="s">
        <v>298</v>
      </c>
      <c r="B154" s="38" t="n">
        <v>45728</v>
      </c>
      <c r="C154" s="37" t="n">
        <f aca="false">MONTH(B154)</f>
        <v>3</v>
      </c>
      <c r="D154" s="37" t="s">
        <v>142</v>
      </c>
      <c r="E154" s="37" t="s">
        <v>47</v>
      </c>
      <c r="F154" s="37" t="s">
        <v>96</v>
      </c>
      <c r="G154" s="37" t="s">
        <v>93</v>
      </c>
      <c r="H154" s="37" t="s">
        <v>122</v>
      </c>
      <c r="I154" s="37" t="n">
        <v>1</v>
      </c>
      <c r="J154" s="39" t="n">
        <v>1799</v>
      </c>
      <c r="K154" s="40" t="n">
        <v>0.2</v>
      </c>
      <c r="L154" s="39" t="n">
        <f aca="false">VLOOKUP(H154,'Product List'!$A$3:$D$18,4,FALSE())</f>
        <v>1250</v>
      </c>
      <c r="M154" s="39" t="n">
        <f aca="false">I154*J154*(1-K154)</f>
        <v>1439.2</v>
      </c>
      <c r="N154" s="39" t="n">
        <f aca="false">I154*L154</f>
        <v>1250</v>
      </c>
      <c r="O154" s="39" t="n">
        <f aca="false">M154-N154</f>
        <v>189.2</v>
      </c>
      <c r="P154" s="41" t="n">
        <f aca="false">IF(M154=0,0,O154/M154)</f>
        <v>0.131461923290717</v>
      </c>
      <c r="Q154" s="37" t="str">
        <f aca="false">IF(K154=0,"No discount",IF(K154&lt;=0.1,"1-10%",IF(K154&lt;=0.2,"11-20%",IF(K154&lt;=0.3,"21-30%","Above 30%"))))</f>
        <v>11-20%</v>
      </c>
      <c r="R154" s="39" t="n">
        <f aca="false">I154*J154*MAX(0,K154-DiscountCap)</f>
        <v>0</v>
      </c>
    </row>
    <row r="155" customFormat="false" ht="15" hidden="false" customHeight="false" outlineLevel="0" collapsed="false">
      <c r="A155" s="37" t="s">
        <v>299</v>
      </c>
      <c r="B155" s="38" t="n">
        <v>45731</v>
      </c>
      <c r="C155" s="37" t="n">
        <f aca="false">MONTH(B155)</f>
        <v>3</v>
      </c>
      <c r="D155" s="37" t="s">
        <v>172</v>
      </c>
      <c r="E155" s="37" t="s">
        <v>46</v>
      </c>
      <c r="F155" s="37" t="s">
        <v>97</v>
      </c>
      <c r="G155" s="37" t="s">
        <v>91</v>
      </c>
      <c r="H155" s="37" t="s">
        <v>116</v>
      </c>
      <c r="I155" s="37" t="n">
        <v>1</v>
      </c>
      <c r="J155" s="39" t="n">
        <v>899</v>
      </c>
      <c r="K155" s="40" t="n">
        <v>0.1</v>
      </c>
      <c r="L155" s="39" t="n">
        <f aca="false">VLOOKUP(H155,'Product List'!$A$3:$D$18,4,FALSE())</f>
        <v>430</v>
      </c>
      <c r="M155" s="39" t="n">
        <f aca="false">I155*J155*(1-K155)</f>
        <v>809.1</v>
      </c>
      <c r="N155" s="39" t="n">
        <f aca="false">I155*L155</f>
        <v>430</v>
      </c>
      <c r="O155" s="39" t="n">
        <f aca="false">M155-N155</f>
        <v>379.1</v>
      </c>
      <c r="P155" s="41" t="n">
        <f aca="false">IF(M155=0,0,O155/M155)</f>
        <v>0.468545297243851</v>
      </c>
      <c r="Q155" s="37" t="str">
        <f aca="false">IF(K155=0,"No discount",IF(K155&lt;=0.1,"1-10%",IF(K155&lt;=0.2,"11-20%",IF(K155&lt;=0.3,"21-30%","Above 30%"))))</f>
        <v>1-10%</v>
      </c>
      <c r="R155" s="39" t="n">
        <f aca="false">I155*J155*MAX(0,K155-DiscountCap)</f>
        <v>0</v>
      </c>
    </row>
    <row r="156" customFormat="false" ht="15" hidden="false" customHeight="false" outlineLevel="0" collapsed="false">
      <c r="A156" s="37" t="s">
        <v>300</v>
      </c>
      <c r="B156" s="38" t="n">
        <v>45731</v>
      </c>
      <c r="C156" s="37" t="n">
        <f aca="false">MONTH(B156)</f>
        <v>3</v>
      </c>
      <c r="D156" s="37" t="s">
        <v>146</v>
      </c>
      <c r="E156" s="37" t="s">
        <v>45</v>
      </c>
      <c r="F156" s="37" t="s">
        <v>97</v>
      </c>
      <c r="G156" s="37" t="s">
        <v>90</v>
      </c>
      <c r="H156" s="37" t="s">
        <v>110</v>
      </c>
      <c r="I156" s="37" t="n">
        <v>1</v>
      </c>
      <c r="J156" s="39" t="n">
        <v>1299</v>
      </c>
      <c r="K156" s="40" t="n">
        <v>0</v>
      </c>
      <c r="L156" s="39" t="n">
        <f aca="false">VLOOKUP(H156,'Product List'!$A$3:$D$18,4,FALSE())</f>
        <v>1000</v>
      </c>
      <c r="M156" s="39" t="n">
        <f aca="false">I156*J156*(1-K156)</f>
        <v>1299</v>
      </c>
      <c r="N156" s="39" t="n">
        <f aca="false">I156*L156</f>
        <v>1000</v>
      </c>
      <c r="O156" s="39" t="n">
        <f aca="false">M156-N156</f>
        <v>299</v>
      </c>
      <c r="P156" s="41" t="n">
        <f aca="false">IF(M156=0,0,O156/M156)</f>
        <v>0.230177059276366</v>
      </c>
      <c r="Q156" s="37" t="str">
        <f aca="false">IF(K156=0,"No discount",IF(K156&lt;=0.1,"1-10%",IF(K156&lt;=0.2,"11-20%",IF(K156&lt;=0.3,"21-30%","Above 30%"))))</f>
        <v>No discount</v>
      </c>
      <c r="R156" s="39" t="n">
        <f aca="false">I156*J156*MAX(0,K156-DiscountCap)</f>
        <v>0</v>
      </c>
    </row>
    <row r="157" customFormat="false" ht="15" hidden="false" customHeight="false" outlineLevel="0" collapsed="false">
      <c r="A157" s="37" t="s">
        <v>301</v>
      </c>
      <c r="B157" s="38" t="n">
        <v>45720</v>
      </c>
      <c r="C157" s="37" t="n">
        <f aca="false">MONTH(B157)</f>
        <v>3</v>
      </c>
      <c r="D157" s="37" t="s">
        <v>154</v>
      </c>
      <c r="E157" s="37" t="s">
        <v>47</v>
      </c>
      <c r="F157" s="37" t="s">
        <v>97</v>
      </c>
      <c r="G157" s="37" t="s">
        <v>93</v>
      </c>
      <c r="H157" s="37" t="s">
        <v>122</v>
      </c>
      <c r="I157" s="37" t="n">
        <v>1</v>
      </c>
      <c r="J157" s="39" t="n">
        <v>1799</v>
      </c>
      <c r="K157" s="40" t="n">
        <v>0</v>
      </c>
      <c r="L157" s="39" t="n">
        <f aca="false">VLOOKUP(H157,'Product List'!$A$3:$D$18,4,FALSE())</f>
        <v>1250</v>
      </c>
      <c r="M157" s="39" t="n">
        <f aca="false">I157*J157*(1-K157)</f>
        <v>1799</v>
      </c>
      <c r="N157" s="39" t="n">
        <f aca="false">I157*L157</f>
        <v>1250</v>
      </c>
      <c r="O157" s="39" t="n">
        <f aca="false">M157-N157</f>
        <v>549</v>
      </c>
      <c r="P157" s="41" t="n">
        <f aca="false">IF(M157=0,0,O157/M157)</f>
        <v>0.305169538632574</v>
      </c>
      <c r="Q157" s="37" t="str">
        <f aca="false">IF(K157=0,"No discount",IF(K157&lt;=0.1,"1-10%",IF(K157&lt;=0.2,"11-20%",IF(K157&lt;=0.3,"21-30%","Above 30%"))))</f>
        <v>No discount</v>
      </c>
      <c r="R157" s="39" t="n">
        <f aca="false">I157*J157*MAX(0,K157-DiscountCap)</f>
        <v>0</v>
      </c>
    </row>
    <row r="158" customFormat="false" ht="15" hidden="false" customHeight="false" outlineLevel="0" collapsed="false">
      <c r="A158" s="37" t="s">
        <v>302</v>
      </c>
      <c r="B158" s="38" t="n">
        <v>45722</v>
      </c>
      <c r="C158" s="37" t="n">
        <f aca="false">MONTH(B158)</f>
        <v>3</v>
      </c>
      <c r="D158" s="37" t="s">
        <v>138</v>
      </c>
      <c r="E158" s="37" t="s">
        <v>46</v>
      </c>
      <c r="F158" s="37" t="s">
        <v>96</v>
      </c>
      <c r="G158" s="37" t="s">
        <v>91</v>
      </c>
      <c r="H158" s="37" t="s">
        <v>118</v>
      </c>
      <c r="I158" s="37" t="n">
        <v>4</v>
      </c>
      <c r="J158" s="39" t="n">
        <v>2299</v>
      </c>
      <c r="K158" s="40" t="n">
        <v>0</v>
      </c>
      <c r="L158" s="39" t="n">
        <f aca="false">VLOOKUP(H158,'Product List'!$A$3:$D$18,4,FALSE())</f>
        <v>1300</v>
      </c>
      <c r="M158" s="39" t="n">
        <f aca="false">I158*J158*(1-K158)</f>
        <v>9196</v>
      </c>
      <c r="N158" s="39" t="n">
        <f aca="false">I158*L158</f>
        <v>5200</v>
      </c>
      <c r="O158" s="39" t="n">
        <f aca="false">M158-N158</f>
        <v>3996</v>
      </c>
      <c r="P158" s="41" t="n">
        <f aca="false">IF(M158=0,0,O158/M158)</f>
        <v>0.434536755110918</v>
      </c>
      <c r="Q158" s="37" t="str">
        <f aca="false">IF(K158=0,"No discount",IF(K158&lt;=0.1,"1-10%",IF(K158&lt;=0.2,"11-20%",IF(K158&lt;=0.3,"21-30%","Above 30%"))))</f>
        <v>No discount</v>
      </c>
      <c r="R158" s="39" t="n">
        <f aca="false">I158*J158*MAX(0,K158-DiscountCap)</f>
        <v>0</v>
      </c>
    </row>
    <row r="159" customFormat="false" ht="15" hidden="false" customHeight="false" outlineLevel="0" collapsed="false">
      <c r="A159" s="37" t="s">
        <v>303</v>
      </c>
      <c r="B159" s="38" t="n">
        <v>45728</v>
      </c>
      <c r="C159" s="37" t="n">
        <f aca="false">MONTH(B159)</f>
        <v>3</v>
      </c>
      <c r="D159" s="37" t="s">
        <v>169</v>
      </c>
      <c r="E159" s="37" t="s">
        <v>44</v>
      </c>
      <c r="F159" s="37" t="s">
        <v>97</v>
      </c>
      <c r="G159" s="37" t="s">
        <v>92</v>
      </c>
      <c r="H159" s="37" t="s">
        <v>112</v>
      </c>
      <c r="I159" s="37" t="n">
        <v>1</v>
      </c>
      <c r="J159" s="39" t="n">
        <v>3299</v>
      </c>
      <c r="K159" s="40" t="n">
        <v>0.1</v>
      </c>
      <c r="L159" s="39" t="n">
        <f aca="false">VLOOKUP(H159,'Product List'!$A$3:$D$18,4,FALSE())</f>
        <v>2250</v>
      </c>
      <c r="M159" s="39" t="n">
        <f aca="false">I159*J159*(1-K159)</f>
        <v>2969.1</v>
      </c>
      <c r="N159" s="39" t="n">
        <f aca="false">I159*L159</f>
        <v>2250</v>
      </c>
      <c r="O159" s="39" t="n">
        <f aca="false">M159-N159</f>
        <v>719.1</v>
      </c>
      <c r="P159" s="41" t="n">
        <f aca="false">IF(M159=0,0,O159/M159)</f>
        <v>0.242194604425584</v>
      </c>
      <c r="Q159" s="37" t="str">
        <f aca="false">IF(K159=0,"No discount",IF(K159&lt;=0.1,"1-10%",IF(K159&lt;=0.2,"11-20%",IF(K159&lt;=0.3,"21-30%","Above 30%"))))</f>
        <v>1-10%</v>
      </c>
      <c r="R159" s="39" t="n">
        <f aca="false">I159*J159*MAX(0,K159-DiscountCap)</f>
        <v>0</v>
      </c>
    </row>
    <row r="160" customFormat="false" ht="15" hidden="false" customHeight="false" outlineLevel="0" collapsed="false">
      <c r="A160" s="37" t="s">
        <v>304</v>
      </c>
      <c r="B160" s="38" t="n">
        <v>45734</v>
      </c>
      <c r="C160" s="37" t="n">
        <f aca="false">MONTH(B160)</f>
        <v>3</v>
      </c>
      <c r="D160" s="37" t="s">
        <v>140</v>
      </c>
      <c r="E160" s="37" t="s">
        <v>44</v>
      </c>
      <c r="F160" s="37" t="s">
        <v>97</v>
      </c>
      <c r="G160" s="37" t="s">
        <v>91</v>
      </c>
      <c r="H160" s="37" t="s">
        <v>117</v>
      </c>
      <c r="I160" s="37" t="n">
        <v>3</v>
      </c>
      <c r="J160" s="39" t="n">
        <v>1499</v>
      </c>
      <c r="K160" s="40" t="n">
        <v>0</v>
      </c>
      <c r="L160" s="39" t="n">
        <f aca="false">VLOOKUP(H160,'Product List'!$A$3:$D$18,4,FALSE())</f>
        <v>780</v>
      </c>
      <c r="M160" s="39" t="n">
        <f aca="false">I160*J160*(1-K160)</f>
        <v>4497</v>
      </c>
      <c r="N160" s="39" t="n">
        <f aca="false">I160*L160</f>
        <v>2340</v>
      </c>
      <c r="O160" s="39" t="n">
        <f aca="false">M160-N160</f>
        <v>2157</v>
      </c>
      <c r="P160" s="41" t="n">
        <f aca="false">IF(M160=0,0,O160/M160)</f>
        <v>0.479653102068045</v>
      </c>
      <c r="Q160" s="37" t="str">
        <f aca="false">IF(K160=0,"No discount",IF(K160&lt;=0.1,"1-10%",IF(K160&lt;=0.2,"11-20%",IF(K160&lt;=0.3,"21-30%","Above 30%"))))</f>
        <v>No discount</v>
      </c>
      <c r="R160" s="39" t="n">
        <f aca="false">I160*J160*MAX(0,K160-DiscountCap)</f>
        <v>0</v>
      </c>
    </row>
    <row r="161" customFormat="false" ht="15" hidden="false" customHeight="false" outlineLevel="0" collapsed="false">
      <c r="A161" s="37" t="s">
        <v>305</v>
      </c>
      <c r="B161" s="38" t="n">
        <v>45729</v>
      </c>
      <c r="C161" s="37" t="n">
        <f aca="false">MONTH(B161)</f>
        <v>3</v>
      </c>
      <c r="D161" s="37" t="s">
        <v>169</v>
      </c>
      <c r="E161" s="37" t="s">
        <v>44</v>
      </c>
      <c r="F161" s="37" t="s">
        <v>97</v>
      </c>
      <c r="G161" s="37" t="s">
        <v>93</v>
      </c>
      <c r="H161" s="37" t="s">
        <v>121</v>
      </c>
      <c r="I161" s="37" t="n">
        <v>2</v>
      </c>
      <c r="J161" s="39" t="n">
        <v>999</v>
      </c>
      <c r="K161" s="40" t="n">
        <v>0</v>
      </c>
      <c r="L161" s="39" t="n">
        <f aca="false">VLOOKUP(H161,'Product List'!$A$3:$D$18,4,FALSE())</f>
        <v>500</v>
      </c>
      <c r="M161" s="39" t="n">
        <f aca="false">I161*J161*(1-K161)</f>
        <v>1998</v>
      </c>
      <c r="N161" s="39" t="n">
        <f aca="false">I161*L161</f>
        <v>1000</v>
      </c>
      <c r="O161" s="39" t="n">
        <f aca="false">M161-N161</f>
        <v>998</v>
      </c>
      <c r="P161" s="41" t="n">
        <f aca="false">IF(M161=0,0,O161/M161)</f>
        <v>0.4994994994995</v>
      </c>
      <c r="Q161" s="37" t="str">
        <f aca="false">IF(K161=0,"No discount",IF(K161&lt;=0.1,"1-10%",IF(K161&lt;=0.2,"11-20%",IF(K161&lt;=0.3,"21-30%","Above 30%"))))</f>
        <v>No discount</v>
      </c>
      <c r="R161" s="39" t="n">
        <f aca="false">I161*J161*MAX(0,K161-DiscountCap)</f>
        <v>0</v>
      </c>
    </row>
    <row r="162" customFormat="false" ht="15" hidden="false" customHeight="false" outlineLevel="0" collapsed="false">
      <c r="A162" s="37" t="s">
        <v>306</v>
      </c>
      <c r="B162" s="38" t="n">
        <v>45742</v>
      </c>
      <c r="C162" s="37" t="n">
        <f aca="false">MONTH(B162)</f>
        <v>3</v>
      </c>
      <c r="D162" s="37" t="s">
        <v>146</v>
      </c>
      <c r="E162" s="37" t="s">
        <v>45</v>
      </c>
      <c r="F162" s="37" t="s">
        <v>96</v>
      </c>
      <c r="G162" s="37" t="s">
        <v>92</v>
      </c>
      <c r="H162" s="37" t="s">
        <v>112</v>
      </c>
      <c r="I162" s="37" t="n">
        <v>3</v>
      </c>
      <c r="J162" s="39" t="n">
        <v>3299</v>
      </c>
      <c r="K162" s="40" t="n">
        <v>0.15</v>
      </c>
      <c r="L162" s="39" t="n">
        <f aca="false">VLOOKUP(H162,'Product List'!$A$3:$D$18,4,FALSE())</f>
        <v>2250</v>
      </c>
      <c r="M162" s="39" t="n">
        <f aca="false">I162*J162*(1-K162)</f>
        <v>8412.45</v>
      </c>
      <c r="N162" s="39" t="n">
        <f aca="false">I162*L162</f>
        <v>6750</v>
      </c>
      <c r="O162" s="39" t="n">
        <f aca="false">M162-N162</f>
        <v>1662.45</v>
      </c>
      <c r="P162" s="41" t="n">
        <f aca="false">IF(M162=0,0,O162/M162)</f>
        <v>0.197617816450618</v>
      </c>
      <c r="Q162" s="37" t="str">
        <f aca="false">IF(K162=0,"No discount",IF(K162&lt;=0.1,"1-10%",IF(K162&lt;=0.2,"11-20%",IF(K162&lt;=0.3,"21-30%","Above 30%"))))</f>
        <v>11-20%</v>
      </c>
      <c r="R162" s="39" t="n">
        <f aca="false">I162*J162*MAX(0,K162-DiscountCap)</f>
        <v>0</v>
      </c>
    </row>
    <row r="163" customFormat="false" ht="15" hidden="false" customHeight="false" outlineLevel="0" collapsed="false">
      <c r="A163" s="37" t="s">
        <v>307</v>
      </c>
      <c r="B163" s="38" t="n">
        <v>45734</v>
      </c>
      <c r="C163" s="37" t="n">
        <f aca="false">MONTH(B163)</f>
        <v>3</v>
      </c>
      <c r="D163" s="37" t="s">
        <v>160</v>
      </c>
      <c r="E163" s="37" t="s">
        <v>46</v>
      </c>
      <c r="F163" s="37" t="s">
        <v>96</v>
      </c>
      <c r="G163" s="37" t="s">
        <v>93</v>
      </c>
      <c r="H163" s="37" t="s">
        <v>122</v>
      </c>
      <c r="I163" s="37" t="n">
        <v>1</v>
      </c>
      <c r="J163" s="39" t="n">
        <v>1799</v>
      </c>
      <c r="K163" s="40" t="n">
        <v>0.4</v>
      </c>
      <c r="L163" s="39" t="n">
        <f aca="false">VLOOKUP(H163,'Product List'!$A$3:$D$18,4,FALSE())</f>
        <v>1250</v>
      </c>
      <c r="M163" s="39" t="n">
        <f aca="false">I163*J163*(1-K163)</f>
        <v>1079.4</v>
      </c>
      <c r="N163" s="39" t="n">
        <f aca="false">I163*L163</f>
        <v>1250</v>
      </c>
      <c r="O163" s="39" t="n">
        <f aca="false">M163-N163</f>
        <v>-170.6</v>
      </c>
      <c r="P163" s="41" t="n">
        <f aca="false">IF(M163=0,0,O163/M163)</f>
        <v>-0.158050768945711</v>
      </c>
      <c r="Q163" s="37" t="str">
        <f aca="false">IF(K163=0,"No discount",IF(K163&lt;=0.1,"1-10%",IF(K163&lt;=0.2,"11-20%",IF(K163&lt;=0.3,"21-30%","Above 30%"))))</f>
        <v>Above 30%</v>
      </c>
      <c r="R163" s="39" t="n">
        <f aca="false">I163*J163*MAX(0,K163-DiscountCap)</f>
        <v>359.8</v>
      </c>
    </row>
    <row r="164" customFormat="false" ht="15" hidden="false" customHeight="false" outlineLevel="0" collapsed="false">
      <c r="A164" s="37" t="s">
        <v>308</v>
      </c>
      <c r="B164" s="38" t="n">
        <v>45718</v>
      </c>
      <c r="C164" s="37" t="n">
        <f aca="false">MONTH(B164)</f>
        <v>3</v>
      </c>
      <c r="D164" s="37" t="s">
        <v>166</v>
      </c>
      <c r="E164" s="37" t="s">
        <v>44</v>
      </c>
      <c r="F164" s="37" t="s">
        <v>96</v>
      </c>
      <c r="G164" s="37" t="s">
        <v>90</v>
      </c>
      <c r="H164" s="37" t="s">
        <v>108</v>
      </c>
      <c r="I164" s="37" t="n">
        <v>5</v>
      </c>
      <c r="J164" s="39" t="n">
        <v>1999</v>
      </c>
      <c r="K164" s="40" t="n">
        <v>0.1</v>
      </c>
      <c r="L164" s="39" t="n">
        <f aca="false">VLOOKUP(H164,'Product List'!$A$3:$D$18,4,FALSE())</f>
        <v>1560</v>
      </c>
      <c r="M164" s="39" t="n">
        <f aca="false">I164*J164*(1-K164)</f>
        <v>8995.5</v>
      </c>
      <c r="N164" s="39" t="n">
        <f aca="false">I164*L164</f>
        <v>7800</v>
      </c>
      <c r="O164" s="39" t="n">
        <f aca="false">M164-N164</f>
        <v>1195.5</v>
      </c>
      <c r="P164" s="41" t="n">
        <f aca="false">IF(M164=0,0,O164/M164)</f>
        <v>0.132899783224946</v>
      </c>
      <c r="Q164" s="37" t="str">
        <f aca="false">IF(K164=0,"No discount",IF(K164&lt;=0.1,"1-10%",IF(K164&lt;=0.2,"11-20%",IF(K164&lt;=0.3,"21-30%","Above 30%"))))</f>
        <v>1-10%</v>
      </c>
      <c r="R164" s="39" t="n">
        <f aca="false">I164*J164*MAX(0,K164-DiscountCap)</f>
        <v>0</v>
      </c>
    </row>
    <row r="165" customFormat="false" ht="15" hidden="false" customHeight="false" outlineLevel="0" collapsed="false">
      <c r="A165" s="37" t="s">
        <v>309</v>
      </c>
      <c r="B165" s="38" t="n">
        <v>45733</v>
      </c>
      <c r="C165" s="37" t="n">
        <f aca="false">MONTH(B165)</f>
        <v>3</v>
      </c>
      <c r="D165" s="37" t="s">
        <v>154</v>
      </c>
      <c r="E165" s="37" t="s">
        <v>47</v>
      </c>
      <c r="F165" s="37" t="s">
        <v>96</v>
      </c>
      <c r="G165" s="37" t="s">
        <v>91</v>
      </c>
      <c r="H165" s="37" t="s">
        <v>119</v>
      </c>
      <c r="I165" s="37" t="n">
        <v>1</v>
      </c>
      <c r="J165" s="39" t="n">
        <v>1099</v>
      </c>
      <c r="K165" s="40" t="n">
        <v>0.15</v>
      </c>
      <c r="L165" s="39" t="n">
        <f aca="false">VLOOKUP(H165,'Product List'!$A$3:$D$18,4,FALSE())</f>
        <v>560</v>
      </c>
      <c r="M165" s="39" t="n">
        <f aca="false">I165*J165*(1-K165)</f>
        <v>934.15</v>
      </c>
      <c r="N165" s="39" t="n">
        <f aca="false">I165*L165</f>
        <v>560</v>
      </c>
      <c r="O165" s="39" t="n">
        <f aca="false">M165-N165</f>
        <v>374.15</v>
      </c>
      <c r="P165" s="41" t="n">
        <f aca="false">IF(M165=0,0,O165/M165)</f>
        <v>0.400524541026602</v>
      </c>
      <c r="Q165" s="37" t="str">
        <f aca="false">IF(K165=0,"No discount",IF(K165&lt;=0.1,"1-10%",IF(K165&lt;=0.2,"11-20%",IF(K165&lt;=0.3,"21-30%","Above 30%"))))</f>
        <v>11-20%</v>
      </c>
      <c r="R165" s="39" t="n">
        <f aca="false">I165*J165*MAX(0,K165-DiscountCap)</f>
        <v>0</v>
      </c>
    </row>
    <row r="166" customFormat="false" ht="15" hidden="false" customHeight="false" outlineLevel="0" collapsed="false">
      <c r="A166" s="37" t="s">
        <v>310</v>
      </c>
      <c r="B166" s="38" t="n">
        <v>45722</v>
      </c>
      <c r="C166" s="37" t="n">
        <f aca="false">MONTH(B166)</f>
        <v>3</v>
      </c>
      <c r="D166" s="37" t="s">
        <v>160</v>
      </c>
      <c r="E166" s="37" t="s">
        <v>46</v>
      </c>
      <c r="F166" s="37" t="s">
        <v>97</v>
      </c>
      <c r="G166" s="37" t="s">
        <v>90</v>
      </c>
      <c r="H166" s="37" t="s">
        <v>111</v>
      </c>
      <c r="I166" s="37" t="n">
        <v>1</v>
      </c>
      <c r="J166" s="39" t="n">
        <v>2499</v>
      </c>
      <c r="K166" s="40" t="n">
        <v>0.05</v>
      </c>
      <c r="L166" s="39" t="n">
        <f aca="false">VLOOKUP(H166,'Product List'!$A$3:$D$18,4,FALSE())</f>
        <v>1950</v>
      </c>
      <c r="M166" s="39" t="n">
        <f aca="false">I166*J166*(1-K166)</f>
        <v>2374.05</v>
      </c>
      <c r="N166" s="39" t="n">
        <f aca="false">I166*L166</f>
        <v>1950</v>
      </c>
      <c r="O166" s="39" t="n">
        <f aca="false">M166-N166</f>
        <v>424.05</v>
      </c>
      <c r="P166" s="41" t="n">
        <f aca="false">IF(M166=0,0,O166/M166)</f>
        <v>0.178618815947432</v>
      </c>
      <c r="Q166" s="37" t="str">
        <f aca="false">IF(K166=0,"No discount",IF(K166&lt;=0.1,"1-10%",IF(K166&lt;=0.2,"11-20%",IF(K166&lt;=0.3,"21-30%","Above 30%"))))</f>
        <v>1-10%</v>
      </c>
      <c r="R166" s="39" t="n">
        <f aca="false">I166*J166*MAX(0,K166-DiscountCap)</f>
        <v>0</v>
      </c>
    </row>
    <row r="167" customFormat="false" ht="15" hidden="false" customHeight="false" outlineLevel="0" collapsed="false">
      <c r="A167" s="37" t="s">
        <v>311</v>
      </c>
      <c r="B167" s="38" t="n">
        <v>45735</v>
      </c>
      <c r="C167" s="37" t="n">
        <f aca="false">MONTH(B167)</f>
        <v>3</v>
      </c>
      <c r="D167" s="37" t="s">
        <v>172</v>
      </c>
      <c r="E167" s="37" t="s">
        <v>46</v>
      </c>
      <c r="F167" s="37" t="s">
        <v>96</v>
      </c>
      <c r="G167" s="37" t="s">
        <v>91</v>
      </c>
      <c r="H167" s="37" t="s">
        <v>118</v>
      </c>
      <c r="I167" s="37" t="n">
        <v>1</v>
      </c>
      <c r="J167" s="39" t="n">
        <v>2299</v>
      </c>
      <c r="K167" s="40" t="n">
        <v>0.25</v>
      </c>
      <c r="L167" s="39" t="n">
        <f aca="false">VLOOKUP(H167,'Product List'!$A$3:$D$18,4,FALSE())</f>
        <v>1300</v>
      </c>
      <c r="M167" s="39" t="n">
        <f aca="false">I167*J167*(1-K167)</f>
        <v>1724.25</v>
      </c>
      <c r="N167" s="39" t="n">
        <f aca="false">I167*L167</f>
        <v>1300</v>
      </c>
      <c r="O167" s="39" t="n">
        <f aca="false">M167-N167</f>
        <v>424.25</v>
      </c>
      <c r="P167" s="41" t="n">
        <f aca="false">IF(M167=0,0,O167/M167)</f>
        <v>0.246049006814557</v>
      </c>
      <c r="Q167" s="37" t="str">
        <f aca="false">IF(K167=0,"No discount",IF(K167&lt;=0.1,"1-10%",IF(K167&lt;=0.2,"11-20%",IF(K167&lt;=0.3,"21-30%","Above 30%"))))</f>
        <v>21-30%</v>
      </c>
      <c r="R167" s="39" t="n">
        <f aca="false">I167*J167*MAX(0,K167-DiscountCap)</f>
        <v>114.95</v>
      </c>
    </row>
    <row r="168" customFormat="false" ht="15" hidden="false" customHeight="false" outlineLevel="0" collapsed="false">
      <c r="A168" s="37" t="s">
        <v>312</v>
      </c>
      <c r="B168" s="38" t="n">
        <v>45733</v>
      </c>
      <c r="C168" s="37" t="n">
        <f aca="false">MONTH(B168)</f>
        <v>3</v>
      </c>
      <c r="D168" s="37" t="s">
        <v>136</v>
      </c>
      <c r="E168" s="37" t="s">
        <v>47</v>
      </c>
      <c r="F168" s="37" t="s">
        <v>97</v>
      </c>
      <c r="G168" s="37" t="s">
        <v>92</v>
      </c>
      <c r="H168" s="37" t="s">
        <v>115</v>
      </c>
      <c r="I168" s="37" t="n">
        <v>2</v>
      </c>
      <c r="J168" s="39" t="n">
        <v>1799</v>
      </c>
      <c r="K168" s="40" t="n">
        <v>0</v>
      </c>
      <c r="L168" s="39" t="n">
        <f aca="false">VLOOKUP(H168,'Product List'!$A$3:$D$18,4,FALSE())</f>
        <v>1150</v>
      </c>
      <c r="M168" s="39" t="n">
        <f aca="false">I168*J168*(1-K168)</f>
        <v>3598</v>
      </c>
      <c r="N168" s="39" t="n">
        <f aca="false">I168*L168</f>
        <v>2300</v>
      </c>
      <c r="O168" s="39" t="n">
        <f aca="false">M168-N168</f>
        <v>1298</v>
      </c>
      <c r="P168" s="41" t="n">
        <f aca="false">IF(M168=0,0,O168/M168)</f>
        <v>0.360755975541968</v>
      </c>
      <c r="Q168" s="37" t="str">
        <f aca="false">IF(K168=0,"No discount",IF(K168&lt;=0.1,"1-10%",IF(K168&lt;=0.2,"11-20%",IF(K168&lt;=0.3,"21-30%","Above 30%"))))</f>
        <v>No discount</v>
      </c>
      <c r="R168" s="39" t="n">
        <f aca="false">I168*J168*MAX(0,K168-DiscountCap)</f>
        <v>0</v>
      </c>
    </row>
    <row r="169" customFormat="false" ht="15" hidden="false" customHeight="false" outlineLevel="0" collapsed="false">
      <c r="A169" s="37" t="s">
        <v>313</v>
      </c>
      <c r="B169" s="38" t="n">
        <v>45739</v>
      </c>
      <c r="C169" s="37" t="n">
        <f aca="false">MONTH(B169)</f>
        <v>3</v>
      </c>
      <c r="D169" s="37" t="s">
        <v>138</v>
      </c>
      <c r="E169" s="37" t="s">
        <v>46</v>
      </c>
      <c r="F169" s="37" t="s">
        <v>97</v>
      </c>
      <c r="G169" s="37" t="s">
        <v>91</v>
      </c>
      <c r="H169" s="37" t="s">
        <v>117</v>
      </c>
      <c r="I169" s="37" t="n">
        <v>1</v>
      </c>
      <c r="J169" s="39" t="n">
        <v>1499</v>
      </c>
      <c r="K169" s="40" t="n">
        <v>0</v>
      </c>
      <c r="L169" s="39" t="n">
        <f aca="false">VLOOKUP(H169,'Product List'!$A$3:$D$18,4,FALSE())</f>
        <v>780</v>
      </c>
      <c r="M169" s="39" t="n">
        <f aca="false">I169*J169*(1-K169)</f>
        <v>1499</v>
      </c>
      <c r="N169" s="39" t="n">
        <f aca="false">I169*L169</f>
        <v>780</v>
      </c>
      <c r="O169" s="39" t="n">
        <f aca="false">M169-N169</f>
        <v>719</v>
      </c>
      <c r="P169" s="41" t="n">
        <f aca="false">IF(M169=0,0,O169/M169)</f>
        <v>0.479653102068045</v>
      </c>
      <c r="Q169" s="37" t="str">
        <f aca="false">IF(K169=0,"No discount",IF(K169&lt;=0.1,"1-10%",IF(K169&lt;=0.2,"11-20%",IF(K169&lt;=0.3,"21-30%","Above 30%"))))</f>
        <v>No discount</v>
      </c>
      <c r="R169" s="39" t="n">
        <f aca="false">I169*J169*MAX(0,K169-DiscountCap)</f>
        <v>0</v>
      </c>
    </row>
    <row r="170" customFormat="false" ht="15" hidden="false" customHeight="false" outlineLevel="0" collapsed="false">
      <c r="A170" s="37" t="s">
        <v>314</v>
      </c>
      <c r="B170" s="38" t="n">
        <v>45726</v>
      </c>
      <c r="C170" s="37" t="n">
        <f aca="false">MONTH(B170)</f>
        <v>3</v>
      </c>
      <c r="D170" s="37" t="s">
        <v>146</v>
      </c>
      <c r="E170" s="37" t="s">
        <v>45</v>
      </c>
      <c r="F170" s="37" t="s">
        <v>97</v>
      </c>
      <c r="G170" s="37" t="s">
        <v>90</v>
      </c>
      <c r="H170" s="37" t="s">
        <v>111</v>
      </c>
      <c r="I170" s="37" t="n">
        <v>1</v>
      </c>
      <c r="J170" s="39" t="n">
        <v>2499</v>
      </c>
      <c r="K170" s="40" t="n">
        <v>0</v>
      </c>
      <c r="L170" s="39" t="n">
        <f aca="false">VLOOKUP(H170,'Product List'!$A$3:$D$18,4,FALSE())</f>
        <v>1950</v>
      </c>
      <c r="M170" s="39" t="n">
        <f aca="false">I170*J170*(1-K170)</f>
        <v>2499</v>
      </c>
      <c r="N170" s="39" t="n">
        <f aca="false">I170*L170</f>
        <v>1950</v>
      </c>
      <c r="O170" s="39" t="n">
        <f aca="false">M170-N170</f>
        <v>549</v>
      </c>
      <c r="P170" s="41" t="n">
        <f aca="false">IF(M170=0,0,O170/M170)</f>
        <v>0.21968787515006</v>
      </c>
      <c r="Q170" s="37" t="str">
        <f aca="false">IF(K170=0,"No discount",IF(K170&lt;=0.1,"1-10%",IF(K170&lt;=0.2,"11-20%",IF(K170&lt;=0.3,"21-30%","Above 30%"))))</f>
        <v>No discount</v>
      </c>
      <c r="R170" s="39" t="n">
        <f aca="false">I170*J170*MAX(0,K170-DiscountCap)</f>
        <v>0</v>
      </c>
    </row>
    <row r="171" customFormat="false" ht="15" hidden="false" customHeight="false" outlineLevel="0" collapsed="false">
      <c r="A171" s="37" t="s">
        <v>315</v>
      </c>
      <c r="B171" s="38" t="n">
        <v>45734</v>
      </c>
      <c r="C171" s="37" t="n">
        <f aca="false">MONTH(B171)</f>
        <v>3</v>
      </c>
      <c r="D171" s="37" t="s">
        <v>136</v>
      </c>
      <c r="E171" s="37" t="s">
        <v>47</v>
      </c>
      <c r="F171" s="37" t="s">
        <v>96</v>
      </c>
      <c r="G171" s="37" t="s">
        <v>91</v>
      </c>
      <c r="H171" s="37" t="s">
        <v>119</v>
      </c>
      <c r="I171" s="37" t="n">
        <v>1</v>
      </c>
      <c r="J171" s="39" t="n">
        <v>1099</v>
      </c>
      <c r="K171" s="40" t="n">
        <v>0.15</v>
      </c>
      <c r="L171" s="39" t="n">
        <f aca="false">VLOOKUP(H171,'Product List'!$A$3:$D$18,4,FALSE())</f>
        <v>560</v>
      </c>
      <c r="M171" s="39" t="n">
        <f aca="false">I171*J171*(1-K171)</f>
        <v>934.15</v>
      </c>
      <c r="N171" s="39" t="n">
        <f aca="false">I171*L171</f>
        <v>560</v>
      </c>
      <c r="O171" s="39" t="n">
        <f aca="false">M171-N171</f>
        <v>374.15</v>
      </c>
      <c r="P171" s="41" t="n">
        <f aca="false">IF(M171=0,0,O171/M171)</f>
        <v>0.400524541026602</v>
      </c>
      <c r="Q171" s="37" t="str">
        <f aca="false">IF(K171=0,"No discount",IF(K171&lt;=0.1,"1-10%",IF(K171&lt;=0.2,"11-20%",IF(K171&lt;=0.3,"21-30%","Above 30%"))))</f>
        <v>11-20%</v>
      </c>
      <c r="R171" s="39" t="n">
        <f aca="false">I171*J171*MAX(0,K171-DiscountCap)</f>
        <v>0</v>
      </c>
    </row>
    <row r="172" customFormat="false" ht="15" hidden="false" customHeight="false" outlineLevel="0" collapsed="false">
      <c r="A172" s="37" t="s">
        <v>316</v>
      </c>
      <c r="B172" s="38" t="n">
        <v>45739</v>
      </c>
      <c r="C172" s="37" t="n">
        <f aca="false">MONTH(B172)</f>
        <v>3</v>
      </c>
      <c r="D172" s="37" t="s">
        <v>172</v>
      </c>
      <c r="E172" s="37" t="s">
        <v>46</v>
      </c>
      <c r="F172" s="37" t="s">
        <v>96</v>
      </c>
      <c r="G172" s="37" t="s">
        <v>92</v>
      </c>
      <c r="H172" s="37" t="s">
        <v>114</v>
      </c>
      <c r="I172" s="37" t="n">
        <v>2</v>
      </c>
      <c r="J172" s="39" t="n">
        <v>1199</v>
      </c>
      <c r="K172" s="40" t="n">
        <v>0.15</v>
      </c>
      <c r="L172" s="39" t="n">
        <f aca="false">VLOOKUP(H172,'Product List'!$A$3:$D$18,4,FALSE())</f>
        <v>780</v>
      </c>
      <c r="M172" s="39" t="n">
        <f aca="false">I172*J172*(1-K172)</f>
        <v>2038.3</v>
      </c>
      <c r="N172" s="39" t="n">
        <f aca="false">I172*L172</f>
        <v>1560</v>
      </c>
      <c r="O172" s="39" t="n">
        <f aca="false">M172-N172</f>
        <v>478.3</v>
      </c>
      <c r="P172" s="41" t="n">
        <f aca="false">IF(M172=0,0,O172/M172)</f>
        <v>0.234656331256439</v>
      </c>
      <c r="Q172" s="37" t="str">
        <f aca="false">IF(K172=0,"No discount",IF(K172&lt;=0.1,"1-10%",IF(K172&lt;=0.2,"11-20%",IF(K172&lt;=0.3,"21-30%","Above 30%"))))</f>
        <v>11-20%</v>
      </c>
      <c r="R172" s="39" t="n">
        <f aca="false">I172*J172*MAX(0,K172-DiscountCap)</f>
        <v>0</v>
      </c>
    </row>
    <row r="173" customFormat="false" ht="15" hidden="false" customHeight="false" outlineLevel="0" collapsed="false">
      <c r="A173" s="37" t="s">
        <v>317</v>
      </c>
      <c r="B173" s="38" t="n">
        <v>45722</v>
      </c>
      <c r="C173" s="37" t="n">
        <f aca="false">MONTH(B173)</f>
        <v>3</v>
      </c>
      <c r="D173" s="37" t="s">
        <v>166</v>
      </c>
      <c r="E173" s="37" t="s">
        <v>44</v>
      </c>
      <c r="F173" s="37" t="s">
        <v>96</v>
      </c>
      <c r="G173" s="37" t="s">
        <v>92</v>
      </c>
      <c r="H173" s="37" t="s">
        <v>115</v>
      </c>
      <c r="I173" s="37" t="n">
        <v>1</v>
      </c>
      <c r="J173" s="39" t="n">
        <v>1799</v>
      </c>
      <c r="K173" s="40" t="n">
        <v>0.15</v>
      </c>
      <c r="L173" s="39" t="n">
        <f aca="false">VLOOKUP(H173,'Product List'!$A$3:$D$18,4,FALSE())</f>
        <v>1150</v>
      </c>
      <c r="M173" s="39" t="n">
        <f aca="false">I173*J173*(1-K173)</f>
        <v>1529.15</v>
      </c>
      <c r="N173" s="39" t="n">
        <f aca="false">I173*L173</f>
        <v>1150</v>
      </c>
      <c r="O173" s="39" t="n">
        <f aca="false">M173-N173</f>
        <v>379.15</v>
      </c>
      <c r="P173" s="41" t="n">
        <f aca="false">IF(M173=0,0,O173/M173)</f>
        <v>0.247948206519962</v>
      </c>
      <c r="Q173" s="37" t="str">
        <f aca="false">IF(K173=0,"No discount",IF(K173&lt;=0.1,"1-10%",IF(K173&lt;=0.2,"11-20%",IF(K173&lt;=0.3,"21-30%","Above 30%"))))</f>
        <v>11-20%</v>
      </c>
      <c r="R173" s="39" t="n">
        <f aca="false">I173*J173*MAX(0,K173-DiscountCap)</f>
        <v>0</v>
      </c>
    </row>
    <row r="174" customFormat="false" ht="15" hidden="false" customHeight="false" outlineLevel="0" collapsed="false">
      <c r="A174" s="37" t="s">
        <v>318</v>
      </c>
      <c r="B174" s="38" t="n">
        <v>45742</v>
      </c>
      <c r="C174" s="37" t="n">
        <f aca="false">MONTH(B174)</f>
        <v>3</v>
      </c>
      <c r="D174" s="37" t="s">
        <v>140</v>
      </c>
      <c r="E174" s="37" t="s">
        <v>44</v>
      </c>
      <c r="F174" s="37" t="s">
        <v>97</v>
      </c>
      <c r="G174" s="37" t="s">
        <v>90</v>
      </c>
      <c r="H174" s="37" t="s">
        <v>109</v>
      </c>
      <c r="I174" s="37" t="n">
        <v>1</v>
      </c>
      <c r="J174" s="39" t="n">
        <v>3499</v>
      </c>
      <c r="K174" s="40" t="n">
        <v>0.1</v>
      </c>
      <c r="L174" s="39" t="n">
        <f aca="false">VLOOKUP(H174,'Product List'!$A$3:$D$18,4,FALSE())</f>
        <v>2750</v>
      </c>
      <c r="M174" s="39" t="n">
        <f aca="false">I174*J174*(1-K174)</f>
        <v>3149.1</v>
      </c>
      <c r="N174" s="39" t="n">
        <f aca="false">I174*L174</f>
        <v>2750</v>
      </c>
      <c r="O174" s="39" t="n">
        <f aca="false">M174-N174</f>
        <v>399.1</v>
      </c>
      <c r="P174" s="41" t="n">
        <f aca="false">IF(M174=0,0,O174/M174)</f>
        <v>0.126734622590581</v>
      </c>
      <c r="Q174" s="37" t="str">
        <f aca="false">IF(K174=0,"No discount",IF(K174&lt;=0.1,"1-10%",IF(K174&lt;=0.2,"11-20%",IF(K174&lt;=0.3,"21-30%","Above 30%"))))</f>
        <v>1-10%</v>
      </c>
      <c r="R174" s="39" t="n">
        <f aca="false">I174*J174*MAX(0,K174-DiscountCap)</f>
        <v>0</v>
      </c>
    </row>
    <row r="175" customFormat="false" ht="15" hidden="false" customHeight="false" outlineLevel="0" collapsed="false">
      <c r="A175" s="37" t="s">
        <v>319</v>
      </c>
      <c r="B175" s="38" t="n">
        <v>45736</v>
      </c>
      <c r="C175" s="37" t="n">
        <f aca="false">MONTH(B175)</f>
        <v>3</v>
      </c>
      <c r="D175" s="37" t="s">
        <v>142</v>
      </c>
      <c r="E175" s="37" t="s">
        <v>47</v>
      </c>
      <c r="F175" s="37" t="s">
        <v>96</v>
      </c>
      <c r="G175" s="37" t="s">
        <v>93</v>
      </c>
      <c r="H175" s="37" t="s">
        <v>120</v>
      </c>
      <c r="I175" s="37" t="n">
        <v>2</v>
      </c>
      <c r="J175" s="39" t="n">
        <v>449</v>
      </c>
      <c r="K175" s="40" t="n">
        <v>0.3</v>
      </c>
      <c r="L175" s="39" t="n">
        <f aca="false">VLOOKUP(H175,'Product List'!$A$3:$D$18,4,FALSE())</f>
        <v>240</v>
      </c>
      <c r="M175" s="39" t="n">
        <f aca="false">I175*J175*(1-K175)</f>
        <v>628.6</v>
      </c>
      <c r="N175" s="39" t="n">
        <f aca="false">I175*L175</f>
        <v>480</v>
      </c>
      <c r="O175" s="39" t="n">
        <f aca="false">M175-N175</f>
        <v>148.6</v>
      </c>
      <c r="P175" s="41" t="n">
        <f aca="false">IF(M175=0,0,O175/M175)</f>
        <v>0.236398345529749</v>
      </c>
      <c r="Q175" s="37" t="str">
        <f aca="false">IF(K175=0,"No discount",IF(K175&lt;=0.1,"1-10%",IF(K175&lt;=0.2,"11-20%",IF(K175&lt;=0.3,"21-30%","Above 30%"))))</f>
        <v>21-30%</v>
      </c>
      <c r="R175" s="39" t="n">
        <f aca="false">I175*J175*MAX(0,K175-DiscountCap)</f>
        <v>89.8</v>
      </c>
    </row>
    <row r="176" customFormat="false" ht="15" hidden="false" customHeight="false" outlineLevel="0" collapsed="false">
      <c r="A176" s="37" t="s">
        <v>320</v>
      </c>
      <c r="B176" s="38" t="n">
        <v>45744</v>
      </c>
      <c r="C176" s="37" t="n">
        <f aca="false">MONTH(B176)</f>
        <v>3</v>
      </c>
      <c r="D176" s="37" t="s">
        <v>142</v>
      </c>
      <c r="E176" s="37" t="s">
        <v>47</v>
      </c>
      <c r="F176" s="37" t="s">
        <v>96</v>
      </c>
      <c r="G176" s="37" t="s">
        <v>90</v>
      </c>
      <c r="H176" s="37" t="s">
        <v>110</v>
      </c>
      <c r="I176" s="37" t="n">
        <v>2</v>
      </c>
      <c r="J176" s="39" t="n">
        <v>1299</v>
      </c>
      <c r="K176" s="40" t="n">
        <v>0.05</v>
      </c>
      <c r="L176" s="39" t="n">
        <f aca="false">VLOOKUP(H176,'Product List'!$A$3:$D$18,4,FALSE())</f>
        <v>1000</v>
      </c>
      <c r="M176" s="39" t="n">
        <f aca="false">I176*J176*(1-K176)</f>
        <v>2468.1</v>
      </c>
      <c r="N176" s="39" t="n">
        <f aca="false">I176*L176</f>
        <v>2000</v>
      </c>
      <c r="O176" s="39" t="n">
        <f aca="false">M176-N176</f>
        <v>468.1</v>
      </c>
      <c r="P176" s="41" t="n">
        <f aca="false">IF(M176=0,0,O176/M176)</f>
        <v>0.189660062396175</v>
      </c>
      <c r="Q176" s="37" t="str">
        <f aca="false">IF(K176=0,"No discount",IF(K176&lt;=0.1,"1-10%",IF(K176&lt;=0.2,"11-20%",IF(K176&lt;=0.3,"21-30%","Above 30%"))))</f>
        <v>1-10%</v>
      </c>
      <c r="R176" s="39" t="n">
        <f aca="false">I176*J176*MAX(0,K176-DiscountCap)</f>
        <v>0</v>
      </c>
    </row>
    <row r="177" customFormat="false" ht="15" hidden="false" customHeight="false" outlineLevel="0" collapsed="false">
      <c r="A177" s="37" t="s">
        <v>321</v>
      </c>
      <c r="B177" s="38" t="n">
        <v>45732</v>
      </c>
      <c r="C177" s="37" t="n">
        <f aca="false">MONTH(B177)</f>
        <v>3</v>
      </c>
      <c r="D177" s="37" t="s">
        <v>166</v>
      </c>
      <c r="E177" s="37" t="s">
        <v>44</v>
      </c>
      <c r="F177" s="37" t="s">
        <v>96</v>
      </c>
      <c r="G177" s="37" t="s">
        <v>92</v>
      </c>
      <c r="H177" s="37" t="s">
        <v>115</v>
      </c>
      <c r="I177" s="37" t="n">
        <v>2</v>
      </c>
      <c r="J177" s="39" t="n">
        <v>1799</v>
      </c>
      <c r="K177" s="40" t="n">
        <v>0.2</v>
      </c>
      <c r="L177" s="39" t="n">
        <f aca="false">VLOOKUP(H177,'Product List'!$A$3:$D$18,4,FALSE())</f>
        <v>1150</v>
      </c>
      <c r="M177" s="39" t="n">
        <f aca="false">I177*J177*(1-K177)</f>
        <v>2878.4</v>
      </c>
      <c r="N177" s="39" t="n">
        <f aca="false">I177*L177</f>
        <v>2300</v>
      </c>
      <c r="O177" s="39" t="n">
        <f aca="false">M177-N177</f>
        <v>578.4</v>
      </c>
      <c r="P177" s="41" t="n">
        <f aca="false">IF(M177=0,0,O177/M177)</f>
        <v>0.20094496942746</v>
      </c>
      <c r="Q177" s="37" t="str">
        <f aca="false">IF(K177=0,"No discount",IF(K177&lt;=0.1,"1-10%",IF(K177&lt;=0.2,"11-20%",IF(K177&lt;=0.3,"21-30%","Above 30%"))))</f>
        <v>11-20%</v>
      </c>
      <c r="R177" s="39" t="n">
        <f aca="false">I177*J177*MAX(0,K177-DiscountCap)</f>
        <v>0</v>
      </c>
    </row>
    <row r="178" customFormat="false" ht="15" hidden="false" customHeight="false" outlineLevel="0" collapsed="false">
      <c r="A178" s="37" t="s">
        <v>322</v>
      </c>
      <c r="B178" s="38" t="n">
        <v>45730</v>
      </c>
      <c r="C178" s="37" t="n">
        <f aca="false">MONTH(B178)</f>
        <v>3</v>
      </c>
      <c r="D178" s="37" t="s">
        <v>169</v>
      </c>
      <c r="E178" s="37" t="s">
        <v>44</v>
      </c>
      <c r="F178" s="37" t="s">
        <v>96</v>
      </c>
      <c r="G178" s="37" t="s">
        <v>92</v>
      </c>
      <c r="H178" s="37" t="s">
        <v>114</v>
      </c>
      <c r="I178" s="37" t="n">
        <v>1</v>
      </c>
      <c r="J178" s="39" t="n">
        <v>1199</v>
      </c>
      <c r="K178" s="40" t="n">
        <v>0.1</v>
      </c>
      <c r="L178" s="39" t="n">
        <f aca="false">VLOOKUP(H178,'Product List'!$A$3:$D$18,4,FALSE())</f>
        <v>780</v>
      </c>
      <c r="M178" s="39" t="n">
        <f aca="false">I178*J178*(1-K178)</f>
        <v>1079.1</v>
      </c>
      <c r="N178" s="39" t="n">
        <f aca="false">I178*L178</f>
        <v>780</v>
      </c>
      <c r="O178" s="39" t="n">
        <f aca="false">M178-N178</f>
        <v>299.1</v>
      </c>
      <c r="P178" s="41" t="n">
        <f aca="false">IF(M178=0,0,O178/M178)</f>
        <v>0.277175423964415</v>
      </c>
      <c r="Q178" s="37" t="str">
        <f aca="false">IF(K178=0,"No discount",IF(K178&lt;=0.1,"1-10%",IF(K178&lt;=0.2,"11-20%",IF(K178&lt;=0.3,"21-30%","Above 30%"))))</f>
        <v>1-10%</v>
      </c>
      <c r="R178" s="39" t="n">
        <f aca="false">I178*J178*MAX(0,K178-DiscountCap)</f>
        <v>0</v>
      </c>
    </row>
    <row r="179" customFormat="false" ht="15" hidden="false" customHeight="false" outlineLevel="0" collapsed="false">
      <c r="A179" s="37" t="s">
        <v>323</v>
      </c>
      <c r="B179" s="38" t="n">
        <v>45738</v>
      </c>
      <c r="C179" s="37" t="n">
        <f aca="false">MONTH(B179)</f>
        <v>3</v>
      </c>
      <c r="D179" s="37" t="s">
        <v>136</v>
      </c>
      <c r="E179" s="37" t="s">
        <v>47</v>
      </c>
      <c r="F179" s="37" t="s">
        <v>96</v>
      </c>
      <c r="G179" s="37" t="s">
        <v>92</v>
      </c>
      <c r="H179" s="37" t="s">
        <v>112</v>
      </c>
      <c r="I179" s="37" t="n">
        <v>2</v>
      </c>
      <c r="J179" s="39" t="n">
        <v>3299</v>
      </c>
      <c r="K179" s="40" t="n">
        <v>0.3</v>
      </c>
      <c r="L179" s="39" t="n">
        <f aca="false">VLOOKUP(H179,'Product List'!$A$3:$D$18,4,FALSE())</f>
        <v>2250</v>
      </c>
      <c r="M179" s="39" t="n">
        <f aca="false">I179*J179*(1-K179)</f>
        <v>4618.6</v>
      </c>
      <c r="N179" s="39" t="n">
        <f aca="false">I179*L179</f>
        <v>4500</v>
      </c>
      <c r="O179" s="39" t="n">
        <f aca="false">M179-N179</f>
        <v>118.599999999999</v>
      </c>
      <c r="P179" s="41" t="n">
        <f aca="false">IF(M179=0,0,O179/M179)</f>
        <v>0.0256787771186073</v>
      </c>
      <c r="Q179" s="37" t="str">
        <f aca="false">IF(K179=0,"No discount",IF(K179&lt;=0.1,"1-10%",IF(K179&lt;=0.2,"11-20%",IF(K179&lt;=0.3,"21-30%","Above 30%"))))</f>
        <v>21-30%</v>
      </c>
      <c r="R179" s="39" t="n">
        <f aca="false">I179*J179*MAX(0,K179-DiscountCap)</f>
        <v>659.8</v>
      </c>
    </row>
    <row r="180" customFormat="false" ht="15" hidden="false" customHeight="false" outlineLevel="0" collapsed="false">
      <c r="A180" s="37" t="s">
        <v>324</v>
      </c>
      <c r="B180" s="38" t="n">
        <v>45719</v>
      </c>
      <c r="C180" s="37" t="n">
        <f aca="false">MONTH(B180)</f>
        <v>3</v>
      </c>
      <c r="D180" s="37" t="s">
        <v>138</v>
      </c>
      <c r="E180" s="37" t="s">
        <v>46</v>
      </c>
      <c r="F180" s="37" t="s">
        <v>97</v>
      </c>
      <c r="G180" s="37" t="s">
        <v>91</v>
      </c>
      <c r="H180" s="37" t="s">
        <v>117</v>
      </c>
      <c r="I180" s="37" t="n">
        <v>1</v>
      </c>
      <c r="J180" s="39" t="n">
        <v>1499</v>
      </c>
      <c r="K180" s="40" t="n">
        <v>0.05</v>
      </c>
      <c r="L180" s="39" t="n">
        <f aca="false">VLOOKUP(H180,'Product List'!$A$3:$D$18,4,FALSE())</f>
        <v>780</v>
      </c>
      <c r="M180" s="39" t="n">
        <f aca="false">I180*J180*(1-K180)</f>
        <v>1424.05</v>
      </c>
      <c r="N180" s="39" t="n">
        <f aca="false">I180*L180</f>
        <v>780</v>
      </c>
      <c r="O180" s="39" t="n">
        <f aca="false">M180-N180</f>
        <v>644.05</v>
      </c>
      <c r="P180" s="41" t="n">
        <f aca="false">IF(M180=0,0,O180/M180)</f>
        <v>0.452266423229521</v>
      </c>
      <c r="Q180" s="37" t="str">
        <f aca="false">IF(K180=0,"No discount",IF(K180&lt;=0.1,"1-10%",IF(K180&lt;=0.2,"11-20%",IF(K180&lt;=0.3,"21-30%","Above 30%"))))</f>
        <v>1-10%</v>
      </c>
      <c r="R180" s="39" t="n">
        <f aca="false">I180*J180*MAX(0,K180-DiscountCap)</f>
        <v>0</v>
      </c>
    </row>
    <row r="181" customFormat="false" ht="15" hidden="false" customHeight="false" outlineLevel="0" collapsed="false">
      <c r="A181" s="37" t="s">
        <v>325</v>
      </c>
      <c r="B181" s="38" t="n">
        <v>45722</v>
      </c>
      <c r="C181" s="37" t="n">
        <f aca="false">MONTH(B181)</f>
        <v>3</v>
      </c>
      <c r="D181" s="37" t="s">
        <v>154</v>
      </c>
      <c r="E181" s="37" t="s">
        <v>47</v>
      </c>
      <c r="F181" s="37" t="s">
        <v>96</v>
      </c>
      <c r="G181" s="37" t="s">
        <v>90</v>
      </c>
      <c r="H181" s="37" t="s">
        <v>110</v>
      </c>
      <c r="I181" s="37" t="n">
        <v>2</v>
      </c>
      <c r="J181" s="39" t="n">
        <v>1299</v>
      </c>
      <c r="K181" s="40" t="n">
        <v>0.1</v>
      </c>
      <c r="L181" s="39" t="n">
        <f aca="false">VLOOKUP(H181,'Product List'!$A$3:$D$18,4,FALSE())</f>
        <v>1000</v>
      </c>
      <c r="M181" s="39" t="n">
        <f aca="false">I181*J181*(1-K181)</f>
        <v>2338.2</v>
      </c>
      <c r="N181" s="39" t="n">
        <f aca="false">I181*L181</f>
        <v>2000</v>
      </c>
      <c r="O181" s="39" t="n">
        <f aca="false">M181-N181</f>
        <v>338.2</v>
      </c>
      <c r="P181" s="41" t="n">
        <f aca="false">IF(M181=0,0,O181/M181)</f>
        <v>0.144641176973741</v>
      </c>
      <c r="Q181" s="37" t="str">
        <f aca="false">IF(K181=0,"No discount",IF(K181&lt;=0.1,"1-10%",IF(K181&lt;=0.2,"11-20%",IF(K181&lt;=0.3,"21-30%","Above 30%"))))</f>
        <v>1-10%</v>
      </c>
      <c r="R181" s="39" t="n">
        <f aca="false">I181*J181*MAX(0,K181-DiscountCap)</f>
        <v>0</v>
      </c>
    </row>
    <row r="182" customFormat="false" ht="15" hidden="false" customHeight="false" outlineLevel="0" collapsed="false">
      <c r="A182" s="37" t="s">
        <v>326</v>
      </c>
      <c r="B182" s="38" t="n">
        <v>45745</v>
      </c>
      <c r="C182" s="37" t="n">
        <f aca="false">MONTH(B182)</f>
        <v>3</v>
      </c>
      <c r="D182" s="37" t="s">
        <v>169</v>
      </c>
      <c r="E182" s="37" t="s">
        <v>44</v>
      </c>
      <c r="F182" s="37" t="s">
        <v>96</v>
      </c>
      <c r="G182" s="37" t="s">
        <v>91</v>
      </c>
      <c r="H182" s="37" t="s">
        <v>116</v>
      </c>
      <c r="I182" s="37" t="n">
        <v>1</v>
      </c>
      <c r="J182" s="39" t="n">
        <v>899</v>
      </c>
      <c r="K182" s="40" t="n">
        <v>0.2</v>
      </c>
      <c r="L182" s="39" t="n">
        <f aca="false">VLOOKUP(H182,'Product List'!$A$3:$D$18,4,FALSE())</f>
        <v>430</v>
      </c>
      <c r="M182" s="39" t="n">
        <f aca="false">I182*J182*(1-K182)</f>
        <v>719.2</v>
      </c>
      <c r="N182" s="39" t="n">
        <f aca="false">I182*L182</f>
        <v>430</v>
      </c>
      <c r="O182" s="39" t="n">
        <f aca="false">M182-N182</f>
        <v>289.2</v>
      </c>
      <c r="P182" s="41" t="n">
        <f aca="false">IF(M182=0,0,O182/M182)</f>
        <v>0.402113459399333</v>
      </c>
      <c r="Q182" s="37" t="str">
        <f aca="false">IF(K182=0,"No discount",IF(K182&lt;=0.1,"1-10%",IF(K182&lt;=0.2,"11-20%",IF(K182&lt;=0.3,"21-30%","Above 30%"))))</f>
        <v>11-20%</v>
      </c>
      <c r="R182" s="39" t="n">
        <f aca="false">I182*J182*MAX(0,K182-DiscountCap)</f>
        <v>0</v>
      </c>
    </row>
    <row r="183" customFormat="false" ht="15" hidden="false" customHeight="false" outlineLevel="0" collapsed="false">
      <c r="A183" s="37" t="s">
        <v>327</v>
      </c>
      <c r="B183" s="38" t="n">
        <v>45730</v>
      </c>
      <c r="C183" s="37" t="n">
        <f aca="false">MONTH(B183)</f>
        <v>3</v>
      </c>
      <c r="D183" s="37" t="s">
        <v>140</v>
      </c>
      <c r="E183" s="37" t="s">
        <v>44</v>
      </c>
      <c r="F183" s="37" t="s">
        <v>97</v>
      </c>
      <c r="G183" s="37" t="s">
        <v>92</v>
      </c>
      <c r="H183" s="37" t="s">
        <v>112</v>
      </c>
      <c r="I183" s="37" t="n">
        <v>3</v>
      </c>
      <c r="J183" s="39" t="n">
        <v>3299</v>
      </c>
      <c r="K183" s="40" t="n">
        <v>0.05</v>
      </c>
      <c r="L183" s="39" t="n">
        <f aca="false">VLOOKUP(H183,'Product List'!$A$3:$D$18,4,FALSE())</f>
        <v>2250</v>
      </c>
      <c r="M183" s="39" t="n">
        <f aca="false">I183*J183*(1-K183)</f>
        <v>9402.15</v>
      </c>
      <c r="N183" s="39" t="n">
        <f aca="false">I183*L183</f>
        <v>6750</v>
      </c>
      <c r="O183" s="39" t="n">
        <f aca="false">M183-N183</f>
        <v>2652.15</v>
      </c>
      <c r="P183" s="41" t="n">
        <f aca="false">IF(M183=0,0,O183/M183)</f>
        <v>0.2820790989295</v>
      </c>
      <c r="Q183" s="37" t="str">
        <f aca="false">IF(K183=0,"No discount",IF(K183&lt;=0.1,"1-10%",IF(K183&lt;=0.2,"11-20%",IF(K183&lt;=0.3,"21-30%","Above 30%"))))</f>
        <v>1-10%</v>
      </c>
      <c r="R183" s="39" t="n">
        <f aca="false">I183*J183*MAX(0,K183-DiscountCap)</f>
        <v>0</v>
      </c>
    </row>
    <row r="184" customFormat="false" ht="15" hidden="false" customHeight="false" outlineLevel="0" collapsed="false">
      <c r="A184" s="37" t="s">
        <v>328</v>
      </c>
      <c r="B184" s="38" t="n">
        <v>45723</v>
      </c>
      <c r="C184" s="37" t="n">
        <f aca="false">MONTH(B184)</f>
        <v>3</v>
      </c>
      <c r="D184" s="37" t="s">
        <v>169</v>
      </c>
      <c r="E184" s="37" t="s">
        <v>44</v>
      </c>
      <c r="F184" s="37" t="s">
        <v>97</v>
      </c>
      <c r="G184" s="37" t="s">
        <v>91</v>
      </c>
      <c r="H184" s="37" t="s">
        <v>118</v>
      </c>
      <c r="I184" s="37" t="n">
        <v>1</v>
      </c>
      <c r="J184" s="39" t="n">
        <v>2299</v>
      </c>
      <c r="K184" s="40" t="n">
        <v>0.05</v>
      </c>
      <c r="L184" s="39" t="n">
        <f aca="false">VLOOKUP(H184,'Product List'!$A$3:$D$18,4,FALSE())</f>
        <v>1300</v>
      </c>
      <c r="M184" s="39" t="n">
        <f aca="false">I184*J184*(1-K184)</f>
        <v>2184.05</v>
      </c>
      <c r="N184" s="39" t="n">
        <f aca="false">I184*L184</f>
        <v>1300</v>
      </c>
      <c r="O184" s="39" t="n">
        <f aca="false">M184-N184</f>
        <v>884.05</v>
      </c>
      <c r="P184" s="41" t="n">
        <f aca="false">IF(M184=0,0,O184/M184)</f>
        <v>0.404775531695703</v>
      </c>
      <c r="Q184" s="37" t="str">
        <f aca="false">IF(K184=0,"No discount",IF(K184&lt;=0.1,"1-10%",IF(K184&lt;=0.2,"11-20%",IF(K184&lt;=0.3,"21-30%","Above 30%"))))</f>
        <v>1-10%</v>
      </c>
      <c r="R184" s="39" t="n">
        <f aca="false">I184*J184*MAX(0,K184-DiscountCap)</f>
        <v>0</v>
      </c>
    </row>
    <row r="185" customFormat="false" ht="15" hidden="false" customHeight="false" outlineLevel="0" collapsed="false">
      <c r="A185" s="37" t="s">
        <v>329</v>
      </c>
      <c r="B185" s="38" t="n">
        <v>45722</v>
      </c>
      <c r="C185" s="37" t="n">
        <f aca="false">MONTH(B185)</f>
        <v>3</v>
      </c>
      <c r="D185" s="37" t="s">
        <v>144</v>
      </c>
      <c r="E185" s="37" t="s">
        <v>45</v>
      </c>
      <c r="F185" s="37" t="s">
        <v>97</v>
      </c>
      <c r="G185" s="37" t="s">
        <v>91</v>
      </c>
      <c r="H185" s="37" t="s">
        <v>119</v>
      </c>
      <c r="I185" s="37" t="n">
        <v>1</v>
      </c>
      <c r="J185" s="39" t="n">
        <v>1099</v>
      </c>
      <c r="K185" s="40" t="n">
        <v>0</v>
      </c>
      <c r="L185" s="39" t="n">
        <f aca="false">VLOOKUP(H185,'Product List'!$A$3:$D$18,4,FALSE())</f>
        <v>560</v>
      </c>
      <c r="M185" s="39" t="n">
        <f aca="false">I185*J185*(1-K185)</f>
        <v>1099</v>
      </c>
      <c r="N185" s="39" t="n">
        <f aca="false">I185*L185</f>
        <v>560</v>
      </c>
      <c r="O185" s="39" t="n">
        <f aca="false">M185-N185</f>
        <v>539</v>
      </c>
      <c r="P185" s="41" t="n">
        <f aca="false">IF(M185=0,0,O185/M185)</f>
        <v>0.490445859872611</v>
      </c>
      <c r="Q185" s="37" t="str">
        <f aca="false">IF(K185=0,"No discount",IF(K185&lt;=0.1,"1-10%",IF(K185&lt;=0.2,"11-20%",IF(K185&lt;=0.3,"21-30%","Above 30%"))))</f>
        <v>No discount</v>
      </c>
      <c r="R185" s="39" t="n">
        <f aca="false">I185*J185*MAX(0,K185-DiscountCap)</f>
        <v>0</v>
      </c>
    </row>
    <row r="186" customFormat="false" ht="15" hidden="false" customHeight="false" outlineLevel="0" collapsed="false">
      <c r="A186" s="37" t="s">
        <v>330</v>
      </c>
      <c r="B186" s="38" t="n">
        <v>45741</v>
      </c>
      <c r="C186" s="37" t="n">
        <f aca="false">MONTH(B186)</f>
        <v>3</v>
      </c>
      <c r="D186" s="37" t="s">
        <v>136</v>
      </c>
      <c r="E186" s="37" t="s">
        <v>47</v>
      </c>
      <c r="F186" s="37" t="s">
        <v>96</v>
      </c>
      <c r="G186" s="37" t="s">
        <v>93</v>
      </c>
      <c r="H186" s="37" t="s">
        <v>123</v>
      </c>
      <c r="I186" s="37" t="n">
        <v>2</v>
      </c>
      <c r="J186" s="39" t="n">
        <v>1299</v>
      </c>
      <c r="K186" s="40" t="n">
        <v>0</v>
      </c>
      <c r="L186" s="39" t="n">
        <f aca="false">VLOOKUP(H186,'Product List'!$A$3:$D$18,4,FALSE())</f>
        <v>700</v>
      </c>
      <c r="M186" s="39" t="n">
        <f aca="false">I186*J186*(1-K186)</f>
        <v>2598</v>
      </c>
      <c r="N186" s="39" t="n">
        <f aca="false">I186*L186</f>
        <v>1400</v>
      </c>
      <c r="O186" s="39" t="n">
        <f aca="false">M186-N186</f>
        <v>1198</v>
      </c>
      <c r="P186" s="41" t="n">
        <f aca="false">IF(M186=0,0,O186/M186)</f>
        <v>0.461123941493457</v>
      </c>
      <c r="Q186" s="37" t="str">
        <f aca="false">IF(K186=0,"No discount",IF(K186&lt;=0.1,"1-10%",IF(K186&lt;=0.2,"11-20%",IF(K186&lt;=0.3,"21-30%","Above 30%"))))</f>
        <v>No discount</v>
      </c>
      <c r="R186" s="39" t="n">
        <f aca="false">I186*J186*MAX(0,K186-DiscountCap)</f>
        <v>0</v>
      </c>
    </row>
    <row r="187" customFormat="false" ht="15" hidden="false" customHeight="false" outlineLevel="0" collapsed="false">
      <c r="A187" s="37" t="s">
        <v>331</v>
      </c>
      <c r="B187" s="38" t="n">
        <v>45720</v>
      </c>
      <c r="C187" s="37" t="n">
        <f aca="false">MONTH(B187)</f>
        <v>3</v>
      </c>
      <c r="D187" s="37" t="s">
        <v>140</v>
      </c>
      <c r="E187" s="37" t="s">
        <v>44</v>
      </c>
      <c r="F187" s="37" t="s">
        <v>97</v>
      </c>
      <c r="G187" s="37" t="s">
        <v>90</v>
      </c>
      <c r="H187" s="37" t="s">
        <v>110</v>
      </c>
      <c r="I187" s="37" t="n">
        <v>2</v>
      </c>
      <c r="J187" s="39" t="n">
        <v>1299</v>
      </c>
      <c r="K187" s="40" t="n">
        <v>0</v>
      </c>
      <c r="L187" s="39" t="n">
        <f aca="false">VLOOKUP(H187,'Product List'!$A$3:$D$18,4,FALSE())</f>
        <v>1000</v>
      </c>
      <c r="M187" s="39" t="n">
        <f aca="false">I187*J187*(1-K187)</f>
        <v>2598</v>
      </c>
      <c r="N187" s="39" t="n">
        <f aca="false">I187*L187</f>
        <v>2000</v>
      </c>
      <c r="O187" s="39" t="n">
        <f aca="false">M187-N187</f>
        <v>598</v>
      </c>
      <c r="P187" s="41" t="n">
        <f aca="false">IF(M187=0,0,O187/M187)</f>
        <v>0.230177059276366</v>
      </c>
      <c r="Q187" s="37" t="str">
        <f aca="false">IF(K187=0,"No discount",IF(K187&lt;=0.1,"1-10%",IF(K187&lt;=0.2,"11-20%",IF(K187&lt;=0.3,"21-30%","Above 30%"))))</f>
        <v>No discount</v>
      </c>
      <c r="R187" s="39" t="n">
        <f aca="false">I187*J187*MAX(0,K187-DiscountCap)</f>
        <v>0</v>
      </c>
    </row>
    <row r="188" customFormat="false" ht="15" hidden="false" customHeight="false" outlineLevel="0" collapsed="false">
      <c r="A188" s="37" t="s">
        <v>332</v>
      </c>
      <c r="B188" s="38" t="n">
        <v>45729</v>
      </c>
      <c r="C188" s="37" t="n">
        <f aca="false">MONTH(B188)</f>
        <v>3</v>
      </c>
      <c r="D188" s="37" t="s">
        <v>136</v>
      </c>
      <c r="E188" s="37" t="s">
        <v>47</v>
      </c>
      <c r="F188" s="37" t="s">
        <v>97</v>
      </c>
      <c r="G188" s="37" t="s">
        <v>92</v>
      </c>
      <c r="H188" s="37" t="s">
        <v>114</v>
      </c>
      <c r="I188" s="37" t="n">
        <v>1</v>
      </c>
      <c r="J188" s="39" t="n">
        <v>1199</v>
      </c>
      <c r="K188" s="40" t="n">
        <v>0.15</v>
      </c>
      <c r="L188" s="39" t="n">
        <f aca="false">VLOOKUP(H188,'Product List'!$A$3:$D$18,4,FALSE())</f>
        <v>780</v>
      </c>
      <c r="M188" s="39" t="n">
        <f aca="false">I188*J188*(1-K188)</f>
        <v>1019.15</v>
      </c>
      <c r="N188" s="39" t="n">
        <f aca="false">I188*L188</f>
        <v>780</v>
      </c>
      <c r="O188" s="39" t="n">
        <f aca="false">M188-N188</f>
        <v>239.15</v>
      </c>
      <c r="P188" s="41" t="n">
        <f aca="false">IF(M188=0,0,O188/M188)</f>
        <v>0.234656331256439</v>
      </c>
      <c r="Q188" s="37" t="str">
        <f aca="false">IF(K188=0,"No discount",IF(K188&lt;=0.1,"1-10%",IF(K188&lt;=0.2,"11-20%",IF(K188&lt;=0.3,"21-30%","Above 30%"))))</f>
        <v>11-20%</v>
      </c>
      <c r="R188" s="39" t="n">
        <f aca="false">I188*J188*MAX(0,K188-DiscountCap)</f>
        <v>0</v>
      </c>
    </row>
    <row r="189" customFormat="false" ht="15" hidden="false" customHeight="false" outlineLevel="0" collapsed="false">
      <c r="A189" s="37" t="s">
        <v>333</v>
      </c>
      <c r="B189" s="38" t="n">
        <v>45745</v>
      </c>
      <c r="C189" s="37" t="n">
        <f aca="false">MONTH(B189)</f>
        <v>3</v>
      </c>
      <c r="D189" s="37" t="s">
        <v>146</v>
      </c>
      <c r="E189" s="37" t="s">
        <v>45</v>
      </c>
      <c r="F189" s="37" t="s">
        <v>96</v>
      </c>
      <c r="G189" s="37" t="s">
        <v>90</v>
      </c>
      <c r="H189" s="37" t="s">
        <v>108</v>
      </c>
      <c r="I189" s="37" t="n">
        <v>1</v>
      </c>
      <c r="J189" s="39" t="n">
        <v>1999</v>
      </c>
      <c r="K189" s="40" t="n">
        <v>0.3</v>
      </c>
      <c r="L189" s="39" t="n">
        <f aca="false">VLOOKUP(H189,'Product List'!$A$3:$D$18,4,FALSE())</f>
        <v>1560</v>
      </c>
      <c r="M189" s="39" t="n">
        <f aca="false">I189*J189*(1-K189)</f>
        <v>1399.3</v>
      </c>
      <c r="N189" s="39" t="n">
        <f aca="false">I189*L189</f>
        <v>1560</v>
      </c>
      <c r="O189" s="39" t="n">
        <f aca="false">M189-N189</f>
        <v>-160.7</v>
      </c>
      <c r="P189" s="41" t="n">
        <f aca="false">IF(M189=0,0,O189/M189)</f>
        <v>-0.114843135853641</v>
      </c>
      <c r="Q189" s="37" t="str">
        <f aca="false">IF(K189=0,"No discount",IF(K189&lt;=0.1,"1-10%",IF(K189&lt;=0.2,"11-20%",IF(K189&lt;=0.3,"21-30%","Above 30%"))))</f>
        <v>21-30%</v>
      </c>
      <c r="R189" s="39" t="n">
        <f aca="false">I189*J189*MAX(0,K189-DiscountCap)</f>
        <v>199.9</v>
      </c>
    </row>
    <row r="190" customFormat="false" ht="15" hidden="false" customHeight="false" outlineLevel="0" collapsed="false">
      <c r="A190" s="37" t="s">
        <v>334</v>
      </c>
      <c r="B190" s="38" t="n">
        <v>45720</v>
      </c>
      <c r="C190" s="37" t="n">
        <f aca="false">MONTH(B190)</f>
        <v>3</v>
      </c>
      <c r="D190" s="37" t="s">
        <v>146</v>
      </c>
      <c r="E190" s="37" t="s">
        <v>45</v>
      </c>
      <c r="F190" s="37" t="s">
        <v>97</v>
      </c>
      <c r="G190" s="37" t="s">
        <v>93</v>
      </c>
      <c r="H190" s="37" t="s">
        <v>120</v>
      </c>
      <c r="I190" s="37" t="n">
        <v>1</v>
      </c>
      <c r="J190" s="39" t="n">
        <v>449</v>
      </c>
      <c r="K190" s="40" t="n">
        <v>0.1</v>
      </c>
      <c r="L190" s="39" t="n">
        <f aca="false">VLOOKUP(H190,'Product List'!$A$3:$D$18,4,FALSE())</f>
        <v>240</v>
      </c>
      <c r="M190" s="39" t="n">
        <f aca="false">I190*J190*(1-K190)</f>
        <v>404.1</v>
      </c>
      <c r="N190" s="39" t="n">
        <f aca="false">I190*L190</f>
        <v>240</v>
      </c>
      <c r="O190" s="39" t="n">
        <f aca="false">M190-N190</f>
        <v>164.1</v>
      </c>
      <c r="P190" s="41" t="n">
        <f aca="false">IF(M190=0,0,O190/M190)</f>
        <v>0.406087602078693</v>
      </c>
      <c r="Q190" s="37" t="str">
        <f aca="false">IF(K190=0,"No discount",IF(K190&lt;=0.1,"1-10%",IF(K190&lt;=0.2,"11-20%",IF(K190&lt;=0.3,"21-30%","Above 30%"))))</f>
        <v>1-10%</v>
      </c>
      <c r="R190" s="39" t="n">
        <f aca="false">I190*J190*MAX(0,K190-DiscountCap)</f>
        <v>0</v>
      </c>
    </row>
    <row r="191" customFormat="false" ht="15" hidden="false" customHeight="false" outlineLevel="0" collapsed="false">
      <c r="A191" s="37" t="s">
        <v>335</v>
      </c>
      <c r="B191" s="38" t="n">
        <v>45725</v>
      </c>
      <c r="C191" s="37" t="n">
        <f aca="false">MONTH(B191)</f>
        <v>3</v>
      </c>
      <c r="D191" s="37" t="s">
        <v>144</v>
      </c>
      <c r="E191" s="37" t="s">
        <v>45</v>
      </c>
      <c r="F191" s="37" t="s">
        <v>96</v>
      </c>
      <c r="G191" s="37" t="s">
        <v>92</v>
      </c>
      <c r="H191" s="37" t="s">
        <v>115</v>
      </c>
      <c r="I191" s="37" t="n">
        <v>1</v>
      </c>
      <c r="J191" s="39" t="n">
        <v>1799</v>
      </c>
      <c r="K191" s="40" t="n">
        <v>0.15</v>
      </c>
      <c r="L191" s="39" t="n">
        <f aca="false">VLOOKUP(H191,'Product List'!$A$3:$D$18,4,FALSE())</f>
        <v>1150</v>
      </c>
      <c r="M191" s="39" t="n">
        <f aca="false">I191*J191*(1-K191)</f>
        <v>1529.15</v>
      </c>
      <c r="N191" s="39" t="n">
        <f aca="false">I191*L191</f>
        <v>1150</v>
      </c>
      <c r="O191" s="39" t="n">
        <f aca="false">M191-N191</f>
        <v>379.15</v>
      </c>
      <c r="P191" s="41" t="n">
        <f aca="false">IF(M191=0,0,O191/M191)</f>
        <v>0.247948206519962</v>
      </c>
      <c r="Q191" s="37" t="str">
        <f aca="false">IF(K191=0,"No discount",IF(K191&lt;=0.1,"1-10%",IF(K191&lt;=0.2,"11-20%",IF(K191&lt;=0.3,"21-30%","Above 30%"))))</f>
        <v>11-20%</v>
      </c>
      <c r="R191" s="39" t="n">
        <f aca="false">I191*J191*MAX(0,K191-DiscountCap)</f>
        <v>0</v>
      </c>
    </row>
    <row r="192" customFormat="false" ht="15" hidden="false" customHeight="false" outlineLevel="0" collapsed="false">
      <c r="A192" s="37" t="s">
        <v>336</v>
      </c>
      <c r="B192" s="38" t="n">
        <v>45747</v>
      </c>
      <c r="C192" s="37" t="n">
        <f aca="false">MONTH(B192)</f>
        <v>3</v>
      </c>
      <c r="D192" s="37" t="s">
        <v>144</v>
      </c>
      <c r="E192" s="37" t="s">
        <v>45</v>
      </c>
      <c r="F192" s="37" t="s">
        <v>97</v>
      </c>
      <c r="G192" s="37" t="s">
        <v>91</v>
      </c>
      <c r="H192" s="37" t="s">
        <v>118</v>
      </c>
      <c r="I192" s="37" t="n">
        <v>3</v>
      </c>
      <c r="J192" s="39" t="n">
        <v>2299</v>
      </c>
      <c r="K192" s="40" t="n">
        <v>0.05</v>
      </c>
      <c r="L192" s="39" t="n">
        <f aca="false">VLOOKUP(H192,'Product List'!$A$3:$D$18,4,FALSE())</f>
        <v>1300</v>
      </c>
      <c r="M192" s="39" t="n">
        <f aca="false">I192*J192*(1-K192)</f>
        <v>6552.15</v>
      </c>
      <c r="N192" s="39" t="n">
        <f aca="false">I192*L192</f>
        <v>3900</v>
      </c>
      <c r="O192" s="39" t="n">
        <f aca="false">M192-N192</f>
        <v>2652.15</v>
      </c>
      <c r="P192" s="41" t="n">
        <f aca="false">IF(M192=0,0,O192/M192)</f>
        <v>0.404775531695703</v>
      </c>
      <c r="Q192" s="37" t="str">
        <f aca="false">IF(K192=0,"No discount",IF(K192&lt;=0.1,"1-10%",IF(K192&lt;=0.2,"11-20%",IF(K192&lt;=0.3,"21-30%","Above 30%"))))</f>
        <v>1-10%</v>
      </c>
      <c r="R192" s="39" t="n">
        <f aca="false">I192*J192*MAX(0,K192-DiscountCap)</f>
        <v>0</v>
      </c>
    </row>
    <row r="193" customFormat="false" ht="15" hidden="false" customHeight="false" outlineLevel="0" collapsed="false">
      <c r="A193" s="37" t="s">
        <v>337</v>
      </c>
      <c r="B193" s="38" t="n">
        <v>45733</v>
      </c>
      <c r="C193" s="37" t="n">
        <f aca="false">MONTH(B193)</f>
        <v>3</v>
      </c>
      <c r="D193" s="37" t="s">
        <v>142</v>
      </c>
      <c r="E193" s="37" t="s">
        <v>47</v>
      </c>
      <c r="F193" s="37" t="s">
        <v>96</v>
      </c>
      <c r="G193" s="37" t="s">
        <v>93</v>
      </c>
      <c r="H193" s="37" t="s">
        <v>121</v>
      </c>
      <c r="I193" s="37" t="n">
        <v>1</v>
      </c>
      <c r="J193" s="39" t="n">
        <v>999</v>
      </c>
      <c r="K193" s="40" t="n">
        <v>0.2</v>
      </c>
      <c r="L193" s="39" t="n">
        <f aca="false">VLOOKUP(H193,'Product List'!$A$3:$D$18,4,FALSE())</f>
        <v>500</v>
      </c>
      <c r="M193" s="39" t="n">
        <f aca="false">I193*J193*(1-K193)</f>
        <v>799.2</v>
      </c>
      <c r="N193" s="39" t="n">
        <f aca="false">I193*L193</f>
        <v>500</v>
      </c>
      <c r="O193" s="39" t="n">
        <f aca="false">M193-N193</f>
        <v>299.2</v>
      </c>
      <c r="P193" s="41" t="n">
        <f aca="false">IF(M193=0,0,O193/M193)</f>
        <v>0.374374374374374</v>
      </c>
      <c r="Q193" s="37" t="str">
        <f aca="false">IF(K193=0,"No discount",IF(K193&lt;=0.1,"1-10%",IF(K193&lt;=0.2,"11-20%",IF(K193&lt;=0.3,"21-30%","Above 30%"))))</f>
        <v>11-20%</v>
      </c>
      <c r="R193" s="39" t="n">
        <f aca="false">I193*J193*MAX(0,K193-DiscountCap)</f>
        <v>0</v>
      </c>
    </row>
    <row r="194" customFormat="false" ht="15" hidden="false" customHeight="false" outlineLevel="0" collapsed="false">
      <c r="A194" s="37" t="s">
        <v>338</v>
      </c>
      <c r="B194" s="38" t="n">
        <v>45727</v>
      </c>
      <c r="C194" s="37" t="n">
        <f aca="false">MONTH(B194)</f>
        <v>3</v>
      </c>
      <c r="D194" s="37" t="s">
        <v>169</v>
      </c>
      <c r="E194" s="37" t="s">
        <v>44</v>
      </c>
      <c r="F194" s="37" t="s">
        <v>96</v>
      </c>
      <c r="G194" s="37" t="s">
        <v>91</v>
      </c>
      <c r="H194" s="37" t="s">
        <v>118</v>
      </c>
      <c r="I194" s="37" t="n">
        <v>1</v>
      </c>
      <c r="J194" s="39" t="n">
        <v>2299</v>
      </c>
      <c r="K194" s="40" t="n">
        <v>0.05</v>
      </c>
      <c r="L194" s="39" t="n">
        <f aca="false">VLOOKUP(H194,'Product List'!$A$3:$D$18,4,FALSE())</f>
        <v>1300</v>
      </c>
      <c r="M194" s="39" t="n">
        <f aca="false">I194*J194*(1-K194)</f>
        <v>2184.05</v>
      </c>
      <c r="N194" s="39" t="n">
        <f aca="false">I194*L194</f>
        <v>1300</v>
      </c>
      <c r="O194" s="39" t="n">
        <f aca="false">M194-N194</f>
        <v>884.05</v>
      </c>
      <c r="P194" s="41" t="n">
        <f aca="false">IF(M194=0,0,O194/M194)</f>
        <v>0.404775531695703</v>
      </c>
      <c r="Q194" s="37" t="str">
        <f aca="false">IF(K194=0,"No discount",IF(K194&lt;=0.1,"1-10%",IF(K194&lt;=0.2,"11-20%",IF(K194&lt;=0.3,"21-30%","Above 30%"))))</f>
        <v>1-10%</v>
      </c>
      <c r="R194" s="39" t="n">
        <f aca="false">I194*J194*MAX(0,K194-DiscountCap)</f>
        <v>0</v>
      </c>
    </row>
    <row r="195" customFormat="false" ht="15" hidden="false" customHeight="false" outlineLevel="0" collapsed="false">
      <c r="A195" s="37" t="s">
        <v>339</v>
      </c>
      <c r="B195" s="38" t="n">
        <v>45729</v>
      </c>
      <c r="C195" s="37" t="n">
        <f aca="false">MONTH(B195)</f>
        <v>3</v>
      </c>
      <c r="D195" s="37" t="s">
        <v>166</v>
      </c>
      <c r="E195" s="37" t="s">
        <v>44</v>
      </c>
      <c r="F195" s="37" t="s">
        <v>96</v>
      </c>
      <c r="G195" s="37" t="s">
        <v>91</v>
      </c>
      <c r="H195" s="37" t="s">
        <v>119</v>
      </c>
      <c r="I195" s="37" t="n">
        <v>2</v>
      </c>
      <c r="J195" s="39" t="n">
        <v>1099</v>
      </c>
      <c r="K195" s="40" t="n">
        <v>0.1</v>
      </c>
      <c r="L195" s="39" t="n">
        <f aca="false">VLOOKUP(H195,'Product List'!$A$3:$D$18,4,FALSE())</f>
        <v>560</v>
      </c>
      <c r="M195" s="39" t="n">
        <f aca="false">I195*J195*(1-K195)</f>
        <v>1978.2</v>
      </c>
      <c r="N195" s="39" t="n">
        <f aca="false">I195*L195</f>
        <v>1120</v>
      </c>
      <c r="O195" s="39" t="n">
        <f aca="false">M195-N195</f>
        <v>858.2</v>
      </c>
      <c r="P195" s="41" t="n">
        <f aca="false">IF(M195=0,0,O195/M195)</f>
        <v>0.433828733191791</v>
      </c>
      <c r="Q195" s="37" t="str">
        <f aca="false">IF(K195=0,"No discount",IF(K195&lt;=0.1,"1-10%",IF(K195&lt;=0.2,"11-20%",IF(K195&lt;=0.3,"21-30%","Above 30%"))))</f>
        <v>1-10%</v>
      </c>
      <c r="R195" s="39" t="n">
        <f aca="false">I195*J195*MAX(0,K195-DiscountCap)</f>
        <v>0</v>
      </c>
    </row>
    <row r="196" customFormat="false" ht="15" hidden="false" customHeight="false" outlineLevel="0" collapsed="false">
      <c r="A196" s="37" t="s">
        <v>340</v>
      </c>
      <c r="B196" s="38" t="n">
        <v>45729</v>
      </c>
      <c r="C196" s="37" t="n">
        <f aca="false">MONTH(B196)</f>
        <v>3</v>
      </c>
      <c r="D196" s="37" t="s">
        <v>142</v>
      </c>
      <c r="E196" s="37" t="s">
        <v>47</v>
      </c>
      <c r="F196" s="37" t="s">
        <v>96</v>
      </c>
      <c r="G196" s="37" t="s">
        <v>92</v>
      </c>
      <c r="H196" s="37" t="s">
        <v>115</v>
      </c>
      <c r="I196" s="37" t="n">
        <v>1</v>
      </c>
      <c r="J196" s="39" t="n">
        <v>1799</v>
      </c>
      <c r="K196" s="40" t="n">
        <v>0.1</v>
      </c>
      <c r="L196" s="39" t="n">
        <f aca="false">VLOOKUP(H196,'Product List'!$A$3:$D$18,4,FALSE())</f>
        <v>1150</v>
      </c>
      <c r="M196" s="39" t="n">
        <f aca="false">I196*J196*(1-K196)</f>
        <v>1619.1</v>
      </c>
      <c r="N196" s="39" t="n">
        <f aca="false">I196*L196</f>
        <v>1150</v>
      </c>
      <c r="O196" s="39" t="n">
        <f aca="false">M196-N196</f>
        <v>469.1</v>
      </c>
      <c r="P196" s="41" t="n">
        <f aca="false">IF(M196=0,0,O196/M196)</f>
        <v>0.289728861713298</v>
      </c>
      <c r="Q196" s="37" t="str">
        <f aca="false">IF(K196=0,"No discount",IF(K196&lt;=0.1,"1-10%",IF(K196&lt;=0.2,"11-20%",IF(K196&lt;=0.3,"21-30%","Above 30%"))))</f>
        <v>1-10%</v>
      </c>
      <c r="R196" s="39" t="n">
        <f aca="false">I196*J196*MAX(0,K196-DiscountCap)</f>
        <v>0</v>
      </c>
    </row>
    <row r="197" customFormat="false" ht="15" hidden="false" customHeight="false" outlineLevel="0" collapsed="false">
      <c r="A197" s="37" t="s">
        <v>341</v>
      </c>
      <c r="B197" s="38" t="n">
        <v>45746</v>
      </c>
      <c r="C197" s="37" t="n">
        <f aca="false">MONTH(B197)</f>
        <v>3</v>
      </c>
      <c r="D197" s="37" t="s">
        <v>142</v>
      </c>
      <c r="E197" s="37" t="s">
        <v>47</v>
      </c>
      <c r="F197" s="37" t="s">
        <v>97</v>
      </c>
      <c r="G197" s="37" t="s">
        <v>92</v>
      </c>
      <c r="H197" s="37" t="s">
        <v>113</v>
      </c>
      <c r="I197" s="37" t="n">
        <v>1</v>
      </c>
      <c r="J197" s="39" t="n">
        <v>2199</v>
      </c>
      <c r="K197" s="40" t="n">
        <v>0.15</v>
      </c>
      <c r="L197" s="39" t="n">
        <f aca="false">VLOOKUP(H197,'Product List'!$A$3:$D$18,4,FALSE())</f>
        <v>1400</v>
      </c>
      <c r="M197" s="39" t="n">
        <f aca="false">I197*J197*(1-K197)</f>
        <v>1869.15</v>
      </c>
      <c r="N197" s="39" t="n">
        <f aca="false">I197*L197</f>
        <v>1400</v>
      </c>
      <c r="O197" s="39" t="n">
        <f aca="false">M197-N197</f>
        <v>469.15</v>
      </c>
      <c r="P197" s="41" t="n">
        <f aca="false">IF(M197=0,0,O197/M197)</f>
        <v>0.250996442233101</v>
      </c>
      <c r="Q197" s="37" t="str">
        <f aca="false">IF(K197=0,"No discount",IF(K197&lt;=0.1,"1-10%",IF(K197&lt;=0.2,"11-20%",IF(K197&lt;=0.3,"21-30%","Above 30%"))))</f>
        <v>11-20%</v>
      </c>
      <c r="R197" s="39" t="n">
        <f aca="false">I197*J197*MAX(0,K197-DiscountCap)</f>
        <v>0</v>
      </c>
    </row>
    <row r="198" customFormat="false" ht="15" hidden="false" customHeight="false" outlineLevel="0" collapsed="false">
      <c r="A198" s="37" t="s">
        <v>342</v>
      </c>
      <c r="B198" s="38" t="n">
        <v>45745</v>
      </c>
      <c r="C198" s="37" t="n">
        <f aca="false">MONTH(B198)</f>
        <v>3</v>
      </c>
      <c r="D198" s="37" t="s">
        <v>144</v>
      </c>
      <c r="E198" s="37" t="s">
        <v>45</v>
      </c>
      <c r="F198" s="37" t="s">
        <v>97</v>
      </c>
      <c r="G198" s="37" t="s">
        <v>90</v>
      </c>
      <c r="H198" s="37" t="s">
        <v>110</v>
      </c>
      <c r="I198" s="37" t="n">
        <v>1</v>
      </c>
      <c r="J198" s="39" t="n">
        <v>1299</v>
      </c>
      <c r="K198" s="40" t="n">
        <v>0</v>
      </c>
      <c r="L198" s="39" t="n">
        <f aca="false">VLOOKUP(H198,'Product List'!$A$3:$D$18,4,FALSE())</f>
        <v>1000</v>
      </c>
      <c r="M198" s="39" t="n">
        <f aca="false">I198*J198*(1-K198)</f>
        <v>1299</v>
      </c>
      <c r="N198" s="39" t="n">
        <f aca="false">I198*L198</f>
        <v>1000</v>
      </c>
      <c r="O198" s="39" t="n">
        <f aca="false">M198-N198</f>
        <v>299</v>
      </c>
      <c r="P198" s="41" t="n">
        <f aca="false">IF(M198=0,0,O198/M198)</f>
        <v>0.230177059276366</v>
      </c>
      <c r="Q198" s="37" t="str">
        <f aca="false">IF(K198=0,"No discount",IF(K198&lt;=0.1,"1-10%",IF(K198&lt;=0.2,"11-20%",IF(K198&lt;=0.3,"21-30%","Above 30%"))))</f>
        <v>No discount</v>
      </c>
      <c r="R198" s="39" t="n">
        <f aca="false">I198*J198*MAX(0,K198-DiscountCap)</f>
        <v>0</v>
      </c>
    </row>
    <row r="199" customFormat="false" ht="15" hidden="false" customHeight="false" outlineLevel="0" collapsed="false">
      <c r="A199" s="37" t="s">
        <v>343</v>
      </c>
      <c r="B199" s="38" t="n">
        <v>45734</v>
      </c>
      <c r="C199" s="37" t="n">
        <f aca="false">MONTH(B199)</f>
        <v>3</v>
      </c>
      <c r="D199" s="37" t="s">
        <v>138</v>
      </c>
      <c r="E199" s="37" t="s">
        <v>46</v>
      </c>
      <c r="F199" s="37" t="s">
        <v>96</v>
      </c>
      <c r="G199" s="37" t="s">
        <v>93</v>
      </c>
      <c r="H199" s="37" t="s">
        <v>121</v>
      </c>
      <c r="I199" s="37" t="n">
        <v>5</v>
      </c>
      <c r="J199" s="39" t="n">
        <v>999</v>
      </c>
      <c r="K199" s="40" t="n">
        <v>0.05</v>
      </c>
      <c r="L199" s="39" t="n">
        <f aca="false">VLOOKUP(H199,'Product List'!$A$3:$D$18,4,FALSE())</f>
        <v>500</v>
      </c>
      <c r="M199" s="39" t="n">
        <f aca="false">I199*J199*(1-K199)</f>
        <v>4745.25</v>
      </c>
      <c r="N199" s="39" t="n">
        <f aca="false">I199*L199</f>
        <v>2500</v>
      </c>
      <c r="O199" s="39" t="n">
        <f aca="false">M199-N199</f>
        <v>2245.25</v>
      </c>
      <c r="P199" s="41" t="n">
        <f aca="false">IF(M199=0,0,O199/M199)</f>
        <v>0.47315736789421</v>
      </c>
      <c r="Q199" s="37" t="str">
        <f aca="false">IF(K199=0,"No discount",IF(K199&lt;=0.1,"1-10%",IF(K199&lt;=0.2,"11-20%",IF(K199&lt;=0.3,"21-30%","Above 30%"))))</f>
        <v>1-10%</v>
      </c>
      <c r="R199" s="39" t="n">
        <f aca="false">I199*J199*MAX(0,K199-DiscountCap)</f>
        <v>0</v>
      </c>
    </row>
    <row r="200" customFormat="false" ht="15" hidden="false" customHeight="false" outlineLevel="0" collapsed="false">
      <c r="A200" s="37" t="s">
        <v>344</v>
      </c>
      <c r="B200" s="38" t="n">
        <v>45745</v>
      </c>
      <c r="C200" s="37" t="n">
        <f aca="false">MONTH(B200)</f>
        <v>3</v>
      </c>
      <c r="D200" s="37" t="s">
        <v>169</v>
      </c>
      <c r="E200" s="37" t="s">
        <v>44</v>
      </c>
      <c r="F200" s="37" t="s">
        <v>96</v>
      </c>
      <c r="G200" s="37" t="s">
        <v>90</v>
      </c>
      <c r="H200" s="37" t="s">
        <v>110</v>
      </c>
      <c r="I200" s="37" t="n">
        <v>1</v>
      </c>
      <c r="J200" s="39" t="n">
        <v>1299</v>
      </c>
      <c r="K200" s="40" t="n">
        <v>0.2</v>
      </c>
      <c r="L200" s="39" t="n">
        <f aca="false">VLOOKUP(H200,'Product List'!$A$3:$D$18,4,FALSE())</f>
        <v>1000</v>
      </c>
      <c r="M200" s="39" t="n">
        <f aca="false">I200*J200*(1-K200)</f>
        <v>1039.2</v>
      </c>
      <c r="N200" s="39" t="n">
        <f aca="false">I200*L200</f>
        <v>1000</v>
      </c>
      <c r="O200" s="39" t="n">
        <f aca="false">M200-N200</f>
        <v>39.2</v>
      </c>
      <c r="P200" s="41" t="n">
        <f aca="false">IF(M200=0,0,O200/M200)</f>
        <v>0.0377213240954581</v>
      </c>
      <c r="Q200" s="37" t="str">
        <f aca="false">IF(K200=0,"No discount",IF(K200&lt;=0.1,"1-10%",IF(K200&lt;=0.2,"11-20%",IF(K200&lt;=0.3,"21-30%","Above 30%"))))</f>
        <v>11-20%</v>
      </c>
      <c r="R200" s="39" t="n">
        <f aca="false">I200*J200*MAX(0,K200-DiscountCap)</f>
        <v>0</v>
      </c>
    </row>
    <row r="201" customFormat="false" ht="15" hidden="false" customHeight="false" outlineLevel="0" collapsed="false">
      <c r="A201" s="37" t="s">
        <v>345</v>
      </c>
      <c r="B201" s="38" t="n">
        <v>45734</v>
      </c>
      <c r="C201" s="37" t="n">
        <f aca="false">MONTH(B201)</f>
        <v>3</v>
      </c>
      <c r="D201" s="37" t="s">
        <v>154</v>
      </c>
      <c r="E201" s="37" t="s">
        <v>47</v>
      </c>
      <c r="F201" s="37" t="s">
        <v>96</v>
      </c>
      <c r="G201" s="37" t="s">
        <v>91</v>
      </c>
      <c r="H201" s="37" t="s">
        <v>119</v>
      </c>
      <c r="I201" s="37" t="n">
        <v>3</v>
      </c>
      <c r="J201" s="39" t="n">
        <v>1099</v>
      </c>
      <c r="K201" s="40" t="n">
        <v>0.05</v>
      </c>
      <c r="L201" s="39" t="n">
        <f aca="false">VLOOKUP(H201,'Product List'!$A$3:$D$18,4,FALSE())</f>
        <v>560</v>
      </c>
      <c r="M201" s="39" t="n">
        <f aca="false">I201*J201*(1-K201)</f>
        <v>3132.15</v>
      </c>
      <c r="N201" s="39" t="n">
        <f aca="false">I201*L201</f>
        <v>1680</v>
      </c>
      <c r="O201" s="39" t="n">
        <f aca="false">M201-N201</f>
        <v>1452.15</v>
      </c>
      <c r="P201" s="41" t="n">
        <f aca="false">IF(M201=0,0,O201/M201)</f>
        <v>0.463627220918538</v>
      </c>
      <c r="Q201" s="37" t="str">
        <f aca="false">IF(K201=0,"No discount",IF(K201&lt;=0.1,"1-10%",IF(K201&lt;=0.2,"11-20%",IF(K201&lt;=0.3,"21-30%","Above 30%"))))</f>
        <v>1-10%</v>
      </c>
      <c r="R201" s="39" t="n">
        <f aca="false">I201*J201*MAX(0,K201-DiscountCap)</f>
        <v>0</v>
      </c>
    </row>
    <row r="202" customFormat="false" ht="15" hidden="false" customHeight="false" outlineLevel="0" collapsed="false">
      <c r="A202" s="37" t="s">
        <v>346</v>
      </c>
      <c r="B202" s="38" t="n">
        <v>45747</v>
      </c>
      <c r="C202" s="37" t="n">
        <f aca="false">MONTH(B202)</f>
        <v>3</v>
      </c>
      <c r="D202" s="37" t="s">
        <v>140</v>
      </c>
      <c r="E202" s="37" t="s">
        <v>44</v>
      </c>
      <c r="F202" s="37" t="s">
        <v>97</v>
      </c>
      <c r="G202" s="37" t="s">
        <v>92</v>
      </c>
      <c r="H202" s="37" t="s">
        <v>113</v>
      </c>
      <c r="I202" s="37" t="n">
        <v>2</v>
      </c>
      <c r="J202" s="39" t="n">
        <v>2199</v>
      </c>
      <c r="K202" s="40" t="n">
        <v>0.1</v>
      </c>
      <c r="L202" s="39" t="n">
        <f aca="false">VLOOKUP(H202,'Product List'!$A$3:$D$18,4,FALSE())</f>
        <v>1400</v>
      </c>
      <c r="M202" s="39" t="n">
        <f aca="false">I202*J202*(1-K202)</f>
        <v>3958.2</v>
      </c>
      <c r="N202" s="39" t="n">
        <f aca="false">I202*L202</f>
        <v>2800</v>
      </c>
      <c r="O202" s="39" t="n">
        <f aca="false">M202-N202</f>
        <v>1158.2</v>
      </c>
      <c r="P202" s="41" t="n">
        <f aca="false">IF(M202=0,0,O202/M202)</f>
        <v>0.292607750997928</v>
      </c>
      <c r="Q202" s="37" t="str">
        <f aca="false">IF(K202=0,"No discount",IF(K202&lt;=0.1,"1-10%",IF(K202&lt;=0.2,"11-20%",IF(K202&lt;=0.3,"21-30%","Above 30%"))))</f>
        <v>1-10%</v>
      </c>
      <c r="R202" s="39" t="n">
        <f aca="false">I202*J202*MAX(0,K202-DiscountCap)</f>
        <v>0</v>
      </c>
    </row>
    <row r="203" customFormat="false" ht="15" hidden="false" customHeight="false" outlineLevel="0" collapsed="false">
      <c r="A203" s="37" t="s">
        <v>347</v>
      </c>
      <c r="B203" s="38" t="n">
        <v>45741</v>
      </c>
      <c r="C203" s="37" t="n">
        <f aca="false">MONTH(B203)</f>
        <v>3</v>
      </c>
      <c r="D203" s="37" t="s">
        <v>140</v>
      </c>
      <c r="E203" s="37" t="s">
        <v>44</v>
      </c>
      <c r="F203" s="37" t="s">
        <v>97</v>
      </c>
      <c r="G203" s="37" t="s">
        <v>92</v>
      </c>
      <c r="H203" s="37" t="s">
        <v>115</v>
      </c>
      <c r="I203" s="37" t="n">
        <v>5</v>
      </c>
      <c r="J203" s="39" t="n">
        <v>1799</v>
      </c>
      <c r="K203" s="40" t="n">
        <v>0</v>
      </c>
      <c r="L203" s="39" t="n">
        <f aca="false">VLOOKUP(H203,'Product List'!$A$3:$D$18,4,FALSE())</f>
        <v>1150</v>
      </c>
      <c r="M203" s="39" t="n">
        <f aca="false">I203*J203*(1-K203)</f>
        <v>8995</v>
      </c>
      <c r="N203" s="39" t="n">
        <f aca="false">I203*L203</f>
        <v>5750</v>
      </c>
      <c r="O203" s="39" t="n">
        <f aca="false">M203-N203</f>
        <v>3245</v>
      </c>
      <c r="P203" s="41" t="n">
        <f aca="false">IF(M203=0,0,O203/M203)</f>
        <v>0.360755975541968</v>
      </c>
      <c r="Q203" s="37" t="str">
        <f aca="false">IF(K203=0,"No discount",IF(K203&lt;=0.1,"1-10%",IF(K203&lt;=0.2,"11-20%",IF(K203&lt;=0.3,"21-30%","Above 30%"))))</f>
        <v>No discount</v>
      </c>
      <c r="R203" s="39" t="n">
        <f aca="false">I203*J203*MAX(0,K203-DiscountCap)</f>
        <v>0</v>
      </c>
    </row>
    <row r="204" customFormat="false" ht="15" hidden="false" customHeight="false" outlineLevel="0" collapsed="false">
      <c r="A204" s="37" t="s">
        <v>348</v>
      </c>
      <c r="B204" s="38" t="n">
        <v>45745</v>
      </c>
      <c r="C204" s="37" t="n">
        <f aca="false">MONTH(B204)</f>
        <v>3</v>
      </c>
      <c r="D204" s="37" t="s">
        <v>144</v>
      </c>
      <c r="E204" s="37" t="s">
        <v>45</v>
      </c>
      <c r="F204" s="37" t="s">
        <v>96</v>
      </c>
      <c r="G204" s="37" t="s">
        <v>90</v>
      </c>
      <c r="H204" s="37" t="s">
        <v>108</v>
      </c>
      <c r="I204" s="37" t="n">
        <v>5</v>
      </c>
      <c r="J204" s="39" t="n">
        <v>1999</v>
      </c>
      <c r="K204" s="40" t="n">
        <v>0</v>
      </c>
      <c r="L204" s="39" t="n">
        <f aca="false">VLOOKUP(H204,'Product List'!$A$3:$D$18,4,FALSE())</f>
        <v>1560</v>
      </c>
      <c r="M204" s="39" t="n">
        <f aca="false">I204*J204*(1-K204)</f>
        <v>9995</v>
      </c>
      <c r="N204" s="39" t="n">
        <f aca="false">I204*L204</f>
        <v>7800</v>
      </c>
      <c r="O204" s="39" t="n">
        <f aca="false">M204-N204</f>
        <v>2195</v>
      </c>
      <c r="P204" s="41" t="n">
        <f aca="false">IF(M204=0,0,O204/M204)</f>
        <v>0.219609804902451</v>
      </c>
      <c r="Q204" s="37" t="str">
        <f aca="false">IF(K204=0,"No discount",IF(K204&lt;=0.1,"1-10%",IF(K204&lt;=0.2,"11-20%",IF(K204&lt;=0.3,"21-30%","Above 30%"))))</f>
        <v>No discount</v>
      </c>
      <c r="R204" s="39" t="n">
        <f aca="false">I204*J204*MAX(0,K204-DiscountCap)</f>
        <v>0</v>
      </c>
    </row>
    <row r="205" customFormat="false" ht="15" hidden="false" customHeight="false" outlineLevel="0" collapsed="false">
      <c r="A205" s="37" t="s">
        <v>349</v>
      </c>
      <c r="B205" s="38" t="n">
        <v>45720</v>
      </c>
      <c r="C205" s="37" t="n">
        <f aca="false">MONTH(B205)</f>
        <v>3</v>
      </c>
      <c r="D205" s="37" t="s">
        <v>154</v>
      </c>
      <c r="E205" s="37" t="s">
        <v>47</v>
      </c>
      <c r="F205" s="37" t="s">
        <v>97</v>
      </c>
      <c r="G205" s="37" t="s">
        <v>90</v>
      </c>
      <c r="H205" s="37" t="s">
        <v>108</v>
      </c>
      <c r="I205" s="37" t="n">
        <v>3</v>
      </c>
      <c r="J205" s="39" t="n">
        <v>1999</v>
      </c>
      <c r="K205" s="40" t="n">
        <v>0.1</v>
      </c>
      <c r="L205" s="39" t="n">
        <f aca="false">VLOOKUP(H205,'Product List'!$A$3:$D$18,4,FALSE())</f>
        <v>1560</v>
      </c>
      <c r="M205" s="39" t="n">
        <f aca="false">I205*J205*(1-K205)</f>
        <v>5397.3</v>
      </c>
      <c r="N205" s="39" t="n">
        <f aca="false">I205*L205</f>
        <v>4680</v>
      </c>
      <c r="O205" s="39" t="n">
        <f aca="false">M205-N205</f>
        <v>717.3</v>
      </c>
      <c r="P205" s="41" t="n">
        <f aca="false">IF(M205=0,0,O205/M205)</f>
        <v>0.132899783224946</v>
      </c>
      <c r="Q205" s="37" t="str">
        <f aca="false">IF(K205=0,"No discount",IF(K205&lt;=0.1,"1-10%",IF(K205&lt;=0.2,"11-20%",IF(K205&lt;=0.3,"21-30%","Above 30%"))))</f>
        <v>1-10%</v>
      </c>
      <c r="R205" s="39" t="n">
        <f aca="false">I205*J205*MAX(0,K205-DiscountCap)</f>
        <v>0</v>
      </c>
    </row>
    <row r="206" customFormat="false" ht="15" hidden="false" customHeight="false" outlineLevel="0" collapsed="false">
      <c r="A206" s="37" t="s">
        <v>350</v>
      </c>
      <c r="B206" s="38" t="n">
        <v>45728</v>
      </c>
      <c r="C206" s="37" t="n">
        <f aca="false">MONTH(B206)</f>
        <v>3</v>
      </c>
      <c r="D206" s="37" t="s">
        <v>140</v>
      </c>
      <c r="E206" s="37" t="s">
        <v>44</v>
      </c>
      <c r="F206" s="37" t="s">
        <v>97</v>
      </c>
      <c r="G206" s="37" t="s">
        <v>91</v>
      </c>
      <c r="H206" s="37" t="s">
        <v>117</v>
      </c>
      <c r="I206" s="37" t="n">
        <v>1</v>
      </c>
      <c r="J206" s="39" t="n">
        <v>1499</v>
      </c>
      <c r="K206" s="40" t="n">
        <v>0</v>
      </c>
      <c r="L206" s="39" t="n">
        <f aca="false">VLOOKUP(H206,'Product List'!$A$3:$D$18,4,FALSE())</f>
        <v>780</v>
      </c>
      <c r="M206" s="39" t="n">
        <f aca="false">I206*J206*(1-K206)</f>
        <v>1499</v>
      </c>
      <c r="N206" s="39" t="n">
        <f aca="false">I206*L206</f>
        <v>780</v>
      </c>
      <c r="O206" s="39" t="n">
        <f aca="false">M206-N206</f>
        <v>719</v>
      </c>
      <c r="P206" s="41" t="n">
        <f aca="false">IF(M206=0,0,O206/M206)</f>
        <v>0.479653102068045</v>
      </c>
      <c r="Q206" s="37" t="str">
        <f aca="false">IF(K206=0,"No discount",IF(K206&lt;=0.1,"1-10%",IF(K206&lt;=0.2,"11-20%",IF(K206&lt;=0.3,"21-30%","Above 30%"))))</f>
        <v>No discount</v>
      </c>
      <c r="R206" s="39" t="n">
        <f aca="false">I206*J206*MAX(0,K206-DiscountCap)</f>
        <v>0</v>
      </c>
    </row>
    <row r="207" customFormat="false" ht="15" hidden="false" customHeight="false" outlineLevel="0" collapsed="false">
      <c r="A207" s="37" t="s">
        <v>351</v>
      </c>
      <c r="B207" s="38" t="n">
        <v>45742</v>
      </c>
      <c r="C207" s="37" t="n">
        <f aca="false">MONTH(B207)</f>
        <v>3</v>
      </c>
      <c r="D207" s="37" t="s">
        <v>142</v>
      </c>
      <c r="E207" s="37" t="s">
        <v>47</v>
      </c>
      <c r="F207" s="37" t="s">
        <v>96</v>
      </c>
      <c r="G207" s="37" t="s">
        <v>92</v>
      </c>
      <c r="H207" s="37" t="s">
        <v>115</v>
      </c>
      <c r="I207" s="37" t="n">
        <v>1</v>
      </c>
      <c r="J207" s="39" t="n">
        <v>1799</v>
      </c>
      <c r="K207" s="40" t="n">
        <v>0.1</v>
      </c>
      <c r="L207" s="39" t="n">
        <f aca="false">VLOOKUP(H207,'Product List'!$A$3:$D$18,4,FALSE())</f>
        <v>1150</v>
      </c>
      <c r="M207" s="39" t="n">
        <f aca="false">I207*J207*(1-K207)</f>
        <v>1619.1</v>
      </c>
      <c r="N207" s="39" t="n">
        <f aca="false">I207*L207</f>
        <v>1150</v>
      </c>
      <c r="O207" s="39" t="n">
        <f aca="false">M207-N207</f>
        <v>469.1</v>
      </c>
      <c r="P207" s="41" t="n">
        <f aca="false">IF(M207=0,0,O207/M207)</f>
        <v>0.289728861713298</v>
      </c>
      <c r="Q207" s="37" t="str">
        <f aca="false">IF(K207=0,"No discount",IF(K207&lt;=0.1,"1-10%",IF(K207&lt;=0.2,"11-20%",IF(K207&lt;=0.3,"21-30%","Above 30%"))))</f>
        <v>1-10%</v>
      </c>
      <c r="R207" s="39" t="n">
        <f aca="false">I207*J207*MAX(0,K207-DiscountCap)</f>
        <v>0</v>
      </c>
    </row>
    <row r="208" customFormat="false" ht="15" hidden="false" customHeight="false" outlineLevel="0" collapsed="false">
      <c r="A208" s="37" t="s">
        <v>352</v>
      </c>
      <c r="B208" s="38" t="n">
        <v>45733</v>
      </c>
      <c r="C208" s="37" t="n">
        <f aca="false">MONTH(B208)</f>
        <v>3</v>
      </c>
      <c r="D208" s="37" t="s">
        <v>169</v>
      </c>
      <c r="E208" s="37" t="s">
        <v>44</v>
      </c>
      <c r="F208" s="37" t="s">
        <v>97</v>
      </c>
      <c r="G208" s="37" t="s">
        <v>91</v>
      </c>
      <c r="H208" s="37" t="s">
        <v>119</v>
      </c>
      <c r="I208" s="37" t="n">
        <v>1</v>
      </c>
      <c r="J208" s="39" t="n">
        <v>1099</v>
      </c>
      <c r="K208" s="40" t="n">
        <v>0.15</v>
      </c>
      <c r="L208" s="39" t="n">
        <f aca="false">VLOOKUP(H208,'Product List'!$A$3:$D$18,4,FALSE())</f>
        <v>560</v>
      </c>
      <c r="M208" s="39" t="n">
        <f aca="false">I208*J208*(1-K208)</f>
        <v>934.15</v>
      </c>
      <c r="N208" s="39" t="n">
        <f aca="false">I208*L208</f>
        <v>560</v>
      </c>
      <c r="O208" s="39" t="n">
        <f aca="false">M208-N208</f>
        <v>374.15</v>
      </c>
      <c r="P208" s="41" t="n">
        <f aca="false">IF(M208=0,0,O208/M208)</f>
        <v>0.400524541026602</v>
      </c>
      <c r="Q208" s="37" t="str">
        <f aca="false">IF(K208=0,"No discount",IF(K208&lt;=0.1,"1-10%",IF(K208&lt;=0.2,"11-20%",IF(K208&lt;=0.3,"21-30%","Above 30%"))))</f>
        <v>11-20%</v>
      </c>
      <c r="R208" s="39" t="n">
        <f aca="false">I208*J208*MAX(0,K208-DiscountCap)</f>
        <v>0</v>
      </c>
    </row>
    <row r="209" customFormat="false" ht="15" hidden="false" customHeight="false" outlineLevel="0" collapsed="false">
      <c r="A209" s="37" t="s">
        <v>353</v>
      </c>
      <c r="B209" s="38" t="n">
        <v>45723</v>
      </c>
      <c r="C209" s="37" t="n">
        <f aca="false">MONTH(B209)</f>
        <v>3</v>
      </c>
      <c r="D209" s="37" t="s">
        <v>160</v>
      </c>
      <c r="E209" s="37" t="s">
        <v>46</v>
      </c>
      <c r="F209" s="37" t="s">
        <v>97</v>
      </c>
      <c r="G209" s="37" t="s">
        <v>91</v>
      </c>
      <c r="H209" s="37" t="s">
        <v>119</v>
      </c>
      <c r="I209" s="37" t="n">
        <v>2</v>
      </c>
      <c r="J209" s="39" t="n">
        <v>1099</v>
      </c>
      <c r="K209" s="40" t="n">
        <v>0</v>
      </c>
      <c r="L209" s="39" t="n">
        <f aca="false">VLOOKUP(H209,'Product List'!$A$3:$D$18,4,FALSE())</f>
        <v>560</v>
      </c>
      <c r="M209" s="39" t="n">
        <f aca="false">I209*J209*(1-K209)</f>
        <v>2198</v>
      </c>
      <c r="N209" s="39" t="n">
        <f aca="false">I209*L209</f>
        <v>1120</v>
      </c>
      <c r="O209" s="39" t="n">
        <f aca="false">M209-N209</f>
        <v>1078</v>
      </c>
      <c r="P209" s="41" t="n">
        <f aca="false">IF(M209=0,0,O209/M209)</f>
        <v>0.490445859872611</v>
      </c>
      <c r="Q209" s="37" t="str">
        <f aca="false">IF(K209=0,"No discount",IF(K209&lt;=0.1,"1-10%",IF(K209&lt;=0.2,"11-20%",IF(K209&lt;=0.3,"21-30%","Above 30%"))))</f>
        <v>No discount</v>
      </c>
      <c r="R209" s="39" t="n">
        <f aca="false">I209*J209*MAX(0,K209-DiscountCap)</f>
        <v>0</v>
      </c>
    </row>
    <row r="210" customFormat="false" ht="15" hidden="false" customHeight="false" outlineLevel="0" collapsed="false">
      <c r="A210" s="37" t="s">
        <v>354</v>
      </c>
      <c r="B210" s="38" t="n">
        <v>45722</v>
      </c>
      <c r="C210" s="37" t="n">
        <f aca="false">MONTH(B210)</f>
        <v>3</v>
      </c>
      <c r="D210" s="37" t="s">
        <v>144</v>
      </c>
      <c r="E210" s="37" t="s">
        <v>45</v>
      </c>
      <c r="F210" s="37" t="s">
        <v>96</v>
      </c>
      <c r="G210" s="37" t="s">
        <v>91</v>
      </c>
      <c r="H210" s="37" t="s">
        <v>116</v>
      </c>
      <c r="I210" s="37" t="n">
        <v>1</v>
      </c>
      <c r="J210" s="39" t="n">
        <v>899</v>
      </c>
      <c r="K210" s="40" t="n">
        <v>0.1</v>
      </c>
      <c r="L210" s="39" t="n">
        <f aca="false">VLOOKUP(H210,'Product List'!$A$3:$D$18,4,FALSE())</f>
        <v>430</v>
      </c>
      <c r="M210" s="39" t="n">
        <f aca="false">I210*J210*(1-K210)</f>
        <v>809.1</v>
      </c>
      <c r="N210" s="39" t="n">
        <f aca="false">I210*L210</f>
        <v>430</v>
      </c>
      <c r="O210" s="39" t="n">
        <f aca="false">M210-N210</f>
        <v>379.1</v>
      </c>
      <c r="P210" s="41" t="n">
        <f aca="false">IF(M210=0,0,O210/M210)</f>
        <v>0.468545297243851</v>
      </c>
      <c r="Q210" s="37" t="str">
        <f aca="false">IF(K210=0,"No discount",IF(K210&lt;=0.1,"1-10%",IF(K210&lt;=0.2,"11-20%",IF(K210&lt;=0.3,"21-30%","Above 30%"))))</f>
        <v>1-10%</v>
      </c>
      <c r="R210" s="39" t="n">
        <f aca="false">I210*J210*MAX(0,K210-DiscountCap)</f>
        <v>0</v>
      </c>
    </row>
    <row r="211" customFormat="false" ht="15" hidden="false" customHeight="false" outlineLevel="0" collapsed="false">
      <c r="A211" s="37" t="s">
        <v>355</v>
      </c>
      <c r="B211" s="38" t="n">
        <v>45761</v>
      </c>
      <c r="C211" s="37" t="n">
        <f aca="false">MONTH(B211)</f>
        <v>4</v>
      </c>
      <c r="D211" s="37" t="s">
        <v>138</v>
      </c>
      <c r="E211" s="37" t="s">
        <v>46</v>
      </c>
      <c r="F211" s="37" t="s">
        <v>97</v>
      </c>
      <c r="G211" s="37" t="s">
        <v>90</v>
      </c>
      <c r="H211" s="37" t="s">
        <v>108</v>
      </c>
      <c r="I211" s="37" t="n">
        <v>1</v>
      </c>
      <c r="J211" s="39" t="n">
        <v>1999</v>
      </c>
      <c r="K211" s="40" t="n">
        <v>0.05</v>
      </c>
      <c r="L211" s="39" t="n">
        <f aca="false">VLOOKUP(H211,'Product List'!$A$3:$D$18,4,FALSE())</f>
        <v>1560</v>
      </c>
      <c r="M211" s="39" t="n">
        <f aca="false">I211*J211*(1-K211)</f>
        <v>1899.05</v>
      </c>
      <c r="N211" s="39" t="n">
        <f aca="false">I211*L211</f>
        <v>1560</v>
      </c>
      <c r="O211" s="39" t="n">
        <f aca="false">M211-N211</f>
        <v>339.05</v>
      </c>
      <c r="P211" s="41" t="n">
        <f aca="false">IF(M211=0,0,O211/M211)</f>
        <v>0.178536636739422</v>
      </c>
      <c r="Q211" s="37" t="str">
        <f aca="false">IF(K211=0,"No discount",IF(K211&lt;=0.1,"1-10%",IF(K211&lt;=0.2,"11-20%",IF(K211&lt;=0.3,"21-30%","Above 30%"))))</f>
        <v>1-10%</v>
      </c>
      <c r="R211" s="39" t="n">
        <f aca="false">I211*J211*MAX(0,K211-DiscountCap)</f>
        <v>0</v>
      </c>
    </row>
    <row r="212" customFormat="false" ht="15" hidden="false" customHeight="false" outlineLevel="0" collapsed="false">
      <c r="A212" s="37" t="s">
        <v>356</v>
      </c>
      <c r="B212" s="38" t="n">
        <v>45775</v>
      </c>
      <c r="C212" s="37" t="n">
        <f aca="false">MONTH(B212)</f>
        <v>4</v>
      </c>
      <c r="D212" s="37" t="s">
        <v>154</v>
      </c>
      <c r="E212" s="37" t="s">
        <v>47</v>
      </c>
      <c r="F212" s="37" t="s">
        <v>96</v>
      </c>
      <c r="G212" s="37" t="s">
        <v>91</v>
      </c>
      <c r="H212" s="37" t="s">
        <v>119</v>
      </c>
      <c r="I212" s="37" t="n">
        <v>2</v>
      </c>
      <c r="J212" s="39" t="n">
        <v>1099</v>
      </c>
      <c r="K212" s="40" t="n">
        <v>0.25</v>
      </c>
      <c r="L212" s="39" t="n">
        <f aca="false">VLOOKUP(H212,'Product List'!$A$3:$D$18,4,FALSE())</f>
        <v>560</v>
      </c>
      <c r="M212" s="39" t="n">
        <f aca="false">I212*J212*(1-K212)</f>
        <v>1648.5</v>
      </c>
      <c r="N212" s="39" t="n">
        <f aca="false">I212*L212</f>
        <v>1120</v>
      </c>
      <c r="O212" s="39" t="n">
        <f aca="false">M212-N212</f>
        <v>528.5</v>
      </c>
      <c r="P212" s="41" t="n">
        <f aca="false">IF(M212=0,0,O212/M212)</f>
        <v>0.320594479830149</v>
      </c>
      <c r="Q212" s="37" t="str">
        <f aca="false">IF(K212=0,"No discount",IF(K212&lt;=0.1,"1-10%",IF(K212&lt;=0.2,"11-20%",IF(K212&lt;=0.3,"21-30%","Above 30%"))))</f>
        <v>21-30%</v>
      </c>
      <c r="R212" s="39" t="n">
        <f aca="false">I212*J212*MAX(0,K212-DiscountCap)</f>
        <v>109.9</v>
      </c>
    </row>
    <row r="213" customFormat="false" ht="15" hidden="false" customHeight="false" outlineLevel="0" collapsed="false">
      <c r="A213" s="37" t="s">
        <v>357</v>
      </c>
      <c r="B213" s="38" t="n">
        <v>45777</v>
      </c>
      <c r="C213" s="37" t="n">
        <f aca="false">MONTH(B213)</f>
        <v>4</v>
      </c>
      <c r="D213" s="37" t="s">
        <v>146</v>
      </c>
      <c r="E213" s="37" t="s">
        <v>45</v>
      </c>
      <c r="F213" s="37" t="s">
        <v>96</v>
      </c>
      <c r="G213" s="37" t="s">
        <v>91</v>
      </c>
      <c r="H213" s="37" t="s">
        <v>116</v>
      </c>
      <c r="I213" s="37" t="n">
        <v>2</v>
      </c>
      <c r="J213" s="39" t="n">
        <v>899</v>
      </c>
      <c r="K213" s="40" t="n">
        <v>0.1</v>
      </c>
      <c r="L213" s="39" t="n">
        <f aca="false">VLOOKUP(H213,'Product List'!$A$3:$D$18,4,FALSE())</f>
        <v>430</v>
      </c>
      <c r="M213" s="39" t="n">
        <f aca="false">I213*J213*(1-K213)</f>
        <v>1618.2</v>
      </c>
      <c r="N213" s="39" t="n">
        <f aca="false">I213*L213</f>
        <v>860</v>
      </c>
      <c r="O213" s="39" t="n">
        <f aca="false">M213-N213</f>
        <v>758.2</v>
      </c>
      <c r="P213" s="41" t="n">
        <f aca="false">IF(M213=0,0,O213/M213)</f>
        <v>0.468545297243851</v>
      </c>
      <c r="Q213" s="37" t="str">
        <f aca="false">IF(K213=0,"No discount",IF(K213&lt;=0.1,"1-10%",IF(K213&lt;=0.2,"11-20%",IF(K213&lt;=0.3,"21-30%","Above 30%"))))</f>
        <v>1-10%</v>
      </c>
      <c r="R213" s="39" t="n">
        <f aca="false">I213*J213*MAX(0,K213-DiscountCap)</f>
        <v>0</v>
      </c>
    </row>
    <row r="214" customFormat="false" ht="15" hidden="false" customHeight="false" outlineLevel="0" collapsed="false">
      <c r="A214" s="37" t="s">
        <v>358</v>
      </c>
      <c r="B214" s="38" t="n">
        <v>45772</v>
      </c>
      <c r="C214" s="37" t="n">
        <f aca="false">MONTH(B214)</f>
        <v>4</v>
      </c>
      <c r="D214" s="37" t="s">
        <v>136</v>
      </c>
      <c r="E214" s="37" t="s">
        <v>47</v>
      </c>
      <c r="F214" s="37" t="s">
        <v>96</v>
      </c>
      <c r="G214" s="37" t="s">
        <v>93</v>
      </c>
      <c r="H214" s="37" t="s">
        <v>121</v>
      </c>
      <c r="I214" s="37" t="n">
        <v>1</v>
      </c>
      <c r="J214" s="39" t="n">
        <v>999</v>
      </c>
      <c r="K214" s="40" t="n">
        <v>0.05</v>
      </c>
      <c r="L214" s="39" t="n">
        <f aca="false">VLOOKUP(H214,'Product List'!$A$3:$D$18,4,FALSE())</f>
        <v>500</v>
      </c>
      <c r="M214" s="39" t="n">
        <f aca="false">I214*J214*(1-K214)</f>
        <v>949.05</v>
      </c>
      <c r="N214" s="39" t="n">
        <f aca="false">I214*L214</f>
        <v>500</v>
      </c>
      <c r="O214" s="39" t="n">
        <f aca="false">M214-N214</f>
        <v>449.05</v>
      </c>
      <c r="P214" s="41" t="n">
        <f aca="false">IF(M214=0,0,O214/M214)</f>
        <v>0.47315736789421</v>
      </c>
      <c r="Q214" s="37" t="str">
        <f aca="false">IF(K214=0,"No discount",IF(K214&lt;=0.1,"1-10%",IF(K214&lt;=0.2,"11-20%",IF(K214&lt;=0.3,"21-30%","Above 30%"))))</f>
        <v>1-10%</v>
      </c>
      <c r="R214" s="39" t="n">
        <f aca="false">I214*J214*MAX(0,K214-DiscountCap)</f>
        <v>0</v>
      </c>
    </row>
    <row r="215" customFormat="false" ht="15" hidden="false" customHeight="false" outlineLevel="0" collapsed="false">
      <c r="A215" s="37" t="s">
        <v>359</v>
      </c>
      <c r="B215" s="38" t="n">
        <v>45758</v>
      </c>
      <c r="C215" s="37" t="n">
        <f aca="false">MONTH(B215)</f>
        <v>4</v>
      </c>
      <c r="D215" s="37" t="s">
        <v>166</v>
      </c>
      <c r="E215" s="37" t="s">
        <v>44</v>
      </c>
      <c r="F215" s="37" t="s">
        <v>97</v>
      </c>
      <c r="G215" s="37" t="s">
        <v>92</v>
      </c>
      <c r="H215" s="37" t="s">
        <v>113</v>
      </c>
      <c r="I215" s="37" t="n">
        <v>2</v>
      </c>
      <c r="J215" s="39" t="n">
        <v>2199</v>
      </c>
      <c r="K215" s="40" t="n">
        <v>0</v>
      </c>
      <c r="L215" s="39" t="n">
        <f aca="false">VLOOKUP(H215,'Product List'!$A$3:$D$18,4,FALSE())</f>
        <v>1400</v>
      </c>
      <c r="M215" s="39" t="n">
        <f aca="false">I215*J215*(1-K215)</f>
        <v>4398</v>
      </c>
      <c r="N215" s="39" t="n">
        <f aca="false">I215*L215</f>
        <v>2800</v>
      </c>
      <c r="O215" s="39" t="n">
        <f aca="false">M215-N215</f>
        <v>1598</v>
      </c>
      <c r="P215" s="41" t="n">
        <f aca="false">IF(M215=0,0,O215/M215)</f>
        <v>0.363346975898136</v>
      </c>
      <c r="Q215" s="37" t="str">
        <f aca="false">IF(K215=0,"No discount",IF(K215&lt;=0.1,"1-10%",IF(K215&lt;=0.2,"11-20%",IF(K215&lt;=0.3,"21-30%","Above 30%"))))</f>
        <v>No discount</v>
      </c>
      <c r="R215" s="39" t="n">
        <f aca="false">I215*J215*MAX(0,K215-DiscountCap)</f>
        <v>0</v>
      </c>
    </row>
    <row r="216" customFormat="false" ht="15" hidden="false" customHeight="false" outlineLevel="0" collapsed="false">
      <c r="A216" s="37" t="s">
        <v>360</v>
      </c>
      <c r="B216" s="38" t="n">
        <v>45777</v>
      </c>
      <c r="C216" s="37" t="n">
        <f aca="false">MONTH(B216)</f>
        <v>4</v>
      </c>
      <c r="D216" s="37" t="s">
        <v>172</v>
      </c>
      <c r="E216" s="37" t="s">
        <v>46</v>
      </c>
      <c r="F216" s="37" t="s">
        <v>97</v>
      </c>
      <c r="G216" s="37" t="s">
        <v>90</v>
      </c>
      <c r="H216" s="37" t="s">
        <v>110</v>
      </c>
      <c r="I216" s="37" t="n">
        <v>1</v>
      </c>
      <c r="J216" s="39" t="n">
        <v>1299</v>
      </c>
      <c r="K216" s="40" t="n">
        <v>0.1</v>
      </c>
      <c r="L216" s="39" t="n">
        <f aca="false">VLOOKUP(H216,'Product List'!$A$3:$D$18,4,FALSE())</f>
        <v>1000</v>
      </c>
      <c r="M216" s="39" t="n">
        <f aca="false">I216*J216*(1-K216)</f>
        <v>1169.1</v>
      </c>
      <c r="N216" s="39" t="n">
        <f aca="false">I216*L216</f>
        <v>1000</v>
      </c>
      <c r="O216" s="39" t="n">
        <f aca="false">M216-N216</f>
        <v>169.1</v>
      </c>
      <c r="P216" s="41" t="n">
        <f aca="false">IF(M216=0,0,O216/M216)</f>
        <v>0.144641176973741</v>
      </c>
      <c r="Q216" s="37" t="str">
        <f aca="false">IF(K216=0,"No discount",IF(K216&lt;=0.1,"1-10%",IF(K216&lt;=0.2,"11-20%",IF(K216&lt;=0.3,"21-30%","Above 30%"))))</f>
        <v>1-10%</v>
      </c>
      <c r="R216" s="39" t="n">
        <f aca="false">I216*J216*MAX(0,K216-DiscountCap)</f>
        <v>0</v>
      </c>
    </row>
    <row r="217" customFormat="false" ht="15" hidden="false" customHeight="false" outlineLevel="0" collapsed="false">
      <c r="A217" s="37" t="s">
        <v>361</v>
      </c>
      <c r="B217" s="38" t="n">
        <v>45774</v>
      </c>
      <c r="C217" s="37" t="n">
        <f aca="false">MONTH(B217)</f>
        <v>4</v>
      </c>
      <c r="D217" s="37" t="s">
        <v>136</v>
      </c>
      <c r="E217" s="37" t="s">
        <v>47</v>
      </c>
      <c r="F217" s="37" t="s">
        <v>96</v>
      </c>
      <c r="G217" s="37" t="s">
        <v>92</v>
      </c>
      <c r="H217" s="37" t="s">
        <v>115</v>
      </c>
      <c r="I217" s="37" t="n">
        <v>1</v>
      </c>
      <c r="J217" s="39" t="n">
        <v>1799</v>
      </c>
      <c r="K217" s="40" t="n">
        <v>0.15</v>
      </c>
      <c r="L217" s="39" t="n">
        <f aca="false">VLOOKUP(H217,'Product List'!$A$3:$D$18,4,FALSE())</f>
        <v>1150</v>
      </c>
      <c r="M217" s="39" t="n">
        <f aca="false">I217*J217*(1-K217)</f>
        <v>1529.15</v>
      </c>
      <c r="N217" s="39" t="n">
        <f aca="false">I217*L217</f>
        <v>1150</v>
      </c>
      <c r="O217" s="39" t="n">
        <f aca="false">M217-N217</f>
        <v>379.15</v>
      </c>
      <c r="P217" s="41" t="n">
        <f aca="false">IF(M217=0,0,O217/M217)</f>
        <v>0.247948206519962</v>
      </c>
      <c r="Q217" s="37" t="str">
        <f aca="false">IF(K217=0,"No discount",IF(K217&lt;=0.1,"1-10%",IF(K217&lt;=0.2,"11-20%",IF(K217&lt;=0.3,"21-30%","Above 30%"))))</f>
        <v>11-20%</v>
      </c>
      <c r="R217" s="39" t="n">
        <f aca="false">I217*J217*MAX(0,K217-DiscountCap)</f>
        <v>0</v>
      </c>
    </row>
    <row r="218" customFormat="false" ht="15" hidden="false" customHeight="false" outlineLevel="0" collapsed="false">
      <c r="A218" s="37" t="s">
        <v>362</v>
      </c>
      <c r="B218" s="38" t="n">
        <v>45758</v>
      </c>
      <c r="C218" s="37" t="n">
        <f aca="false">MONTH(B218)</f>
        <v>4</v>
      </c>
      <c r="D218" s="37" t="s">
        <v>146</v>
      </c>
      <c r="E218" s="37" t="s">
        <v>45</v>
      </c>
      <c r="F218" s="37" t="s">
        <v>97</v>
      </c>
      <c r="G218" s="37" t="s">
        <v>91</v>
      </c>
      <c r="H218" s="37" t="s">
        <v>119</v>
      </c>
      <c r="I218" s="37" t="n">
        <v>1</v>
      </c>
      <c r="J218" s="39" t="n">
        <v>1099</v>
      </c>
      <c r="K218" s="40" t="n">
        <v>0</v>
      </c>
      <c r="L218" s="39" t="n">
        <f aca="false">VLOOKUP(H218,'Product List'!$A$3:$D$18,4,FALSE())</f>
        <v>560</v>
      </c>
      <c r="M218" s="39" t="n">
        <f aca="false">I218*J218*(1-K218)</f>
        <v>1099</v>
      </c>
      <c r="N218" s="39" t="n">
        <f aca="false">I218*L218</f>
        <v>560</v>
      </c>
      <c r="O218" s="39" t="n">
        <f aca="false">M218-N218</f>
        <v>539</v>
      </c>
      <c r="P218" s="41" t="n">
        <f aca="false">IF(M218=0,0,O218/M218)</f>
        <v>0.490445859872611</v>
      </c>
      <c r="Q218" s="37" t="str">
        <f aca="false">IF(K218=0,"No discount",IF(K218&lt;=0.1,"1-10%",IF(K218&lt;=0.2,"11-20%",IF(K218&lt;=0.3,"21-30%","Above 30%"))))</f>
        <v>No discount</v>
      </c>
      <c r="R218" s="39" t="n">
        <f aca="false">I218*J218*MAX(0,K218-DiscountCap)</f>
        <v>0</v>
      </c>
    </row>
    <row r="219" customFormat="false" ht="15" hidden="false" customHeight="false" outlineLevel="0" collapsed="false">
      <c r="A219" s="37" t="s">
        <v>363</v>
      </c>
      <c r="B219" s="38" t="n">
        <v>45763</v>
      </c>
      <c r="C219" s="37" t="n">
        <f aca="false">MONTH(B219)</f>
        <v>4</v>
      </c>
      <c r="D219" s="37" t="s">
        <v>154</v>
      </c>
      <c r="E219" s="37" t="s">
        <v>47</v>
      </c>
      <c r="F219" s="37" t="s">
        <v>97</v>
      </c>
      <c r="G219" s="37" t="s">
        <v>91</v>
      </c>
      <c r="H219" s="37" t="s">
        <v>119</v>
      </c>
      <c r="I219" s="37" t="n">
        <v>1</v>
      </c>
      <c r="J219" s="39" t="n">
        <v>1099</v>
      </c>
      <c r="K219" s="40" t="n">
        <v>0.1</v>
      </c>
      <c r="L219" s="39" t="n">
        <f aca="false">VLOOKUP(H219,'Product List'!$A$3:$D$18,4,FALSE())</f>
        <v>560</v>
      </c>
      <c r="M219" s="39" t="n">
        <f aca="false">I219*J219*(1-K219)</f>
        <v>989.1</v>
      </c>
      <c r="N219" s="39" t="n">
        <f aca="false">I219*L219</f>
        <v>560</v>
      </c>
      <c r="O219" s="39" t="n">
        <f aca="false">M219-N219</f>
        <v>429.1</v>
      </c>
      <c r="P219" s="41" t="n">
        <f aca="false">IF(M219=0,0,O219/M219)</f>
        <v>0.433828733191791</v>
      </c>
      <c r="Q219" s="37" t="str">
        <f aca="false">IF(K219=0,"No discount",IF(K219&lt;=0.1,"1-10%",IF(K219&lt;=0.2,"11-20%",IF(K219&lt;=0.3,"21-30%","Above 30%"))))</f>
        <v>1-10%</v>
      </c>
      <c r="R219" s="39" t="n">
        <f aca="false">I219*J219*MAX(0,K219-DiscountCap)</f>
        <v>0</v>
      </c>
    </row>
    <row r="220" customFormat="false" ht="15" hidden="false" customHeight="false" outlineLevel="0" collapsed="false">
      <c r="A220" s="37" t="s">
        <v>364</v>
      </c>
      <c r="B220" s="38" t="n">
        <v>45748</v>
      </c>
      <c r="C220" s="37" t="n">
        <f aca="false">MONTH(B220)</f>
        <v>4</v>
      </c>
      <c r="D220" s="37" t="s">
        <v>140</v>
      </c>
      <c r="E220" s="37" t="s">
        <v>44</v>
      </c>
      <c r="F220" s="37" t="s">
        <v>96</v>
      </c>
      <c r="G220" s="37" t="s">
        <v>93</v>
      </c>
      <c r="H220" s="37" t="s">
        <v>122</v>
      </c>
      <c r="I220" s="37" t="n">
        <v>3</v>
      </c>
      <c r="J220" s="39" t="n">
        <v>1799</v>
      </c>
      <c r="K220" s="40" t="n">
        <v>0.1</v>
      </c>
      <c r="L220" s="39" t="n">
        <f aca="false">VLOOKUP(H220,'Product List'!$A$3:$D$18,4,FALSE())</f>
        <v>1250</v>
      </c>
      <c r="M220" s="39" t="n">
        <f aca="false">I220*J220*(1-K220)</f>
        <v>4857.3</v>
      </c>
      <c r="N220" s="39" t="n">
        <f aca="false">I220*L220</f>
        <v>3750</v>
      </c>
      <c r="O220" s="39" t="n">
        <f aca="false">M220-N220</f>
        <v>1107.3</v>
      </c>
      <c r="P220" s="41" t="n">
        <f aca="false">IF(M220=0,0,O220/M220)</f>
        <v>0.227966154036193</v>
      </c>
      <c r="Q220" s="37" t="str">
        <f aca="false">IF(K220=0,"No discount",IF(K220&lt;=0.1,"1-10%",IF(K220&lt;=0.2,"11-20%",IF(K220&lt;=0.3,"21-30%","Above 30%"))))</f>
        <v>1-10%</v>
      </c>
      <c r="R220" s="39" t="n">
        <f aca="false">I220*J220*MAX(0,K220-DiscountCap)</f>
        <v>0</v>
      </c>
    </row>
    <row r="221" customFormat="false" ht="15" hidden="false" customHeight="false" outlineLevel="0" collapsed="false">
      <c r="A221" s="37" t="s">
        <v>365</v>
      </c>
      <c r="B221" s="38" t="n">
        <v>45768</v>
      </c>
      <c r="C221" s="37" t="n">
        <f aca="false">MONTH(B221)</f>
        <v>4</v>
      </c>
      <c r="D221" s="37" t="s">
        <v>140</v>
      </c>
      <c r="E221" s="37" t="s">
        <v>44</v>
      </c>
      <c r="F221" s="37" t="s">
        <v>96</v>
      </c>
      <c r="G221" s="37" t="s">
        <v>92</v>
      </c>
      <c r="H221" s="37" t="s">
        <v>115</v>
      </c>
      <c r="I221" s="37" t="n">
        <v>4</v>
      </c>
      <c r="J221" s="39" t="n">
        <v>1799</v>
      </c>
      <c r="K221" s="40" t="n">
        <v>0.2</v>
      </c>
      <c r="L221" s="39" t="n">
        <f aca="false">VLOOKUP(H221,'Product List'!$A$3:$D$18,4,FALSE())</f>
        <v>1150</v>
      </c>
      <c r="M221" s="39" t="n">
        <f aca="false">I221*J221*(1-K221)</f>
        <v>5756.8</v>
      </c>
      <c r="N221" s="39" t="n">
        <f aca="false">I221*L221</f>
        <v>4600</v>
      </c>
      <c r="O221" s="39" t="n">
        <f aca="false">M221-N221</f>
        <v>1156.8</v>
      </c>
      <c r="P221" s="41" t="n">
        <f aca="false">IF(M221=0,0,O221/M221)</f>
        <v>0.20094496942746</v>
      </c>
      <c r="Q221" s="37" t="str">
        <f aca="false">IF(K221=0,"No discount",IF(K221&lt;=0.1,"1-10%",IF(K221&lt;=0.2,"11-20%",IF(K221&lt;=0.3,"21-30%","Above 30%"))))</f>
        <v>11-20%</v>
      </c>
      <c r="R221" s="39" t="n">
        <f aca="false">I221*J221*MAX(0,K221-DiscountCap)</f>
        <v>0</v>
      </c>
    </row>
    <row r="222" customFormat="false" ht="15" hidden="false" customHeight="false" outlineLevel="0" collapsed="false">
      <c r="A222" s="37" t="s">
        <v>366</v>
      </c>
      <c r="B222" s="38" t="n">
        <v>45766</v>
      </c>
      <c r="C222" s="37" t="n">
        <f aca="false">MONTH(B222)</f>
        <v>4</v>
      </c>
      <c r="D222" s="37" t="s">
        <v>172</v>
      </c>
      <c r="E222" s="37" t="s">
        <v>46</v>
      </c>
      <c r="F222" s="37" t="s">
        <v>97</v>
      </c>
      <c r="G222" s="37" t="s">
        <v>90</v>
      </c>
      <c r="H222" s="37" t="s">
        <v>111</v>
      </c>
      <c r="I222" s="37" t="n">
        <v>4</v>
      </c>
      <c r="J222" s="39" t="n">
        <v>2499</v>
      </c>
      <c r="K222" s="40" t="n">
        <v>0</v>
      </c>
      <c r="L222" s="39" t="n">
        <f aca="false">VLOOKUP(H222,'Product List'!$A$3:$D$18,4,FALSE())</f>
        <v>1950</v>
      </c>
      <c r="M222" s="39" t="n">
        <f aca="false">I222*J222*(1-K222)</f>
        <v>9996</v>
      </c>
      <c r="N222" s="39" t="n">
        <f aca="false">I222*L222</f>
        <v>7800</v>
      </c>
      <c r="O222" s="39" t="n">
        <f aca="false">M222-N222</f>
        <v>2196</v>
      </c>
      <c r="P222" s="41" t="n">
        <f aca="false">IF(M222=0,0,O222/M222)</f>
        <v>0.21968787515006</v>
      </c>
      <c r="Q222" s="37" t="str">
        <f aca="false">IF(K222=0,"No discount",IF(K222&lt;=0.1,"1-10%",IF(K222&lt;=0.2,"11-20%",IF(K222&lt;=0.3,"21-30%","Above 30%"))))</f>
        <v>No discount</v>
      </c>
      <c r="R222" s="39" t="n">
        <f aca="false">I222*J222*MAX(0,K222-DiscountCap)</f>
        <v>0</v>
      </c>
    </row>
    <row r="223" customFormat="false" ht="15" hidden="false" customHeight="false" outlineLevel="0" collapsed="false">
      <c r="A223" s="37" t="s">
        <v>367</v>
      </c>
      <c r="B223" s="38" t="n">
        <v>45776</v>
      </c>
      <c r="C223" s="37" t="n">
        <f aca="false">MONTH(B223)</f>
        <v>4</v>
      </c>
      <c r="D223" s="37" t="s">
        <v>144</v>
      </c>
      <c r="E223" s="37" t="s">
        <v>45</v>
      </c>
      <c r="F223" s="37" t="s">
        <v>97</v>
      </c>
      <c r="G223" s="37" t="s">
        <v>91</v>
      </c>
      <c r="H223" s="37" t="s">
        <v>119</v>
      </c>
      <c r="I223" s="37" t="n">
        <v>2</v>
      </c>
      <c r="J223" s="39" t="n">
        <v>1099</v>
      </c>
      <c r="K223" s="40" t="n">
        <v>0.05</v>
      </c>
      <c r="L223" s="39" t="n">
        <f aca="false">VLOOKUP(H223,'Product List'!$A$3:$D$18,4,FALSE())</f>
        <v>560</v>
      </c>
      <c r="M223" s="39" t="n">
        <f aca="false">I223*J223*(1-K223)</f>
        <v>2088.1</v>
      </c>
      <c r="N223" s="39" t="n">
        <f aca="false">I223*L223</f>
        <v>1120</v>
      </c>
      <c r="O223" s="39" t="n">
        <f aca="false">M223-N223</f>
        <v>968.1</v>
      </c>
      <c r="P223" s="41" t="n">
        <f aca="false">IF(M223=0,0,O223/M223)</f>
        <v>0.463627220918538</v>
      </c>
      <c r="Q223" s="37" t="str">
        <f aca="false">IF(K223=0,"No discount",IF(K223&lt;=0.1,"1-10%",IF(K223&lt;=0.2,"11-20%",IF(K223&lt;=0.3,"21-30%","Above 30%"))))</f>
        <v>1-10%</v>
      </c>
      <c r="R223" s="39" t="n">
        <f aca="false">I223*J223*MAX(0,K223-DiscountCap)</f>
        <v>0</v>
      </c>
    </row>
    <row r="224" customFormat="false" ht="15" hidden="false" customHeight="false" outlineLevel="0" collapsed="false">
      <c r="A224" s="37" t="s">
        <v>368</v>
      </c>
      <c r="B224" s="38" t="n">
        <v>45756</v>
      </c>
      <c r="C224" s="37" t="n">
        <f aca="false">MONTH(B224)</f>
        <v>4</v>
      </c>
      <c r="D224" s="37" t="s">
        <v>134</v>
      </c>
      <c r="E224" s="37" t="s">
        <v>45</v>
      </c>
      <c r="F224" s="37" t="s">
        <v>96</v>
      </c>
      <c r="G224" s="37" t="s">
        <v>90</v>
      </c>
      <c r="H224" s="37" t="s">
        <v>108</v>
      </c>
      <c r="I224" s="37" t="n">
        <v>1</v>
      </c>
      <c r="J224" s="39" t="n">
        <v>1999</v>
      </c>
      <c r="K224" s="40" t="n">
        <v>0.2</v>
      </c>
      <c r="L224" s="39" t="n">
        <f aca="false">VLOOKUP(H224,'Product List'!$A$3:$D$18,4,FALSE())</f>
        <v>1560</v>
      </c>
      <c r="M224" s="39" t="n">
        <f aca="false">I224*J224*(1-K224)</f>
        <v>1599.2</v>
      </c>
      <c r="N224" s="39" t="n">
        <f aca="false">I224*L224</f>
        <v>1560</v>
      </c>
      <c r="O224" s="39" t="n">
        <f aca="false">M224-N224</f>
        <v>39.2</v>
      </c>
      <c r="P224" s="41" t="n">
        <f aca="false">IF(M224=0,0,O224/M224)</f>
        <v>0.0245122561280641</v>
      </c>
      <c r="Q224" s="37" t="str">
        <f aca="false">IF(K224=0,"No discount",IF(K224&lt;=0.1,"1-10%",IF(K224&lt;=0.2,"11-20%",IF(K224&lt;=0.3,"21-30%","Above 30%"))))</f>
        <v>11-20%</v>
      </c>
      <c r="R224" s="39" t="n">
        <f aca="false">I224*J224*MAX(0,K224-DiscountCap)</f>
        <v>0</v>
      </c>
    </row>
    <row r="225" customFormat="false" ht="15" hidden="false" customHeight="false" outlineLevel="0" collapsed="false">
      <c r="A225" s="37" t="s">
        <v>369</v>
      </c>
      <c r="B225" s="38" t="n">
        <v>45751</v>
      </c>
      <c r="C225" s="37" t="n">
        <f aca="false">MONTH(B225)</f>
        <v>4</v>
      </c>
      <c r="D225" s="37" t="s">
        <v>140</v>
      </c>
      <c r="E225" s="37" t="s">
        <v>44</v>
      </c>
      <c r="F225" s="37" t="s">
        <v>96</v>
      </c>
      <c r="G225" s="37" t="s">
        <v>93</v>
      </c>
      <c r="H225" s="37" t="s">
        <v>123</v>
      </c>
      <c r="I225" s="37" t="n">
        <v>2</v>
      </c>
      <c r="J225" s="39" t="n">
        <v>1299</v>
      </c>
      <c r="K225" s="40" t="n">
        <v>0.1</v>
      </c>
      <c r="L225" s="39" t="n">
        <f aca="false">VLOOKUP(H225,'Product List'!$A$3:$D$18,4,FALSE())</f>
        <v>700</v>
      </c>
      <c r="M225" s="39" t="n">
        <f aca="false">I225*J225*(1-K225)</f>
        <v>2338.2</v>
      </c>
      <c r="N225" s="39" t="n">
        <f aca="false">I225*L225</f>
        <v>1400</v>
      </c>
      <c r="O225" s="39" t="n">
        <f aca="false">M225-N225</f>
        <v>938.2</v>
      </c>
      <c r="P225" s="41" t="n">
        <f aca="false">IF(M225=0,0,O225/M225)</f>
        <v>0.401248823881618</v>
      </c>
      <c r="Q225" s="37" t="str">
        <f aca="false">IF(K225=0,"No discount",IF(K225&lt;=0.1,"1-10%",IF(K225&lt;=0.2,"11-20%",IF(K225&lt;=0.3,"21-30%","Above 30%"))))</f>
        <v>1-10%</v>
      </c>
      <c r="R225" s="39" t="n">
        <f aca="false">I225*J225*MAX(0,K225-DiscountCap)</f>
        <v>0</v>
      </c>
    </row>
    <row r="226" customFormat="false" ht="15" hidden="false" customHeight="false" outlineLevel="0" collapsed="false">
      <c r="A226" s="37" t="s">
        <v>370</v>
      </c>
      <c r="B226" s="38" t="n">
        <v>45758</v>
      </c>
      <c r="C226" s="37" t="n">
        <f aca="false">MONTH(B226)</f>
        <v>4</v>
      </c>
      <c r="D226" s="37" t="s">
        <v>144</v>
      </c>
      <c r="E226" s="37" t="s">
        <v>45</v>
      </c>
      <c r="F226" s="37" t="s">
        <v>96</v>
      </c>
      <c r="G226" s="37" t="s">
        <v>92</v>
      </c>
      <c r="H226" s="37" t="s">
        <v>115</v>
      </c>
      <c r="I226" s="37" t="n">
        <v>1</v>
      </c>
      <c r="J226" s="39" t="n">
        <v>1799</v>
      </c>
      <c r="K226" s="40" t="n">
        <v>0</v>
      </c>
      <c r="L226" s="39" t="n">
        <f aca="false">VLOOKUP(H226,'Product List'!$A$3:$D$18,4,FALSE())</f>
        <v>1150</v>
      </c>
      <c r="M226" s="39" t="n">
        <f aca="false">I226*J226*(1-K226)</f>
        <v>1799</v>
      </c>
      <c r="N226" s="39" t="n">
        <f aca="false">I226*L226</f>
        <v>1150</v>
      </c>
      <c r="O226" s="39" t="n">
        <f aca="false">M226-N226</f>
        <v>649</v>
      </c>
      <c r="P226" s="41" t="n">
        <f aca="false">IF(M226=0,0,O226/M226)</f>
        <v>0.360755975541968</v>
      </c>
      <c r="Q226" s="37" t="str">
        <f aca="false">IF(K226=0,"No discount",IF(K226&lt;=0.1,"1-10%",IF(K226&lt;=0.2,"11-20%",IF(K226&lt;=0.3,"21-30%","Above 30%"))))</f>
        <v>No discount</v>
      </c>
      <c r="R226" s="39" t="n">
        <f aca="false">I226*J226*MAX(0,K226-DiscountCap)</f>
        <v>0</v>
      </c>
    </row>
    <row r="227" customFormat="false" ht="15" hidden="false" customHeight="false" outlineLevel="0" collapsed="false">
      <c r="A227" s="37" t="s">
        <v>371</v>
      </c>
      <c r="B227" s="38" t="n">
        <v>45753</v>
      </c>
      <c r="C227" s="37" t="n">
        <f aca="false">MONTH(B227)</f>
        <v>4</v>
      </c>
      <c r="D227" s="37" t="s">
        <v>136</v>
      </c>
      <c r="E227" s="37" t="s">
        <v>47</v>
      </c>
      <c r="F227" s="37" t="s">
        <v>96</v>
      </c>
      <c r="G227" s="37" t="s">
        <v>91</v>
      </c>
      <c r="H227" s="37" t="s">
        <v>116</v>
      </c>
      <c r="I227" s="37" t="n">
        <v>2</v>
      </c>
      <c r="J227" s="39" t="n">
        <v>899</v>
      </c>
      <c r="K227" s="40" t="n">
        <v>0.1</v>
      </c>
      <c r="L227" s="39" t="n">
        <f aca="false">VLOOKUP(H227,'Product List'!$A$3:$D$18,4,FALSE())</f>
        <v>430</v>
      </c>
      <c r="M227" s="39" t="n">
        <f aca="false">I227*J227*(1-K227)</f>
        <v>1618.2</v>
      </c>
      <c r="N227" s="39" t="n">
        <f aca="false">I227*L227</f>
        <v>860</v>
      </c>
      <c r="O227" s="39" t="n">
        <f aca="false">M227-N227</f>
        <v>758.2</v>
      </c>
      <c r="P227" s="41" t="n">
        <f aca="false">IF(M227=0,0,O227/M227)</f>
        <v>0.468545297243851</v>
      </c>
      <c r="Q227" s="37" t="str">
        <f aca="false">IF(K227=0,"No discount",IF(K227&lt;=0.1,"1-10%",IF(K227&lt;=0.2,"11-20%",IF(K227&lt;=0.3,"21-30%","Above 30%"))))</f>
        <v>1-10%</v>
      </c>
      <c r="R227" s="39" t="n">
        <f aca="false">I227*J227*MAX(0,K227-DiscountCap)</f>
        <v>0</v>
      </c>
    </row>
    <row r="228" customFormat="false" ht="15" hidden="false" customHeight="false" outlineLevel="0" collapsed="false">
      <c r="A228" s="37" t="s">
        <v>372</v>
      </c>
      <c r="B228" s="38" t="n">
        <v>45753</v>
      </c>
      <c r="C228" s="37" t="n">
        <f aca="false">MONTH(B228)</f>
        <v>4</v>
      </c>
      <c r="D228" s="37" t="s">
        <v>166</v>
      </c>
      <c r="E228" s="37" t="s">
        <v>44</v>
      </c>
      <c r="F228" s="37" t="s">
        <v>97</v>
      </c>
      <c r="G228" s="37" t="s">
        <v>91</v>
      </c>
      <c r="H228" s="37" t="s">
        <v>117</v>
      </c>
      <c r="I228" s="37" t="n">
        <v>1</v>
      </c>
      <c r="J228" s="39" t="n">
        <v>1499</v>
      </c>
      <c r="K228" s="40" t="n">
        <v>0.05</v>
      </c>
      <c r="L228" s="39" t="n">
        <f aca="false">VLOOKUP(H228,'Product List'!$A$3:$D$18,4,FALSE())</f>
        <v>780</v>
      </c>
      <c r="M228" s="39" t="n">
        <f aca="false">I228*J228*(1-K228)</f>
        <v>1424.05</v>
      </c>
      <c r="N228" s="39" t="n">
        <f aca="false">I228*L228</f>
        <v>780</v>
      </c>
      <c r="O228" s="39" t="n">
        <f aca="false">M228-N228</f>
        <v>644.05</v>
      </c>
      <c r="P228" s="41" t="n">
        <f aca="false">IF(M228=0,0,O228/M228)</f>
        <v>0.452266423229521</v>
      </c>
      <c r="Q228" s="37" t="str">
        <f aca="false">IF(K228=0,"No discount",IF(K228&lt;=0.1,"1-10%",IF(K228&lt;=0.2,"11-20%",IF(K228&lt;=0.3,"21-30%","Above 30%"))))</f>
        <v>1-10%</v>
      </c>
      <c r="R228" s="39" t="n">
        <f aca="false">I228*J228*MAX(0,K228-DiscountCap)</f>
        <v>0</v>
      </c>
    </row>
    <row r="229" customFormat="false" ht="15" hidden="false" customHeight="false" outlineLevel="0" collapsed="false">
      <c r="A229" s="37" t="s">
        <v>373</v>
      </c>
      <c r="B229" s="38" t="n">
        <v>45770</v>
      </c>
      <c r="C229" s="37" t="n">
        <f aca="false">MONTH(B229)</f>
        <v>4</v>
      </c>
      <c r="D229" s="37" t="s">
        <v>166</v>
      </c>
      <c r="E229" s="37" t="s">
        <v>44</v>
      </c>
      <c r="F229" s="37" t="s">
        <v>96</v>
      </c>
      <c r="G229" s="37" t="s">
        <v>92</v>
      </c>
      <c r="H229" s="37" t="s">
        <v>115</v>
      </c>
      <c r="I229" s="37" t="n">
        <v>2</v>
      </c>
      <c r="J229" s="39" t="n">
        <v>1799</v>
      </c>
      <c r="K229" s="40" t="n">
        <v>0.15</v>
      </c>
      <c r="L229" s="39" t="n">
        <f aca="false">VLOOKUP(H229,'Product List'!$A$3:$D$18,4,FALSE())</f>
        <v>1150</v>
      </c>
      <c r="M229" s="39" t="n">
        <f aca="false">I229*J229*(1-K229)</f>
        <v>3058.3</v>
      </c>
      <c r="N229" s="39" t="n">
        <f aca="false">I229*L229</f>
        <v>2300</v>
      </c>
      <c r="O229" s="39" t="n">
        <f aca="false">M229-N229</f>
        <v>758.3</v>
      </c>
      <c r="P229" s="41" t="n">
        <f aca="false">IF(M229=0,0,O229/M229)</f>
        <v>0.247948206519962</v>
      </c>
      <c r="Q229" s="37" t="str">
        <f aca="false">IF(K229=0,"No discount",IF(K229&lt;=0.1,"1-10%",IF(K229&lt;=0.2,"11-20%",IF(K229&lt;=0.3,"21-30%","Above 30%"))))</f>
        <v>11-20%</v>
      </c>
      <c r="R229" s="39" t="n">
        <f aca="false">I229*J229*MAX(0,K229-DiscountCap)</f>
        <v>0</v>
      </c>
    </row>
    <row r="230" customFormat="false" ht="15" hidden="false" customHeight="false" outlineLevel="0" collapsed="false">
      <c r="A230" s="37" t="s">
        <v>374</v>
      </c>
      <c r="B230" s="38" t="n">
        <v>45760</v>
      </c>
      <c r="C230" s="37" t="n">
        <f aca="false">MONTH(B230)</f>
        <v>4</v>
      </c>
      <c r="D230" s="37" t="s">
        <v>154</v>
      </c>
      <c r="E230" s="37" t="s">
        <v>47</v>
      </c>
      <c r="F230" s="37" t="s">
        <v>97</v>
      </c>
      <c r="G230" s="37" t="s">
        <v>92</v>
      </c>
      <c r="H230" s="37" t="s">
        <v>112</v>
      </c>
      <c r="I230" s="37" t="n">
        <v>1</v>
      </c>
      <c r="J230" s="39" t="n">
        <v>3299</v>
      </c>
      <c r="K230" s="40" t="n">
        <v>0.05</v>
      </c>
      <c r="L230" s="39" t="n">
        <f aca="false">VLOOKUP(H230,'Product List'!$A$3:$D$18,4,FALSE())</f>
        <v>2250</v>
      </c>
      <c r="M230" s="39" t="n">
        <f aca="false">I230*J230*(1-K230)</f>
        <v>3134.05</v>
      </c>
      <c r="N230" s="39" t="n">
        <f aca="false">I230*L230</f>
        <v>2250</v>
      </c>
      <c r="O230" s="39" t="n">
        <f aca="false">M230-N230</f>
        <v>884.05</v>
      </c>
      <c r="P230" s="41" t="n">
        <f aca="false">IF(M230=0,0,O230/M230)</f>
        <v>0.2820790989295</v>
      </c>
      <c r="Q230" s="37" t="str">
        <f aca="false">IF(K230=0,"No discount",IF(K230&lt;=0.1,"1-10%",IF(K230&lt;=0.2,"11-20%",IF(K230&lt;=0.3,"21-30%","Above 30%"))))</f>
        <v>1-10%</v>
      </c>
      <c r="R230" s="39" t="n">
        <f aca="false">I230*J230*MAX(0,K230-DiscountCap)</f>
        <v>0</v>
      </c>
    </row>
    <row r="231" customFormat="false" ht="15" hidden="false" customHeight="false" outlineLevel="0" collapsed="false">
      <c r="A231" s="37" t="s">
        <v>375</v>
      </c>
      <c r="B231" s="38" t="n">
        <v>45762</v>
      </c>
      <c r="C231" s="37" t="n">
        <f aca="false">MONTH(B231)</f>
        <v>4</v>
      </c>
      <c r="D231" s="37" t="s">
        <v>134</v>
      </c>
      <c r="E231" s="37" t="s">
        <v>45</v>
      </c>
      <c r="F231" s="37" t="s">
        <v>97</v>
      </c>
      <c r="G231" s="37" t="s">
        <v>91</v>
      </c>
      <c r="H231" s="37" t="s">
        <v>116</v>
      </c>
      <c r="I231" s="37" t="n">
        <v>1</v>
      </c>
      <c r="J231" s="39" t="n">
        <v>899</v>
      </c>
      <c r="K231" s="40" t="n">
        <v>0</v>
      </c>
      <c r="L231" s="39" t="n">
        <f aca="false">VLOOKUP(H231,'Product List'!$A$3:$D$18,4,FALSE())</f>
        <v>430</v>
      </c>
      <c r="M231" s="39" t="n">
        <f aca="false">I231*J231*(1-K231)</f>
        <v>899</v>
      </c>
      <c r="N231" s="39" t="n">
        <f aca="false">I231*L231</f>
        <v>430</v>
      </c>
      <c r="O231" s="39" t="n">
        <f aca="false">M231-N231</f>
        <v>469</v>
      </c>
      <c r="P231" s="41" t="n">
        <f aca="false">IF(M231=0,0,O231/M231)</f>
        <v>0.521690767519466</v>
      </c>
      <c r="Q231" s="37" t="str">
        <f aca="false">IF(K231=0,"No discount",IF(K231&lt;=0.1,"1-10%",IF(K231&lt;=0.2,"11-20%",IF(K231&lt;=0.3,"21-30%","Above 30%"))))</f>
        <v>No discount</v>
      </c>
      <c r="R231" s="39" t="n">
        <f aca="false">I231*J231*MAX(0,K231-DiscountCap)</f>
        <v>0</v>
      </c>
    </row>
    <row r="232" customFormat="false" ht="15" hidden="false" customHeight="false" outlineLevel="0" collapsed="false">
      <c r="A232" s="37" t="s">
        <v>376</v>
      </c>
      <c r="B232" s="38" t="n">
        <v>45749</v>
      </c>
      <c r="C232" s="37" t="n">
        <f aca="false">MONTH(B232)</f>
        <v>4</v>
      </c>
      <c r="D232" s="37" t="s">
        <v>134</v>
      </c>
      <c r="E232" s="37" t="s">
        <v>45</v>
      </c>
      <c r="F232" s="37" t="s">
        <v>96</v>
      </c>
      <c r="G232" s="37" t="s">
        <v>90</v>
      </c>
      <c r="H232" s="37" t="s">
        <v>109</v>
      </c>
      <c r="I232" s="37" t="n">
        <v>1</v>
      </c>
      <c r="J232" s="39" t="n">
        <v>3499</v>
      </c>
      <c r="K232" s="40" t="n">
        <v>0.15</v>
      </c>
      <c r="L232" s="39" t="n">
        <f aca="false">VLOOKUP(H232,'Product List'!$A$3:$D$18,4,FALSE())</f>
        <v>2750</v>
      </c>
      <c r="M232" s="39" t="n">
        <f aca="false">I232*J232*(1-K232)</f>
        <v>2974.15</v>
      </c>
      <c r="N232" s="39" t="n">
        <f aca="false">I232*L232</f>
        <v>2750</v>
      </c>
      <c r="O232" s="39" t="n">
        <f aca="false">M232-N232</f>
        <v>224.15</v>
      </c>
      <c r="P232" s="41" t="n">
        <f aca="false">IF(M232=0,0,O232/M232)</f>
        <v>0.0753660709782627</v>
      </c>
      <c r="Q232" s="37" t="str">
        <f aca="false">IF(K232=0,"No discount",IF(K232&lt;=0.1,"1-10%",IF(K232&lt;=0.2,"11-20%",IF(K232&lt;=0.3,"21-30%","Above 30%"))))</f>
        <v>11-20%</v>
      </c>
      <c r="R232" s="39" t="n">
        <f aca="false">I232*J232*MAX(0,K232-DiscountCap)</f>
        <v>0</v>
      </c>
    </row>
    <row r="233" customFormat="false" ht="15" hidden="false" customHeight="false" outlineLevel="0" collapsed="false">
      <c r="A233" s="37" t="s">
        <v>377</v>
      </c>
      <c r="B233" s="38" t="n">
        <v>45769</v>
      </c>
      <c r="C233" s="37" t="n">
        <f aca="false">MONTH(B233)</f>
        <v>4</v>
      </c>
      <c r="D233" s="37" t="s">
        <v>169</v>
      </c>
      <c r="E233" s="37" t="s">
        <v>44</v>
      </c>
      <c r="F233" s="37" t="s">
        <v>96</v>
      </c>
      <c r="G233" s="37" t="s">
        <v>90</v>
      </c>
      <c r="H233" s="37" t="s">
        <v>110</v>
      </c>
      <c r="I233" s="37" t="n">
        <v>1</v>
      </c>
      <c r="J233" s="39" t="n">
        <v>1299</v>
      </c>
      <c r="K233" s="40" t="n">
        <v>0.15</v>
      </c>
      <c r="L233" s="39" t="n">
        <f aca="false">VLOOKUP(H233,'Product List'!$A$3:$D$18,4,FALSE())</f>
        <v>1000</v>
      </c>
      <c r="M233" s="39" t="n">
        <f aca="false">I233*J233*(1-K233)</f>
        <v>1104.15</v>
      </c>
      <c r="N233" s="39" t="n">
        <f aca="false">I233*L233</f>
        <v>1000</v>
      </c>
      <c r="O233" s="39" t="n">
        <f aca="false">M233-N233</f>
        <v>104.15</v>
      </c>
      <c r="P233" s="41" t="n">
        <f aca="false">IF(M233=0,0,O233/M233)</f>
        <v>0.0943259520898428</v>
      </c>
      <c r="Q233" s="37" t="str">
        <f aca="false">IF(K233=0,"No discount",IF(K233&lt;=0.1,"1-10%",IF(K233&lt;=0.2,"11-20%",IF(K233&lt;=0.3,"21-30%","Above 30%"))))</f>
        <v>11-20%</v>
      </c>
      <c r="R233" s="39" t="n">
        <f aca="false">I233*J233*MAX(0,K233-DiscountCap)</f>
        <v>0</v>
      </c>
    </row>
    <row r="234" customFormat="false" ht="15" hidden="false" customHeight="false" outlineLevel="0" collapsed="false">
      <c r="A234" s="37" t="s">
        <v>378</v>
      </c>
      <c r="B234" s="38" t="n">
        <v>45766</v>
      </c>
      <c r="C234" s="37" t="n">
        <f aca="false">MONTH(B234)</f>
        <v>4</v>
      </c>
      <c r="D234" s="37" t="s">
        <v>166</v>
      </c>
      <c r="E234" s="37" t="s">
        <v>44</v>
      </c>
      <c r="F234" s="37" t="s">
        <v>96</v>
      </c>
      <c r="G234" s="37" t="s">
        <v>91</v>
      </c>
      <c r="H234" s="37" t="s">
        <v>117</v>
      </c>
      <c r="I234" s="37" t="n">
        <v>1</v>
      </c>
      <c r="J234" s="39" t="n">
        <v>1499</v>
      </c>
      <c r="K234" s="40" t="n">
        <v>0.2</v>
      </c>
      <c r="L234" s="39" t="n">
        <f aca="false">VLOOKUP(H234,'Product List'!$A$3:$D$18,4,FALSE())</f>
        <v>780</v>
      </c>
      <c r="M234" s="39" t="n">
        <f aca="false">I234*J234*(1-K234)</f>
        <v>1199.2</v>
      </c>
      <c r="N234" s="39" t="n">
        <f aca="false">I234*L234</f>
        <v>780</v>
      </c>
      <c r="O234" s="39" t="n">
        <f aca="false">M234-N234</f>
        <v>419.2</v>
      </c>
      <c r="P234" s="41" t="n">
        <f aca="false">IF(M234=0,0,O234/M234)</f>
        <v>0.349566377585057</v>
      </c>
      <c r="Q234" s="37" t="str">
        <f aca="false">IF(K234=0,"No discount",IF(K234&lt;=0.1,"1-10%",IF(K234&lt;=0.2,"11-20%",IF(K234&lt;=0.3,"21-30%","Above 30%"))))</f>
        <v>11-20%</v>
      </c>
      <c r="R234" s="39" t="n">
        <f aca="false">I234*J234*MAX(0,K234-DiscountCap)</f>
        <v>0</v>
      </c>
    </row>
    <row r="235" customFormat="false" ht="15" hidden="false" customHeight="false" outlineLevel="0" collapsed="false">
      <c r="A235" s="37" t="s">
        <v>379</v>
      </c>
      <c r="B235" s="38" t="n">
        <v>45774</v>
      </c>
      <c r="C235" s="37" t="n">
        <f aca="false">MONTH(B235)</f>
        <v>4</v>
      </c>
      <c r="D235" s="37" t="s">
        <v>136</v>
      </c>
      <c r="E235" s="37" t="s">
        <v>47</v>
      </c>
      <c r="F235" s="37" t="s">
        <v>96</v>
      </c>
      <c r="G235" s="37" t="s">
        <v>93</v>
      </c>
      <c r="H235" s="37" t="s">
        <v>120</v>
      </c>
      <c r="I235" s="37" t="n">
        <v>2</v>
      </c>
      <c r="J235" s="39" t="n">
        <v>449</v>
      </c>
      <c r="K235" s="40" t="n">
        <v>0.1</v>
      </c>
      <c r="L235" s="39" t="n">
        <f aca="false">VLOOKUP(H235,'Product List'!$A$3:$D$18,4,FALSE())</f>
        <v>240</v>
      </c>
      <c r="M235" s="39" t="n">
        <f aca="false">I235*J235*(1-K235)</f>
        <v>808.2</v>
      </c>
      <c r="N235" s="39" t="n">
        <f aca="false">I235*L235</f>
        <v>480</v>
      </c>
      <c r="O235" s="39" t="n">
        <f aca="false">M235-N235</f>
        <v>328.2</v>
      </c>
      <c r="P235" s="41" t="n">
        <f aca="false">IF(M235=0,0,O235/M235)</f>
        <v>0.406087602078693</v>
      </c>
      <c r="Q235" s="37" t="str">
        <f aca="false">IF(K235=0,"No discount",IF(K235&lt;=0.1,"1-10%",IF(K235&lt;=0.2,"11-20%",IF(K235&lt;=0.3,"21-30%","Above 30%"))))</f>
        <v>1-10%</v>
      </c>
      <c r="R235" s="39" t="n">
        <f aca="false">I235*J235*MAX(0,K235-DiscountCap)</f>
        <v>0</v>
      </c>
    </row>
    <row r="236" customFormat="false" ht="15" hidden="false" customHeight="false" outlineLevel="0" collapsed="false">
      <c r="A236" s="37" t="s">
        <v>380</v>
      </c>
      <c r="B236" s="38" t="n">
        <v>45771</v>
      </c>
      <c r="C236" s="37" t="n">
        <f aca="false">MONTH(B236)</f>
        <v>4</v>
      </c>
      <c r="D236" s="37" t="s">
        <v>154</v>
      </c>
      <c r="E236" s="37" t="s">
        <v>47</v>
      </c>
      <c r="F236" s="37" t="s">
        <v>96</v>
      </c>
      <c r="G236" s="37" t="s">
        <v>91</v>
      </c>
      <c r="H236" s="37" t="s">
        <v>119</v>
      </c>
      <c r="I236" s="37" t="n">
        <v>1</v>
      </c>
      <c r="J236" s="39" t="n">
        <v>1099</v>
      </c>
      <c r="K236" s="40" t="n">
        <v>0.1</v>
      </c>
      <c r="L236" s="39" t="n">
        <f aca="false">VLOOKUP(H236,'Product List'!$A$3:$D$18,4,FALSE())</f>
        <v>560</v>
      </c>
      <c r="M236" s="39" t="n">
        <f aca="false">I236*J236*(1-K236)</f>
        <v>989.1</v>
      </c>
      <c r="N236" s="39" t="n">
        <f aca="false">I236*L236</f>
        <v>560</v>
      </c>
      <c r="O236" s="39" t="n">
        <f aca="false">M236-N236</f>
        <v>429.1</v>
      </c>
      <c r="P236" s="41" t="n">
        <f aca="false">IF(M236=0,0,O236/M236)</f>
        <v>0.433828733191791</v>
      </c>
      <c r="Q236" s="37" t="str">
        <f aca="false">IF(K236=0,"No discount",IF(K236&lt;=0.1,"1-10%",IF(K236&lt;=0.2,"11-20%",IF(K236&lt;=0.3,"21-30%","Above 30%"))))</f>
        <v>1-10%</v>
      </c>
      <c r="R236" s="39" t="n">
        <f aca="false">I236*J236*MAX(0,K236-DiscountCap)</f>
        <v>0</v>
      </c>
    </row>
    <row r="237" customFormat="false" ht="15" hidden="false" customHeight="false" outlineLevel="0" collapsed="false">
      <c r="A237" s="37" t="s">
        <v>381</v>
      </c>
      <c r="B237" s="38" t="n">
        <v>45750</v>
      </c>
      <c r="C237" s="37" t="n">
        <f aca="false">MONTH(B237)</f>
        <v>4</v>
      </c>
      <c r="D237" s="37" t="s">
        <v>172</v>
      </c>
      <c r="E237" s="37" t="s">
        <v>46</v>
      </c>
      <c r="F237" s="37" t="s">
        <v>97</v>
      </c>
      <c r="G237" s="37" t="s">
        <v>91</v>
      </c>
      <c r="H237" s="37" t="s">
        <v>117</v>
      </c>
      <c r="I237" s="37" t="n">
        <v>1</v>
      </c>
      <c r="J237" s="39" t="n">
        <v>1499</v>
      </c>
      <c r="K237" s="40" t="n">
        <v>0.15</v>
      </c>
      <c r="L237" s="39" t="n">
        <f aca="false">VLOOKUP(H237,'Product List'!$A$3:$D$18,4,FALSE())</f>
        <v>780</v>
      </c>
      <c r="M237" s="39" t="n">
        <f aca="false">I237*J237*(1-K237)</f>
        <v>1274.15</v>
      </c>
      <c r="N237" s="39" t="n">
        <f aca="false">I237*L237</f>
        <v>780</v>
      </c>
      <c r="O237" s="39" t="n">
        <f aca="false">M237-N237</f>
        <v>494.15</v>
      </c>
      <c r="P237" s="41" t="n">
        <f aca="false">IF(M237=0,0,O237/M237)</f>
        <v>0.387827178903583</v>
      </c>
      <c r="Q237" s="37" t="str">
        <f aca="false">IF(K237=0,"No discount",IF(K237&lt;=0.1,"1-10%",IF(K237&lt;=0.2,"11-20%",IF(K237&lt;=0.3,"21-30%","Above 30%"))))</f>
        <v>11-20%</v>
      </c>
      <c r="R237" s="39" t="n">
        <f aca="false">I237*J237*MAX(0,K237-DiscountCap)</f>
        <v>0</v>
      </c>
    </row>
    <row r="238" customFormat="false" ht="15" hidden="false" customHeight="false" outlineLevel="0" collapsed="false">
      <c r="A238" s="37" t="s">
        <v>382</v>
      </c>
      <c r="B238" s="38" t="n">
        <v>45753</v>
      </c>
      <c r="C238" s="37" t="n">
        <f aca="false">MONTH(B238)</f>
        <v>4</v>
      </c>
      <c r="D238" s="37" t="s">
        <v>169</v>
      </c>
      <c r="E238" s="37" t="s">
        <v>44</v>
      </c>
      <c r="F238" s="37" t="s">
        <v>96</v>
      </c>
      <c r="G238" s="37" t="s">
        <v>92</v>
      </c>
      <c r="H238" s="37" t="s">
        <v>115</v>
      </c>
      <c r="I238" s="37" t="n">
        <v>1</v>
      </c>
      <c r="J238" s="39" t="n">
        <v>1799</v>
      </c>
      <c r="K238" s="40" t="n">
        <v>0.05</v>
      </c>
      <c r="L238" s="39" t="n">
        <f aca="false">VLOOKUP(H238,'Product List'!$A$3:$D$18,4,FALSE())</f>
        <v>1150</v>
      </c>
      <c r="M238" s="39" t="n">
        <f aca="false">I238*J238*(1-K238)</f>
        <v>1709.05</v>
      </c>
      <c r="N238" s="39" t="n">
        <f aca="false">I238*L238</f>
        <v>1150</v>
      </c>
      <c r="O238" s="39" t="n">
        <f aca="false">M238-N238</f>
        <v>559.05</v>
      </c>
      <c r="P238" s="41" t="n">
        <f aca="false">IF(M238=0,0,O238/M238)</f>
        <v>0.327111553202071</v>
      </c>
      <c r="Q238" s="37" t="str">
        <f aca="false">IF(K238=0,"No discount",IF(K238&lt;=0.1,"1-10%",IF(K238&lt;=0.2,"11-20%",IF(K238&lt;=0.3,"21-30%","Above 30%"))))</f>
        <v>1-10%</v>
      </c>
      <c r="R238" s="39" t="n">
        <f aca="false">I238*J238*MAX(0,K238-DiscountCap)</f>
        <v>0</v>
      </c>
    </row>
    <row r="239" customFormat="false" ht="15" hidden="false" customHeight="false" outlineLevel="0" collapsed="false">
      <c r="A239" s="37" t="s">
        <v>383</v>
      </c>
      <c r="B239" s="38" t="n">
        <v>45777</v>
      </c>
      <c r="C239" s="37" t="n">
        <f aca="false">MONTH(B239)</f>
        <v>4</v>
      </c>
      <c r="D239" s="37" t="s">
        <v>154</v>
      </c>
      <c r="E239" s="37" t="s">
        <v>47</v>
      </c>
      <c r="F239" s="37" t="s">
        <v>97</v>
      </c>
      <c r="G239" s="37" t="s">
        <v>92</v>
      </c>
      <c r="H239" s="37" t="s">
        <v>113</v>
      </c>
      <c r="I239" s="37" t="n">
        <v>2</v>
      </c>
      <c r="J239" s="39" t="n">
        <v>2199</v>
      </c>
      <c r="K239" s="40" t="n">
        <v>0.05</v>
      </c>
      <c r="L239" s="39" t="n">
        <f aca="false">VLOOKUP(H239,'Product List'!$A$3:$D$18,4,FALSE())</f>
        <v>1400</v>
      </c>
      <c r="M239" s="39" t="n">
        <f aca="false">I239*J239*(1-K239)</f>
        <v>4178.1</v>
      </c>
      <c r="N239" s="39" t="n">
        <f aca="false">I239*L239</f>
        <v>2800</v>
      </c>
      <c r="O239" s="39" t="n">
        <f aca="false">M239-N239</f>
        <v>1378.1</v>
      </c>
      <c r="P239" s="41" t="n">
        <f aca="false">IF(M239=0,0,O239/M239)</f>
        <v>0.329838921998037</v>
      </c>
      <c r="Q239" s="37" t="str">
        <f aca="false">IF(K239=0,"No discount",IF(K239&lt;=0.1,"1-10%",IF(K239&lt;=0.2,"11-20%",IF(K239&lt;=0.3,"21-30%","Above 30%"))))</f>
        <v>1-10%</v>
      </c>
      <c r="R239" s="39" t="n">
        <f aca="false">I239*J239*MAX(0,K239-DiscountCap)</f>
        <v>0</v>
      </c>
    </row>
    <row r="240" customFormat="false" ht="15" hidden="false" customHeight="false" outlineLevel="0" collapsed="false">
      <c r="A240" s="37" t="s">
        <v>384</v>
      </c>
      <c r="B240" s="38" t="n">
        <v>45752</v>
      </c>
      <c r="C240" s="37" t="n">
        <f aca="false">MONTH(B240)</f>
        <v>4</v>
      </c>
      <c r="D240" s="37" t="s">
        <v>169</v>
      </c>
      <c r="E240" s="37" t="s">
        <v>44</v>
      </c>
      <c r="F240" s="37" t="s">
        <v>97</v>
      </c>
      <c r="G240" s="37" t="s">
        <v>92</v>
      </c>
      <c r="H240" s="37" t="s">
        <v>114</v>
      </c>
      <c r="I240" s="37" t="n">
        <v>1</v>
      </c>
      <c r="J240" s="39" t="n">
        <v>1199</v>
      </c>
      <c r="K240" s="40" t="n">
        <v>0</v>
      </c>
      <c r="L240" s="39" t="n">
        <f aca="false">VLOOKUP(H240,'Product List'!$A$3:$D$18,4,FALSE())</f>
        <v>780</v>
      </c>
      <c r="M240" s="39" t="n">
        <f aca="false">I240*J240*(1-K240)</f>
        <v>1199</v>
      </c>
      <c r="N240" s="39" t="n">
        <f aca="false">I240*L240</f>
        <v>780</v>
      </c>
      <c r="O240" s="39" t="n">
        <f aca="false">M240-N240</f>
        <v>419</v>
      </c>
      <c r="P240" s="41" t="n">
        <f aca="false">IF(M240=0,0,O240/M240)</f>
        <v>0.349457881567973</v>
      </c>
      <c r="Q240" s="37" t="str">
        <f aca="false">IF(K240=0,"No discount",IF(K240&lt;=0.1,"1-10%",IF(K240&lt;=0.2,"11-20%",IF(K240&lt;=0.3,"21-30%","Above 30%"))))</f>
        <v>No discount</v>
      </c>
      <c r="R240" s="39" t="n">
        <f aca="false">I240*J240*MAX(0,K240-DiscountCap)</f>
        <v>0</v>
      </c>
    </row>
    <row r="241" customFormat="false" ht="15" hidden="false" customHeight="false" outlineLevel="0" collapsed="false">
      <c r="A241" s="37" t="s">
        <v>385</v>
      </c>
      <c r="B241" s="38" t="n">
        <v>45764</v>
      </c>
      <c r="C241" s="37" t="n">
        <f aca="false">MONTH(B241)</f>
        <v>4</v>
      </c>
      <c r="D241" s="37" t="s">
        <v>154</v>
      </c>
      <c r="E241" s="37" t="s">
        <v>47</v>
      </c>
      <c r="F241" s="37" t="s">
        <v>96</v>
      </c>
      <c r="G241" s="37" t="s">
        <v>91</v>
      </c>
      <c r="H241" s="37" t="s">
        <v>117</v>
      </c>
      <c r="I241" s="37" t="n">
        <v>1</v>
      </c>
      <c r="J241" s="39" t="n">
        <v>1499</v>
      </c>
      <c r="K241" s="40" t="n">
        <v>0.2</v>
      </c>
      <c r="L241" s="39" t="n">
        <f aca="false">VLOOKUP(H241,'Product List'!$A$3:$D$18,4,FALSE())</f>
        <v>780</v>
      </c>
      <c r="M241" s="39" t="n">
        <f aca="false">I241*J241*(1-K241)</f>
        <v>1199.2</v>
      </c>
      <c r="N241" s="39" t="n">
        <f aca="false">I241*L241</f>
        <v>780</v>
      </c>
      <c r="O241" s="39" t="n">
        <f aca="false">M241-N241</f>
        <v>419.2</v>
      </c>
      <c r="P241" s="41" t="n">
        <f aca="false">IF(M241=0,0,O241/M241)</f>
        <v>0.349566377585057</v>
      </c>
      <c r="Q241" s="37" t="str">
        <f aca="false">IF(K241=0,"No discount",IF(K241&lt;=0.1,"1-10%",IF(K241&lt;=0.2,"11-20%",IF(K241&lt;=0.3,"21-30%","Above 30%"))))</f>
        <v>11-20%</v>
      </c>
      <c r="R241" s="39" t="n">
        <f aca="false">I241*J241*MAX(0,K241-DiscountCap)</f>
        <v>0</v>
      </c>
    </row>
    <row r="242" customFormat="false" ht="15" hidden="false" customHeight="false" outlineLevel="0" collapsed="false">
      <c r="A242" s="37" t="s">
        <v>386</v>
      </c>
      <c r="B242" s="38" t="n">
        <v>45769</v>
      </c>
      <c r="C242" s="37" t="n">
        <f aca="false">MONTH(B242)</f>
        <v>4</v>
      </c>
      <c r="D242" s="37" t="s">
        <v>134</v>
      </c>
      <c r="E242" s="37" t="s">
        <v>45</v>
      </c>
      <c r="F242" s="37" t="s">
        <v>97</v>
      </c>
      <c r="G242" s="37" t="s">
        <v>91</v>
      </c>
      <c r="H242" s="37" t="s">
        <v>119</v>
      </c>
      <c r="I242" s="37" t="n">
        <v>1</v>
      </c>
      <c r="J242" s="39" t="n">
        <v>1099</v>
      </c>
      <c r="K242" s="40" t="n">
        <v>0.05</v>
      </c>
      <c r="L242" s="39" t="n">
        <f aca="false">VLOOKUP(H242,'Product List'!$A$3:$D$18,4,FALSE())</f>
        <v>560</v>
      </c>
      <c r="M242" s="39" t="n">
        <f aca="false">I242*J242*(1-K242)</f>
        <v>1044.05</v>
      </c>
      <c r="N242" s="39" t="n">
        <f aca="false">I242*L242</f>
        <v>560</v>
      </c>
      <c r="O242" s="39" t="n">
        <f aca="false">M242-N242</f>
        <v>484.05</v>
      </c>
      <c r="P242" s="41" t="n">
        <f aca="false">IF(M242=0,0,O242/M242)</f>
        <v>0.463627220918538</v>
      </c>
      <c r="Q242" s="37" t="str">
        <f aca="false">IF(K242=0,"No discount",IF(K242&lt;=0.1,"1-10%",IF(K242&lt;=0.2,"11-20%",IF(K242&lt;=0.3,"21-30%","Above 30%"))))</f>
        <v>1-10%</v>
      </c>
      <c r="R242" s="39" t="n">
        <f aca="false">I242*J242*MAX(0,K242-DiscountCap)</f>
        <v>0</v>
      </c>
    </row>
    <row r="243" customFormat="false" ht="15" hidden="false" customHeight="false" outlineLevel="0" collapsed="false">
      <c r="A243" s="37" t="s">
        <v>387</v>
      </c>
      <c r="B243" s="38" t="n">
        <v>45762</v>
      </c>
      <c r="C243" s="37" t="n">
        <f aca="false">MONTH(B243)</f>
        <v>4</v>
      </c>
      <c r="D243" s="37" t="s">
        <v>154</v>
      </c>
      <c r="E243" s="37" t="s">
        <v>47</v>
      </c>
      <c r="F243" s="37" t="s">
        <v>97</v>
      </c>
      <c r="G243" s="37" t="s">
        <v>93</v>
      </c>
      <c r="H243" s="37" t="s">
        <v>122</v>
      </c>
      <c r="I243" s="37" t="n">
        <v>1</v>
      </c>
      <c r="J243" s="39" t="n">
        <v>1799</v>
      </c>
      <c r="K243" s="40" t="n">
        <v>0.05</v>
      </c>
      <c r="L243" s="39" t="n">
        <f aca="false">VLOOKUP(H243,'Product List'!$A$3:$D$18,4,FALSE())</f>
        <v>1250</v>
      </c>
      <c r="M243" s="39" t="n">
        <f aca="false">I243*J243*(1-K243)</f>
        <v>1709.05</v>
      </c>
      <c r="N243" s="39" t="n">
        <f aca="false">I243*L243</f>
        <v>1250</v>
      </c>
      <c r="O243" s="39" t="n">
        <f aca="false">M243-N243</f>
        <v>459.05</v>
      </c>
      <c r="P243" s="41" t="n">
        <f aca="false">IF(M243=0,0,O243/M243)</f>
        <v>0.268599514350078</v>
      </c>
      <c r="Q243" s="37" t="str">
        <f aca="false">IF(K243=0,"No discount",IF(K243&lt;=0.1,"1-10%",IF(K243&lt;=0.2,"11-20%",IF(K243&lt;=0.3,"21-30%","Above 30%"))))</f>
        <v>1-10%</v>
      </c>
      <c r="R243" s="39" t="n">
        <f aca="false">I243*J243*MAX(0,K243-DiscountCap)</f>
        <v>0</v>
      </c>
    </row>
    <row r="244" customFormat="false" ht="15" hidden="false" customHeight="false" outlineLevel="0" collapsed="false">
      <c r="A244" s="37" t="s">
        <v>388</v>
      </c>
      <c r="B244" s="38" t="n">
        <v>45767</v>
      </c>
      <c r="C244" s="37" t="n">
        <f aca="false">MONTH(B244)</f>
        <v>4</v>
      </c>
      <c r="D244" s="37" t="s">
        <v>160</v>
      </c>
      <c r="E244" s="37" t="s">
        <v>46</v>
      </c>
      <c r="F244" s="37" t="s">
        <v>96</v>
      </c>
      <c r="G244" s="37" t="s">
        <v>92</v>
      </c>
      <c r="H244" s="37" t="s">
        <v>115</v>
      </c>
      <c r="I244" s="37" t="n">
        <v>4</v>
      </c>
      <c r="J244" s="39" t="n">
        <v>1799</v>
      </c>
      <c r="K244" s="40" t="n">
        <v>0.1</v>
      </c>
      <c r="L244" s="39" t="n">
        <f aca="false">VLOOKUP(H244,'Product List'!$A$3:$D$18,4,FALSE())</f>
        <v>1150</v>
      </c>
      <c r="M244" s="39" t="n">
        <f aca="false">I244*J244*(1-K244)</f>
        <v>6476.4</v>
      </c>
      <c r="N244" s="39" t="n">
        <f aca="false">I244*L244</f>
        <v>4600</v>
      </c>
      <c r="O244" s="39" t="n">
        <f aca="false">M244-N244</f>
        <v>1876.4</v>
      </c>
      <c r="P244" s="41" t="n">
        <f aca="false">IF(M244=0,0,O244/M244)</f>
        <v>0.289728861713298</v>
      </c>
      <c r="Q244" s="37" t="str">
        <f aca="false">IF(K244=0,"No discount",IF(K244&lt;=0.1,"1-10%",IF(K244&lt;=0.2,"11-20%",IF(K244&lt;=0.3,"21-30%","Above 30%"))))</f>
        <v>1-10%</v>
      </c>
      <c r="R244" s="39" t="n">
        <f aca="false">I244*J244*MAX(0,K244-DiscountCap)</f>
        <v>0</v>
      </c>
    </row>
    <row r="245" customFormat="false" ht="15" hidden="false" customHeight="false" outlineLevel="0" collapsed="false">
      <c r="A245" s="37" t="s">
        <v>389</v>
      </c>
      <c r="B245" s="38" t="n">
        <v>45763</v>
      </c>
      <c r="C245" s="37" t="n">
        <f aca="false">MONTH(B245)</f>
        <v>4</v>
      </c>
      <c r="D245" s="37" t="s">
        <v>136</v>
      </c>
      <c r="E245" s="37" t="s">
        <v>47</v>
      </c>
      <c r="F245" s="37" t="s">
        <v>97</v>
      </c>
      <c r="G245" s="37" t="s">
        <v>91</v>
      </c>
      <c r="H245" s="37" t="s">
        <v>118</v>
      </c>
      <c r="I245" s="37" t="n">
        <v>5</v>
      </c>
      <c r="J245" s="39" t="n">
        <v>2299</v>
      </c>
      <c r="K245" s="40" t="n">
        <v>0.1</v>
      </c>
      <c r="L245" s="39" t="n">
        <f aca="false">VLOOKUP(H245,'Product List'!$A$3:$D$18,4,FALSE())</f>
        <v>1300</v>
      </c>
      <c r="M245" s="39" t="n">
        <f aca="false">I245*J245*(1-K245)</f>
        <v>10345.5</v>
      </c>
      <c r="N245" s="39" t="n">
        <f aca="false">I245*L245</f>
        <v>6500</v>
      </c>
      <c r="O245" s="39" t="n">
        <f aca="false">M245-N245</f>
        <v>3845.5</v>
      </c>
      <c r="P245" s="41" t="n">
        <f aca="false">IF(M245=0,0,O245/M245)</f>
        <v>0.371707505678798</v>
      </c>
      <c r="Q245" s="37" t="str">
        <f aca="false">IF(K245=0,"No discount",IF(K245&lt;=0.1,"1-10%",IF(K245&lt;=0.2,"11-20%",IF(K245&lt;=0.3,"21-30%","Above 30%"))))</f>
        <v>1-10%</v>
      </c>
      <c r="R245" s="39" t="n">
        <f aca="false">I245*J245*MAX(0,K245-DiscountCap)</f>
        <v>0</v>
      </c>
    </row>
    <row r="246" customFormat="false" ht="15" hidden="false" customHeight="false" outlineLevel="0" collapsed="false">
      <c r="A246" s="37" t="s">
        <v>390</v>
      </c>
      <c r="B246" s="38" t="n">
        <v>45775</v>
      </c>
      <c r="C246" s="37" t="n">
        <f aca="false">MONTH(B246)</f>
        <v>4</v>
      </c>
      <c r="D246" s="37" t="s">
        <v>172</v>
      </c>
      <c r="E246" s="37" t="s">
        <v>46</v>
      </c>
      <c r="F246" s="37" t="s">
        <v>96</v>
      </c>
      <c r="G246" s="37" t="s">
        <v>90</v>
      </c>
      <c r="H246" s="37" t="s">
        <v>108</v>
      </c>
      <c r="I246" s="37" t="n">
        <v>2</v>
      </c>
      <c r="J246" s="39" t="n">
        <v>1999</v>
      </c>
      <c r="K246" s="40" t="n">
        <v>0</v>
      </c>
      <c r="L246" s="39" t="n">
        <f aca="false">VLOOKUP(H246,'Product List'!$A$3:$D$18,4,FALSE())</f>
        <v>1560</v>
      </c>
      <c r="M246" s="39" t="n">
        <f aca="false">I246*J246*(1-K246)</f>
        <v>3998</v>
      </c>
      <c r="N246" s="39" t="n">
        <f aca="false">I246*L246</f>
        <v>3120</v>
      </c>
      <c r="O246" s="39" t="n">
        <f aca="false">M246-N246</f>
        <v>878</v>
      </c>
      <c r="P246" s="41" t="n">
        <f aca="false">IF(M246=0,0,O246/M246)</f>
        <v>0.219609804902451</v>
      </c>
      <c r="Q246" s="37" t="str">
        <f aca="false">IF(K246=0,"No discount",IF(K246&lt;=0.1,"1-10%",IF(K246&lt;=0.2,"11-20%",IF(K246&lt;=0.3,"21-30%","Above 30%"))))</f>
        <v>No discount</v>
      </c>
      <c r="R246" s="39" t="n">
        <f aca="false">I246*J246*MAX(0,K246-DiscountCap)</f>
        <v>0</v>
      </c>
    </row>
    <row r="247" customFormat="false" ht="15" hidden="false" customHeight="false" outlineLevel="0" collapsed="false">
      <c r="A247" s="37" t="s">
        <v>391</v>
      </c>
      <c r="B247" s="38" t="n">
        <v>45753</v>
      </c>
      <c r="C247" s="37" t="n">
        <f aca="false">MONTH(B247)</f>
        <v>4</v>
      </c>
      <c r="D247" s="37" t="s">
        <v>146</v>
      </c>
      <c r="E247" s="37" t="s">
        <v>45</v>
      </c>
      <c r="F247" s="37" t="s">
        <v>96</v>
      </c>
      <c r="G247" s="37" t="s">
        <v>90</v>
      </c>
      <c r="H247" s="37" t="s">
        <v>110</v>
      </c>
      <c r="I247" s="37" t="n">
        <v>2</v>
      </c>
      <c r="J247" s="39" t="n">
        <v>1299</v>
      </c>
      <c r="K247" s="40" t="n">
        <v>0.2</v>
      </c>
      <c r="L247" s="39" t="n">
        <f aca="false">VLOOKUP(H247,'Product List'!$A$3:$D$18,4,FALSE())</f>
        <v>1000</v>
      </c>
      <c r="M247" s="39" t="n">
        <f aca="false">I247*J247*(1-K247)</f>
        <v>2078.4</v>
      </c>
      <c r="N247" s="39" t="n">
        <f aca="false">I247*L247</f>
        <v>2000</v>
      </c>
      <c r="O247" s="39" t="n">
        <f aca="false">M247-N247</f>
        <v>78.4000000000001</v>
      </c>
      <c r="P247" s="41" t="n">
        <f aca="false">IF(M247=0,0,O247/M247)</f>
        <v>0.0377213240954581</v>
      </c>
      <c r="Q247" s="37" t="str">
        <f aca="false">IF(K247=0,"No discount",IF(K247&lt;=0.1,"1-10%",IF(K247&lt;=0.2,"11-20%",IF(K247&lt;=0.3,"21-30%","Above 30%"))))</f>
        <v>11-20%</v>
      </c>
      <c r="R247" s="39" t="n">
        <f aca="false">I247*J247*MAX(0,K247-DiscountCap)</f>
        <v>0</v>
      </c>
    </row>
    <row r="248" customFormat="false" ht="15" hidden="false" customHeight="false" outlineLevel="0" collapsed="false">
      <c r="A248" s="37" t="s">
        <v>392</v>
      </c>
      <c r="B248" s="38" t="n">
        <v>45757</v>
      </c>
      <c r="C248" s="37" t="n">
        <f aca="false">MONTH(B248)</f>
        <v>4</v>
      </c>
      <c r="D248" s="37" t="s">
        <v>136</v>
      </c>
      <c r="E248" s="37" t="s">
        <v>47</v>
      </c>
      <c r="F248" s="37" t="s">
        <v>96</v>
      </c>
      <c r="G248" s="37" t="s">
        <v>90</v>
      </c>
      <c r="H248" s="37" t="s">
        <v>108</v>
      </c>
      <c r="I248" s="37" t="n">
        <v>2</v>
      </c>
      <c r="J248" s="39" t="n">
        <v>1999</v>
      </c>
      <c r="K248" s="40" t="n">
        <v>0.05</v>
      </c>
      <c r="L248" s="39" t="n">
        <f aca="false">VLOOKUP(H248,'Product List'!$A$3:$D$18,4,FALSE())</f>
        <v>1560</v>
      </c>
      <c r="M248" s="39" t="n">
        <f aca="false">I248*J248*(1-K248)</f>
        <v>3798.1</v>
      </c>
      <c r="N248" s="39" t="n">
        <f aca="false">I248*L248</f>
        <v>3120</v>
      </c>
      <c r="O248" s="39" t="n">
        <f aca="false">M248-N248</f>
        <v>678.1</v>
      </c>
      <c r="P248" s="41" t="n">
        <f aca="false">IF(M248=0,0,O248/M248)</f>
        <v>0.178536636739422</v>
      </c>
      <c r="Q248" s="37" t="str">
        <f aca="false">IF(K248=0,"No discount",IF(K248&lt;=0.1,"1-10%",IF(K248&lt;=0.2,"11-20%",IF(K248&lt;=0.3,"21-30%","Above 30%"))))</f>
        <v>1-10%</v>
      </c>
      <c r="R248" s="39" t="n">
        <f aca="false">I248*J248*MAX(0,K248-DiscountCap)</f>
        <v>0</v>
      </c>
    </row>
    <row r="249" customFormat="false" ht="15" hidden="false" customHeight="false" outlineLevel="0" collapsed="false">
      <c r="A249" s="37" t="s">
        <v>393</v>
      </c>
      <c r="B249" s="38" t="n">
        <v>45769</v>
      </c>
      <c r="C249" s="37" t="n">
        <f aca="false">MONTH(B249)</f>
        <v>4</v>
      </c>
      <c r="D249" s="37" t="s">
        <v>144</v>
      </c>
      <c r="E249" s="37" t="s">
        <v>45</v>
      </c>
      <c r="F249" s="37" t="s">
        <v>96</v>
      </c>
      <c r="G249" s="37" t="s">
        <v>91</v>
      </c>
      <c r="H249" s="37" t="s">
        <v>116</v>
      </c>
      <c r="I249" s="37" t="n">
        <v>1</v>
      </c>
      <c r="J249" s="39" t="n">
        <v>899</v>
      </c>
      <c r="K249" s="40" t="n">
        <v>0.05</v>
      </c>
      <c r="L249" s="39" t="n">
        <f aca="false">VLOOKUP(H249,'Product List'!$A$3:$D$18,4,FALSE())</f>
        <v>430</v>
      </c>
      <c r="M249" s="39" t="n">
        <f aca="false">I249*J249*(1-K249)</f>
        <v>854.05</v>
      </c>
      <c r="N249" s="39" t="n">
        <f aca="false">I249*L249</f>
        <v>430</v>
      </c>
      <c r="O249" s="39" t="n">
        <f aca="false">M249-N249</f>
        <v>424.05</v>
      </c>
      <c r="P249" s="41" t="n">
        <f aca="false">IF(M249=0,0,O249/M249)</f>
        <v>0.496516597388912</v>
      </c>
      <c r="Q249" s="37" t="str">
        <f aca="false">IF(K249=0,"No discount",IF(K249&lt;=0.1,"1-10%",IF(K249&lt;=0.2,"11-20%",IF(K249&lt;=0.3,"21-30%","Above 30%"))))</f>
        <v>1-10%</v>
      </c>
      <c r="R249" s="39" t="n">
        <f aca="false">I249*J249*MAX(0,K249-DiscountCap)</f>
        <v>0</v>
      </c>
    </row>
    <row r="250" customFormat="false" ht="15" hidden="false" customHeight="false" outlineLevel="0" collapsed="false">
      <c r="A250" s="37" t="s">
        <v>394</v>
      </c>
      <c r="B250" s="38" t="n">
        <v>45768</v>
      </c>
      <c r="C250" s="37" t="n">
        <f aca="false">MONTH(B250)</f>
        <v>4</v>
      </c>
      <c r="D250" s="37" t="s">
        <v>146</v>
      </c>
      <c r="E250" s="37" t="s">
        <v>45</v>
      </c>
      <c r="F250" s="37" t="s">
        <v>97</v>
      </c>
      <c r="G250" s="37" t="s">
        <v>93</v>
      </c>
      <c r="H250" s="37" t="s">
        <v>120</v>
      </c>
      <c r="I250" s="37" t="n">
        <v>3</v>
      </c>
      <c r="J250" s="39" t="n">
        <v>449</v>
      </c>
      <c r="K250" s="40" t="n">
        <v>0.15</v>
      </c>
      <c r="L250" s="39" t="n">
        <f aca="false">VLOOKUP(H250,'Product List'!$A$3:$D$18,4,FALSE())</f>
        <v>240</v>
      </c>
      <c r="M250" s="39" t="n">
        <f aca="false">I250*J250*(1-K250)</f>
        <v>1144.95</v>
      </c>
      <c r="N250" s="39" t="n">
        <f aca="false">I250*L250</f>
        <v>720</v>
      </c>
      <c r="O250" s="39" t="n">
        <f aca="false">M250-N250</f>
        <v>424.95</v>
      </c>
      <c r="P250" s="41" t="n">
        <f aca="false">IF(M250=0,0,O250/M250)</f>
        <v>0.371151578671558</v>
      </c>
      <c r="Q250" s="37" t="str">
        <f aca="false">IF(K250=0,"No discount",IF(K250&lt;=0.1,"1-10%",IF(K250&lt;=0.2,"11-20%",IF(K250&lt;=0.3,"21-30%","Above 30%"))))</f>
        <v>11-20%</v>
      </c>
      <c r="R250" s="39" t="n">
        <f aca="false">I250*J250*MAX(0,K250-DiscountCap)</f>
        <v>0</v>
      </c>
    </row>
    <row r="251" customFormat="false" ht="15" hidden="false" customHeight="false" outlineLevel="0" collapsed="false">
      <c r="A251" s="37" t="s">
        <v>395</v>
      </c>
      <c r="B251" s="38" t="n">
        <v>45775</v>
      </c>
      <c r="C251" s="37" t="n">
        <f aca="false">MONTH(B251)</f>
        <v>4</v>
      </c>
      <c r="D251" s="37" t="s">
        <v>134</v>
      </c>
      <c r="E251" s="37" t="s">
        <v>45</v>
      </c>
      <c r="F251" s="37" t="s">
        <v>97</v>
      </c>
      <c r="G251" s="37" t="s">
        <v>91</v>
      </c>
      <c r="H251" s="37" t="s">
        <v>118</v>
      </c>
      <c r="I251" s="37" t="n">
        <v>1</v>
      </c>
      <c r="J251" s="39" t="n">
        <v>2299</v>
      </c>
      <c r="K251" s="40" t="n">
        <v>0</v>
      </c>
      <c r="L251" s="39" t="n">
        <f aca="false">VLOOKUP(H251,'Product List'!$A$3:$D$18,4,FALSE())</f>
        <v>1300</v>
      </c>
      <c r="M251" s="39" t="n">
        <f aca="false">I251*J251*(1-K251)</f>
        <v>2299</v>
      </c>
      <c r="N251" s="39" t="n">
        <f aca="false">I251*L251</f>
        <v>1300</v>
      </c>
      <c r="O251" s="39" t="n">
        <f aca="false">M251-N251</f>
        <v>999</v>
      </c>
      <c r="P251" s="41" t="n">
        <f aca="false">IF(M251=0,0,O251/M251)</f>
        <v>0.434536755110918</v>
      </c>
      <c r="Q251" s="37" t="str">
        <f aca="false">IF(K251=0,"No discount",IF(K251&lt;=0.1,"1-10%",IF(K251&lt;=0.2,"11-20%",IF(K251&lt;=0.3,"21-30%","Above 30%"))))</f>
        <v>No discount</v>
      </c>
      <c r="R251" s="39" t="n">
        <f aca="false">I251*J251*MAX(0,K251-DiscountCap)</f>
        <v>0</v>
      </c>
    </row>
    <row r="252" customFormat="false" ht="15" hidden="false" customHeight="false" outlineLevel="0" collapsed="false">
      <c r="A252" s="37" t="s">
        <v>396</v>
      </c>
      <c r="B252" s="38" t="n">
        <v>45777</v>
      </c>
      <c r="C252" s="37" t="n">
        <f aca="false">MONTH(B252)</f>
        <v>4</v>
      </c>
      <c r="D252" s="37" t="s">
        <v>166</v>
      </c>
      <c r="E252" s="37" t="s">
        <v>44</v>
      </c>
      <c r="F252" s="37" t="s">
        <v>96</v>
      </c>
      <c r="G252" s="37" t="s">
        <v>92</v>
      </c>
      <c r="H252" s="37" t="s">
        <v>115</v>
      </c>
      <c r="I252" s="37" t="n">
        <v>1</v>
      </c>
      <c r="J252" s="39" t="n">
        <v>1799</v>
      </c>
      <c r="K252" s="40" t="n">
        <v>0.1</v>
      </c>
      <c r="L252" s="39" t="n">
        <f aca="false">VLOOKUP(H252,'Product List'!$A$3:$D$18,4,FALSE())</f>
        <v>1150</v>
      </c>
      <c r="M252" s="39" t="n">
        <f aca="false">I252*J252*(1-K252)</f>
        <v>1619.1</v>
      </c>
      <c r="N252" s="39" t="n">
        <f aca="false">I252*L252</f>
        <v>1150</v>
      </c>
      <c r="O252" s="39" t="n">
        <f aca="false">M252-N252</f>
        <v>469.1</v>
      </c>
      <c r="P252" s="41" t="n">
        <f aca="false">IF(M252=0,0,O252/M252)</f>
        <v>0.289728861713298</v>
      </c>
      <c r="Q252" s="37" t="str">
        <f aca="false">IF(K252=0,"No discount",IF(K252&lt;=0.1,"1-10%",IF(K252&lt;=0.2,"11-20%",IF(K252&lt;=0.3,"21-30%","Above 30%"))))</f>
        <v>1-10%</v>
      </c>
      <c r="R252" s="39" t="n">
        <f aca="false">I252*J252*MAX(0,K252-DiscountCap)</f>
        <v>0</v>
      </c>
    </row>
    <row r="253" customFormat="false" ht="15" hidden="false" customHeight="false" outlineLevel="0" collapsed="false">
      <c r="A253" s="37" t="s">
        <v>397</v>
      </c>
      <c r="B253" s="38" t="n">
        <v>45755</v>
      </c>
      <c r="C253" s="37" t="n">
        <f aca="false">MONTH(B253)</f>
        <v>4</v>
      </c>
      <c r="D253" s="37" t="s">
        <v>146</v>
      </c>
      <c r="E253" s="37" t="s">
        <v>45</v>
      </c>
      <c r="F253" s="37" t="s">
        <v>97</v>
      </c>
      <c r="G253" s="37" t="s">
        <v>91</v>
      </c>
      <c r="H253" s="37" t="s">
        <v>118</v>
      </c>
      <c r="I253" s="37" t="n">
        <v>1</v>
      </c>
      <c r="J253" s="39" t="n">
        <v>2299</v>
      </c>
      <c r="K253" s="40" t="n">
        <v>0.1</v>
      </c>
      <c r="L253" s="39" t="n">
        <f aca="false">VLOOKUP(H253,'Product List'!$A$3:$D$18,4,FALSE())</f>
        <v>1300</v>
      </c>
      <c r="M253" s="39" t="n">
        <f aca="false">I253*J253*(1-K253)</f>
        <v>2069.1</v>
      </c>
      <c r="N253" s="39" t="n">
        <f aca="false">I253*L253</f>
        <v>1300</v>
      </c>
      <c r="O253" s="39" t="n">
        <f aca="false">M253-N253</f>
        <v>769.1</v>
      </c>
      <c r="P253" s="41" t="n">
        <f aca="false">IF(M253=0,0,O253/M253)</f>
        <v>0.371707505678798</v>
      </c>
      <c r="Q253" s="37" t="str">
        <f aca="false">IF(K253=0,"No discount",IF(K253&lt;=0.1,"1-10%",IF(K253&lt;=0.2,"11-20%",IF(K253&lt;=0.3,"21-30%","Above 30%"))))</f>
        <v>1-10%</v>
      </c>
      <c r="R253" s="39" t="n">
        <f aca="false">I253*J253*MAX(0,K253-DiscountCap)</f>
        <v>0</v>
      </c>
    </row>
    <row r="254" customFormat="false" ht="15" hidden="false" customHeight="false" outlineLevel="0" collapsed="false">
      <c r="A254" s="37" t="s">
        <v>398</v>
      </c>
      <c r="B254" s="38" t="n">
        <v>45765</v>
      </c>
      <c r="C254" s="37" t="n">
        <f aca="false">MONTH(B254)</f>
        <v>4</v>
      </c>
      <c r="D254" s="37" t="s">
        <v>134</v>
      </c>
      <c r="E254" s="37" t="s">
        <v>45</v>
      </c>
      <c r="F254" s="37" t="s">
        <v>96</v>
      </c>
      <c r="G254" s="37" t="s">
        <v>91</v>
      </c>
      <c r="H254" s="37" t="s">
        <v>117</v>
      </c>
      <c r="I254" s="37" t="n">
        <v>1</v>
      </c>
      <c r="J254" s="39" t="n">
        <v>1499</v>
      </c>
      <c r="K254" s="40" t="n">
        <v>0</v>
      </c>
      <c r="L254" s="39" t="n">
        <f aca="false">VLOOKUP(H254,'Product List'!$A$3:$D$18,4,FALSE())</f>
        <v>780</v>
      </c>
      <c r="M254" s="39" t="n">
        <f aca="false">I254*J254*(1-K254)</f>
        <v>1499</v>
      </c>
      <c r="N254" s="39" t="n">
        <f aca="false">I254*L254</f>
        <v>780</v>
      </c>
      <c r="O254" s="39" t="n">
        <f aca="false">M254-N254</f>
        <v>719</v>
      </c>
      <c r="P254" s="41" t="n">
        <f aca="false">IF(M254=0,0,O254/M254)</f>
        <v>0.479653102068045</v>
      </c>
      <c r="Q254" s="37" t="str">
        <f aca="false">IF(K254=0,"No discount",IF(K254&lt;=0.1,"1-10%",IF(K254&lt;=0.2,"11-20%",IF(K254&lt;=0.3,"21-30%","Above 30%"))))</f>
        <v>No discount</v>
      </c>
      <c r="R254" s="39" t="n">
        <f aca="false">I254*J254*MAX(0,K254-DiscountCap)</f>
        <v>0</v>
      </c>
    </row>
    <row r="255" customFormat="false" ht="15" hidden="false" customHeight="false" outlineLevel="0" collapsed="false">
      <c r="A255" s="37" t="s">
        <v>399</v>
      </c>
      <c r="B255" s="38" t="n">
        <v>45752</v>
      </c>
      <c r="C255" s="37" t="n">
        <f aca="false">MONTH(B255)</f>
        <v>4</v>
      </c>
      <c r="D255" s="37" t="s">
        <v>134</v>
      </c>
      <c r="E255" s="37" t="s">
        <v>45</v>
      </c>
      <c r="F255" s="37" t="s">
        <v>97</v>
      </c>
      <c r="G255" s="37" t="s">
        <v>90</v>
      </c>
      <c r="H255" s="37" t="s">
        <v>110</v>
      </c>
      <c r="I255" s="37" t="n">
        <v>1</v>
      </c>
      <c r="J255" s="39" t="n">
        <v>1299</v>
      </c>
      <c r="K255" s="40" t="n">
        <v>0.15</v>
      </c>
      <c r="L255" s="39" t="n">
        <f aca="false">VLOOKUP(H255,'Product List'!$A$3:$D$18,4,FALSE())</f>
        <v>1000</v>
      </c>
      <c r="M255" s="39" t="n">
        <f aca="false">I255*J255*(1-K255)</f>
        <v>1104.15</v>
      </c>
      <c r="N255" s="39" t="n">
        <f aca="false">I255*L255</f>
        <v>1000</v>
      </c>
      <c r="O255" s="39" t="n">
        <f aca="false">M255-N255</f>
        <v>104.15</v>
      </c>
      <c r="P255" s="41" t="n">
        <f aca="false">IF(M255=0,0,O255/M255)</f>
        <v>0.0943259520898428</v>
      </c>
      <c r="Q255" s="37" t="str">
        <f aca="false">IF(K255=0,"No discount",IF(K255&lt;=0.1,"1-10%",IF(K255&lt;=0.2,"11-20%",IF(K255&lt;=0.3,"21-30%","Above 30%"))))</f>
        <v>11-20%</v>
      </c>
      <c r="R255" s="39" t="n">
        <f aca="false">I255*J255*MAX(0,K255-DiscountCap)</f>
        <v>0</v>
      </c>
    </row>
    <row r="256" customFormat="false" ht="15" hidden="false" customHeight="false" outlineLevel="0" collapsed="false">
      <c r="A256" s="37" t="s">
        <v>400</v>
      </c>
      <c r="B256" s="38" t="n">
        <v>45748</v>
      </c>
      <c r="C256" s="37" t="n">
        <f aca="false">MONTH(B256)</f>
        <v>4</v>
      </c>
      <c r="D256" s="37" t="s">
        <v>154</v>
      </c>
      <c r="E256" s="37" t="s">
        <v>47</v>
      </c>
      <c r="F256" s="37" t="s">
        <v>97</v>
      </c>
      <c r="G256" s="37" t="s">
        <v>90</v>
      </c>
      <c r="H256" s="37" t="s">
        <v>109</v>
      </c>
      <c r="I256" s="37" t="n">
        <v>4</v>
      </c>
      <c r="J256" s="39" t="n">
        <v>3499</v>
      </c>
      <c r="K256" s="40" t="n">
        <v>0.1</v>
      </c>
      <c r="L256" s="39" t="n">
        <f aca="false">VLOOKUP(H256,'Product List'!$A$3:$D$18,4,FALSE())</f>
        <v>2750</v>
      </c>
      <c r="M256" s="39" t="n">
        <f aca="false">I256*J256*(1-K256)</f>
        <v>12596.4</v>
      </c>
      <c r="N256" s="39" t="n">
        <f aca="false">I256*L256</f>
        <v>11000</v>
      </c>
      <c r="O256" s="39" t="n">
        <f aca="false">M256-N256</f>
        <v>1596.4</v>
      </c>
      <c r="P256" s="41" t="n">
        <f aca="false">IF(M256=0,0,O256/M256)</f>
        <v>0.126734622590581</v>
      </c>
      <c r="Q256" s="37" t="str">
        <f aca="false">IF(K256=0,"No discount",IF(K256&lt;=0.1,"1-10%",IF(K256&lt;=0.2,"11-20%",IF(K256&lt;=0.3,"21-30%","Above 30%"))))</f>
        <v>1-10%</v>
      </c>
      <c r="R256" s="39" t="n">
        <f aca="false">I256*J256*MAX(0,K256-DiscountCap)</f>
        <v>0</v>
      </c>
    </row>
    <row r="257" customFormat="false" ht="15" hidden="false" customHeight="false" outlineLevel="0" collapsed="false">
      <c r="A257" s="37" t="s">
        <v>401</v>
      </c>
      <c r="B257" s="38" t="n">
        <v>45775</v>
      </c>
      <c r="C257" s="37" t="n">
        <f aca="false">MONTH(B257)</f>
        <v>4</v>
      </c>
      <c r="D257" s="37" t="s">
        <v>166</v>
      </c>
      <c r="E257" s="37" t="s">
        <v>44</v>
      </c>
      <c r="F257" s="37" t="s">
        <v>96</v>
      </c>
      <c r="G257" s="37" t="s">
        <v>92</v>
      </c>
      <c r="H257" s="37" t="s">
        <v>114</v>
      </c>
      <c r="I257" s="37" t="n">
        <v>2</v>
      </c>
      <c r="J257" s="39" t="n">
        <v>1199</v>
      </c>
      <c r="K257" s="40" t="n">
        <v>0.05</v>
      </c>
      <c r="L257" s="39" t="n">
        <f aca="false">VLOOKUP(H257,'Product List'!$A$3:$D$18,4,FALSE())</f>
        <v>780</v>
      </c>
      <c r="M257" s="39" t="n">
        <f aca="false">I257*J257*(1-K257)</f>
        <v>2278.1</v>
      </c>
      <c r="N257" s="39" t="n">
        <f aca="false">I257*L257</f>
        <v>1560</v>
      </c>
      <c r="O257" s="39" t="n">
        <f aca="false">M257-N257</f>
        <v>718.1</v>
      </c>
      <c r="P257" s="41" t="n">
        <f aca="false">IF(M257=0,0,O257/M257)</f>
        <v>0.31521882270313</v>
      </c>
      <c r="Q257" s="37" t="str">
        <f aca="false">IF(K257=0,"No discount",IF(K257&lt;=0.1,"1-10%",IF(K257&lt;=0.2,"11-20%",IF(K257&lt;=0.3,"21-30%","Above 30%"))))</f>
        <v>1-10%</v>
      </c>
      <c r="R257" s="39" t="n">
        <f aca="false">I257*J257*MAX(0,K257-DiscountCap)</f>
        <v>0</v>
      </c>
    </row>
    <row r="258" customFormat="false" ht="15" hidden="false" customHeight="false" outlineLevel="0" collapsed="false">
      <c r="A258" s="37" t="s">
        <v>402</v>
      </c>
      <c r="B258" s="38" t="n">
        <v>45777</v>
      </c>
      <c r="C258" s="37" t="n">
        <f aca="false">MONTH(B258)</f>
        <v>4</v>
      </c>
      <c r="D258" s="37" t="s">
        <v>169</v>
      </c>
      <c r="E258" s="37" t="s">
        <v>44</v>
      </c>
      <c r="F258" s="37" t="s">
        <v>96</v>
      </c>
      <c r="G258" s="37" t="s">
        <v>91</v>
      </c>
      <c r="H258" s="37" t="s">
        <v>116</v>
      </c>
      <c r="I258" s="37" t="n">
        <v>3</v>
      </c>
      <c r="J258" s="39" t="n">
        <v>899</v>
      </c>
      <c r="K258" s="40" t="n">
        <v>0.1</v>
      </c>
      <c r="L258" s="39" t="n">
        <f aca="false">VLOOKUP(H258,'Product List'!$A$3:$D$18,4,FALSE())</f>
        <v>430</v>
      </c>
      <c r="M258" s="39" t="n">
        <f aca="false">I258*J258*(1-K258)</f>
        <v>2427.3</v>
      </c>
      <c r="N258" s="39" t="n">
        <f aca="false">I258*L258</f>
        <v>1290</v>
      </c>
      <c r="O258" s="39" t="n">
        <f aca="false">M258-N258</f>
        <v>1137.3</v>
      </c>
      <c r="P258" s="41" t="n">
        <f aca="false">IF(M258=0,0,O258/M258)</f>
        <v>0.468545297243851</v>
      </c>
      <c r="Q258" s="37" t="str">
        <f aca="false">IF(K258=0,"No discount",IF(K258&lt;=0.1,"1-10%",IF(K258&lt;=0.2,"11-20%",IF(K258&lt;=0.3,"21-30%","Above 30%"))))</f>
        <v>1-10%</v>
      </c>
      <c r="R258" s="39" t="n">
        <f aca="false">I258*J258*MAX(0,K258-DiscountCap)</f>
        <v>0</v>
      </c>
    </row>
    <row r="259" customFormat="false" ht="15" hidden="false" customHeight="false" outlineLevel="0" collapsed="false">
      <c r="A259" s="37" t="s">
        <v>403</v>
      </c>
      <c r="B259" s="38" t="n">
        <v>45751</v>
      </c>
      <c r="C259" s="37" t="n">
        <f aca="false">MONTH(B259)</f>
        <v>4</v>
      </c>
      <c r="D259" s="37" t="s">
        <v>154</v>
      </c>
      <c r="E259" s="37" t="s">
        <v>47</v>
      </c>
      <c r="F259" s="37" t="s">
        <v>97</v>
      </c>
      <c r="G259" s="37" t="s">
        <v>93</v>
      </c>
      <c r="H259" s="37" t="s">
        <v>123</v>
      </c>
      <c r="I259" s="37" t="n">
        <v>1</v>
      </c>
      <c r="J259" s="39" t="n">
        <v>1299</v>
      </c>
      <c r="K259" s="40" t="n">
        <v>0.05</v>
      </c>
      <c r="L259" s="39" t="n">
        <f aca="false">VLOOKUP(H259,'Product List'!$A$3:$D$18,4,FALSE())</f>
        <v>700</v>
      </c>
      <c r="M259" s="39" t="n">
        <f aca="false">I259*J259*(1-K259)</f>
        <v>1234.05</v>
      </c>
      <c r="N259" s="39" t="n">
        <f aca="false">I259*L259</f>
        <v>700</v>
      </c>
      <c r="O259" s="39" t="n">
        <f aca="false">M259-N259</f>
        <v>534.05</v>
      </c>
      <c r="P259" s="41" t="n">
        <f aca="false">IF(M259=0,0,O259/M259)</f>
        <v>0.432762043677323</v>
      </c>
      <c r="Q259" s="37" t="str">
        <f aca="false">IF(K259=0,"No discount",IF(K259&lt;=0.1,"1-10%",IF(K259&lt;=0.2,"11-20%",IF(K259&lt;=0.3,"21-30%","Above 30%"))))</f>
        <v>1-10%</v>
      </c>
      <c r="R259" s="39" t="n">
        <f aca="false">I259*J259*MAX(0,K259-DiscountCap)</f>
        <v>0</v>
      </c>
    </row>
    <row r="260" customFormat="false" ht="15" hidden="false" customHeight="false" outlineLevel="0" collapsed="false">
      <c r="A260" s="37" t="s">
        <v>404</v>
      </c>
      <c r="B260" s="38" t="n">
        <v>45765</v>
      </c>
      <c r="C260" s="37" t="n">
        <f aca="false">MONTH(B260)</f>
        <v>4</v>
      </c>
      <c r="D260" s="37" t="s">
        <v>166</v>
      </c>
      <c r="E260" s="37" t="s">
        <v>44</v>
      </c>
      <c r="F260" s="37" t="s">
        <v>96</v>
      </c>
      <c r="G260" s="37" t="s">
        <v>90</v>
      </c>
      <c r="H260" s="37" t="s">
        <v>110</v>
      </c>
      <c r="I260" s="37" t="n">
        <v>3</v>
      </c>
      <c r="J260" s="39" t="n">
        <v>1299</v>
      </c>
      <c r="K260" s="40" t="n">
        <v>0.3</v>
      </c>
      <c r="L260" s="39" t="n">
        <f aca="false">VLOOKUP(H260,'Product List'!$A$3:$D$18,4,FALSE())</f>
        <v>1000</v>
      </c>
      <c r="M260" s="39" t="n">
        <f aca="false">I260*J260*(1-K260)</f>
        <v>2727.9</v>
      </c>
      <c r="N260" s="39" t="n">
        <f aca="false">I260*L260</f>
        <v>3000</v>
      </c>
      <c r="O260" s="39" t="n">
        <f aca="false">M260-N260</f>
        <v>-272.1</v>
      </c>
      <c r="P260" s="41" t="n">
        <f aca="false">IF(M260=0,0,O260/M260)</f>
        <v>-0.0997470581766195</v>
      </c>
      <c r="Q260" s="37" t="str">
        <f aca="false">IF(K260=0,"No discount",IF(K260&lt;=0.1,"1-10%",IF(K260&lt;=0.2,"11-20%",IF(K260&lt;=0.3,"21-30%","Above 30%"))))</f>
        <v>21-30%</v>
      </c>
      <c r="R260" s="39" t="n">
        <f aca="false">I260*J260*MAX(0,K260-DiscountCap)</f>
        <v>389.7</v>
      </c>
    </row>
    <row r="261" customFormat="false" ht="15" hidden="false" customHeight="false" outlineLevel="0" collapsed="false">
      <c r="A261" s="37" t="s">
        <v>405</v>
      </c>
      <c r="B261" s="38" t="n">
        <v>45750</v>
      </c>
      <c r="C261" s="37" t="n">
        <f aca="false">MONTH(B261)</f>
        <v>4</v>
      </c>
      <c r="D261" s="37" t="s">
        <v>138</v>
      </c>
      <c r="E261" s="37" t="s">
        <v>46</v>
      </c>
      <c r="F261" s="37" t="s">
        <v>97</v>
      </c>
      <c r="G261" s="37" t="s">
        <v>92</v>
      </c>
      <c r="H261" s="37" t="s">
        <v>115</v>
      </c>
      <c r="I261" s="37" t="n">
        <v>1</v>
      </c>
      <c r="J261" s="39" t="n">
        <v>1799</v>
      </c>
      <c r="K261" s="40" t="n">
        <v>0.2</v>
      </c>
      <c r="L261" s="39" t="n">
        <f aca="false">VLOOKUP(H261,'Product List'!$A$3:$D$18,4,FALSE())</f>
        <v>1150</v>
      </c>
      <c r="M261" s="39" t="n">
        <f aca="false">I261*J261*(1-K261)</f>
        <v>1439.2</v>
      </c>
      <c r="N261" s="39" t="n">
        <f aca="false">I261*L261</f>
        <v>1150</v>
      </c>
      <c r="O261" s="39" t="n">
        <f aca="false">M261-N261</f>
        <v>289.2</v>
      </c>
      <c r="P261" s="41" t="n">
        <f aca="false">IF(M261=0,0,O261/M261)</f>
        <v>0.20094496942746</v>
      </c>
      <c r="Q261" s="37" t="str">
        <f aca="false">IF(K261=0,"No discount",IF(K261&lt;=0.1,"1-10%",IF(K261&lt;=0.2,"11-20%",IF(K261&lt;=0.3,"21-30%","Above 30%"))))</f>
        <v>11-20%</v>
      </c>
      <c r="R261" s="39" t="n">
        <f aca="false">I261*J261*MAX(0,K261-DiscountCap)</f>
        <v>0</v>
      </c>
    </row>
    <row r="262" customFormat="false" ht="15" hidden="false" customHeight="false" outlineLevel="0" collapsed="false">
      <c r="A262" s="37" t="s">
        <v>406</v>
      </c>
      <c r="B262" s="38" t="n">
        <v>45773</v>
      </c>
      <c r="C262" s="37" t="n">
        <f aca="false">MONTH(B262)</f>
        <v>4</v>
      </c>
      <c r="D262" s="37" t="s">
        <v>136</v>
      </c>
      <c r="E262" s="37" t="s">
        <v>47</v>
      </c>
      <c r="F262" s="37" t="s">
        <v>97</v>
      </c>
      <c r="G262" s="37" t="s">
        <v>90</v>
      </c>
      <c r="H262" s="37" t="s">
        <v>110</v>
      </c>
      <c r="I262" s="37" t="n">
        <v>1</v>
      </c>
      <c r="J262" s="39" t="n">
        <v>1299</v>
      </c>
      <c r="K262" s="40" t="n">
        <v>0.1</v>
      </c>
      <c r="L262" s="39" t="n">
        <f aca="false">VLOOKUP(H262,'Product List'!$A$3:$D$18,4,FALSE())</f>
        <v>1000</v>
      </c>
      <c r="M262" s="39" t="n">
        <f aca="false">I262*J262*(1-K262)</f>
        <v>1169.1</v>
      </c>
      <c r="N262" s="39" t="n">
        <f aca="false">I262*L262</f>
        <v>1000</v>
      </c>
      <c r="O262" s="39" t="n">
        <f aca="false">M262-N262</f>
        <v>169.1</v>
      </c>
      <c r="P262" s="41" t="n">
        <f aca="false">IF(M262=0,0,O262/M262)</f>
        <v>0.144641176973741</v>
      </c>
      <c r="Q262" s="37" t="str">
        <f aca="false">IF(K262=0,"No discount",IF(K262&lt;=0.1,"1-10%",IF(K262&lt;=0.2,"11-20%",IF(K262&lt;=0.3,"21-30%","Above 30%"))))</f>
        <v>1-10%</v>
      </c>
      <c r="R262" s="39" t="n">
        <f aca="false">I262*J262*MAX(0,K262-DiscountCap)</f>
        <v>0</v>
      </c>
    </row>
    <row r="263" customFormat="false" ht="15" hidden="false" customHeight="false" outlineLevel="0" collapsed="false">
      <c r="A263" s="37" t="s">
        <v>407</v>
      </c>
      <c r="B263" s="38" t="n">
        <v>45758</v>
      </c>
      <c r="C263" s="37" t="n">
        <f aca="false">MONTH(B263)</f>
        <v>4</v>
      </c>
      <c r="D263" s="37" t="s">
        <v>144</v>
      </c>
      <c r="E263" s="37" t="s">
        <v>45</v>
      </c>
      <c r="F263" s="37" t="s">
        <v>97</v>
      </c>
      <c r="G263" s="37" t="s">
        <v>90</v>
      </c>
      <c r="H263" s="37" t="s">
        <v>111</v>
      </c>
      <c r="I263" s="37" t="n">
        <v>1</v>
      </c>
      <c r="J263" s="39" t="n">
        <v>2499</v>
      </c>
      <c r="K263" s="40" t="n">
        <v>0.05</v>
      </c>
      <c r="L263" s="39" t="n">
        <f aca="false">VLOOKUP(H263,'Product List'!$A$3:$D$18,4,FALSE())</f>
        <v>1950</v>
      </c>
      <c r="M263" s="39" t="n">
        <f aca="false">I263*J263*(1-K263)</f>
        <v>2374.05</v>
      </c>
      <c r="N263" s="39" t="n">
        <f aca="false">I263*L263</f>
        <v>1950</v>
      </c>
      <c r="O263" s="39" t="n">
        <f aca="false">M263-N263</f>
        <v>424.05</v>
      </c>
      <c r="P263" s="41" t="n">
        <f aca="false">IF(M263=0,0,O263/M263)</f>
        <v>0.178618815947432</v>
      </c>
      <c r="Q263" s="37" t="str">
        <f aca="false">IF(K263=0,"No discount",IF(K263&lt;=0.1,"1-10%",IF(K263&lt;=0.2,"11-20%",IF(K263&lt;=0.3,"21-30%","Above 30%"))))</f>
        <v>1-10%</v>
      </c>
      <c r="R263" s="39" t="n">
        <f aca="false">I263*J263*MAX(0,K263-DiscountCap)</f>
        <v>0</v>
      </c>
    </row>
    <row r="264" customFormat="false" ht="15" hidden="false" customHeight="false" outlineLevel="0" collapsed="false">
      <c r="A264" s="37" t="s">
        <v>408</v>
      </c>
      <c r="B264" s="38" t="n">
        <v>45770</v>
      </c>
      <c r="C264" s="37" t="n">
        <f aca="false">MONTH(B264)</f>
        <v>4</v>
      </c>
      <c r="D264" s="37" t="s">
        <v>144</v>
      </c>
      <c r="E264" s="37" t="s">
        <v>45</v>
      </c>
      <c r="F264" s="37" t="s">
        <v>96</v>
      </c>
      <c r="G264" s="37" t="s">
        <v>92</v>
      </c>
      <c r="H264" s="37" t="s">
        <v>112</v>
      </c>
      <c r="I264" s="37" t="n">
        <v>1</v>
      </c>
      <c r="J264" s="39" t="n">
        <v>3299</v>
      </c>
      <c r="K264" s="40" t="n">
        <v>0.2</v>
      </c>
      <c r="L264" s="39" t="n">
        <f aca="false">VLOOKUP(H264,'Product List'!$A$3:$D$18,4,FALSE())</f>
        <v>2250</v>
      </c>
      <c r="M264" s="39" t="n">
        <f aca="false">I264*J264*(1-K264)</f>
        <v>2639.2</v>
      </c>
      <c r="N264" s="39" t="n">
        <f aca="false">I264*L264</f>
        <v>2250</v>
      </c>
      <c r="O264" s="39" t="n">
        <f aca="false">M264-N264</f>
        <v>389.2</v>
      </c>
      <c r="P264" s="41" t="n">
        <f aca="false">IF(M264=0,0,O264/M264)</f>
        <v>0.147468929978782</v>
      </c>
      <c r="Q264" s="37" t="str">
        <f aca="false">IF(K264=0,"No discount",IF(K264&lt;=0.1,"1-10%",IF(K264&lt;=0.2,"11-20%",IF(K264&lt;=0.3,"21-30%","Above 30%"))))</f>
        <v>11-20%</v>
      </c>
      <c r="R264" s="39" t="n">
        <f aca="false">I264*J264*MAX(0,K264-DiscountCap)</f>
        <v>0</v>
      </c>
    </row>
    <row r="265" customFormat="false" ht="15" hidden="false" customHeight="false" outlineLevel="0" collapsed="false">
      <c r="A265" s="37" t="s">
        <v>409</v>
      </c>
      <c r="B265" s="38" t="n">
        <v>45751</v>
      </c>
      <c r="C265" s="37" t="n">
        <f aca="false">MONTH(B265)</f>
        <v>4</v>
      </c>
      <c r="D265" s="37" t="s">
        <v>134</v>
      </c>
      <c r="E265" s="37" t="s">
        <v>45</v>
      </c>
      <c r="F265" s="37" t="s">
        <v>96</v>
      </c>
      <c r="G265" s="37" t="s">
        <v>91</v>
      </c>
      <c r="H265" s="37" t="s">
        <v>118</v>
      </c>
      <c r="I265" s="37" t="n">
        <v>1</v>
      </c>
      <c r="J265" s="39" t="n">
        <v>2299</v>
      </c>
      <c r="K265" s="40" t="n">
        <v>0.1</v>
      </c>
      <c r="L265" s="39" t="n">
        <f aca="false">VLOOKUP(H265,'Product List'!$A$3:$D$18,4,FALSE())</f>
        <v>1300</v>
      </c>
      <c r="M265" s="39" t="n">
        <f aca="false">I265*J265*(1-K265)</f>
        <v>2069.1</v>
      </c>
      <c r="N265" s="39" t="n">
        <f aca="false">I265*L265</f>
        <v>1300</v>
      </c>
      <c r="O265" s="39" t="n">
        <f aca="false">M265-N265</f>
        <v>769.1</v>
      </c>
      <c r="P265" s="41" t="n">
        <f aca="false">IF(M265=0,0,O265/M265)</f>
        <v>0.371707505678798</v>
      </c>
      <c r="Q265" s="37" t="str">
        <f aca="false">IF(K265=0,"No discount",IF(K265&lt;=0.1,"1-10%",IF(K265&lt;=0.2,"11-20%",IF(K265&lt;=0.3,"21-30%","Above 30%"))))</f>
        <v>1-10%</v>
      </c>
      <c r="R265" s="39" t="n">
        <f aca="false">I265*J265*MAX(0,K265-DiscountCap)</f>
        <v>0</v>
      </c>
    </row>
    <row r="266" customFormat="false" ht="15" hidden="false" customHeight="false" outlineLevel="0" collapsed="false">
      <c r="A266" s="37" t="s">
        <v>410</v>
      </c>
      <c r="B266" s="38" t="n">
        <v>45763</v>
      </c>
      <c r="C266" s="37" t="n">
        <f aca="false">MONTH(B266)</f>
        <v>4</v>
      </c>
      <c r="D266" s="37" t="s">
        <v>136</v>
      </c>
      <c r="E266" s="37" t="s">
        <v>47</v>
      </c>
      <c r="F266" s="37" t="s">
        <v>96</v>
      </c>
      <c r="G266" s="37" t="s">
        <v>90</v>
      </c>
      <c r="H266" s="37" t="s">
        <v>110</v>
      </c>
      <c r="I266" s="37" t="n">
        <v>2</v>
      </c>
      <c r="J266" s="39" t="n">
        <v>1299</v>
      </c>
      <c r="K266" s="40" t="n">
        <v>0.05</v>
      </c>
      <c r="L266" s="39" t="n">
        <f aca="false">VLOOKUP(H266,'Product List'!$A$3:$D$18,4,FALSE())</f>
        <v>1000</v>
      </c>
      <c r="M266" s="39" t="n">
        <f aca="false">I266*J266*(1-K266)</f>
        <v>2468.1</v>
      </c>
      <c r="N266" s="39" t="n">
        <f aca="false">I266*L266</f>
        <v>2000</v>
      </c>
      <c r="O266" s="39" t="n">
        <f aca="false">M266-N266</f>
        <v>468.1</v>
      </c>
      <c r="P266" s="41" t="n">
        <f aca="false">IF(M266=0,0,O266/M266)</f>
        <v>0.189660062396175</v>
      </c>
      <c r="Q266" s="37" t="str">
        <f aca="false">IF(K266=0,"No discount",IF(K266&lt;=0.1,"1-10%",IF(K266&lt;=0.2,"11-20%",IF(K266&lt;=0.3,"21-30%","Above 30%"))))</f>
        <v>1-10%</v>
      </c>
      <c r="R266" s="39" t="n">
        <f aca="false">I266*J266*MAX(0,K266-DiscountCap)</f>
        <v>0</v>
      </c>
    </row>
    <row r="267" customFormat="false" ht="15" hidden="false" customHeight="false" outlineLevel="0" collapsed="false">
      <c r="A267" s="37" t="s">
        <v>411</v>
      </c>
      <c r="B267" s="38" t="n">
        <v>45770</v>
      </c>
      <c r="C267" s="37" t="n">
        <f aca="false">MONTH(B267)</f>
        <v>4</v>
      </c>
      <c r="D267" s="37" t="s">
        <v>134</v>
      </c>
      <c r="E267" s="37" t="s">
        <v>45</v>
      </c>
      <c r="F267" s="37" t="s">
        <v>97</v>
      </c>
      <c r="G267" s="37" t="s">
        <v>90</v>
      </c>
      <c r="H267" s="37" t="s">
        <v>110</v>
      </c>
      <c r="I267" s="37" t="n">
        <v>1</v>
      </c>
      <c r="J267" s="39" t="n">
        <v>1299</v>
      </c>
      <c r="K267" s="40" t="n">
        <v>0</v>
      </c>
      <c r="L267" s="39" t="n">
        <f aca="false">VLOOKUP(H267,'Product List'!$A$3:$D$18,4,FALSE())</f>
        <v>1000</v>
      </c>
      <c r="M267" s="39" t="n">
        <f aca="false">I267*J267*(1-K267)</f>
        <v>1299</v>
      </c>
      <c r="N267" s="39" t="n">
        <f aca="false">I267*L267</f>
        <v>1000</v>
      </c>
      <c r="O267" s="39" t="n">
        <f aca="false">M267-N267</f>
        <v>299</v>
      </c>
      <c r="P267" s="41" t="n">
        <f aca="false">IF(M267=0,0,O267/M267)</f>
        <v>0.230177059276366</v>
      </c>
      <c r="Q267" s="37" t="str">
        <f aca="false">IF(K267=0,"No discount",IF(K267&lt;=0.1,"1-10%",IF(K267&lt;=0.2,"11-20%",IF(K267&lt;=0.3,"21-30%","Above 30%"))))</f>
        <v>No discount</v>
      </c>
      <c r="R267" s="39" t="n">
        <f aca="false">I267*J267*MAX(0,K267-DiscountCap)</f>
        <v>0</v>
      </c>
    </row>
    <row r="268" customFormat="false" ht="15" hidden="false" customHeight="false" outlineLevel="0" collapsed="false">
      <c r="A268" s="37" t="s">
        <v>412</v>
      </c>
      <c r="B268" s="38" t="n">
        <v>45770</v>
      </c>
      <c r="C268" s="37" t="n">
        <f aca="false">MONTH(B268)</f>
        <v>4</v>
      </c>
      <c r="D268" s="37" t="s">
        <v>136</v>
      </c>
      <c r="E268" s="37" t="s">
        <v>47</v>
      </c>
      <c r="F268" s="37" t="s">
        <v>97</v>
      </c>
      <c r="G268" s="37" t="s">
        <v>93</v>
      </c>
      <c r="H268" s="37" t="s">
        <v>120</v>
      </c>
      <c r="I268" s="37" t="n">
        <v>1</v>
      </c>
      <c r="J268" s="39" t="n">
        <v>449</v>
      </c>
      <c r="K268" s="40" t="n">
        <v>0.05</v>
      </c>
      <c r="L268" s="39" t="n">
        <f aca="false">VLOOKUP(H268,'Product List'!$A$3:$D$18,4,FALSE())</f>
        <v>240</v>
      </c>
      <c r="M268" s="39" t="n">
        <f aca="false">I268*J268*(1-K268)</f>
        <v>426.55</v>
      </c>
      <c r="N268" s="39" t="n">
        <f aca="false">I268*L268</f>
        <v>240</v>
      </c>
      <c r="O268" s="39" t="n">
        <f aca="false">M268-N268</f>
        <v>186.55</v>
      </c>
      <c r="P268" s="41" t="n">
        <f aca="false">IF(M268=0,0,O268/M268)</f>
        <v>0.43734614933771</v>
      </c>
      <c r="Q268" s="37" t="str">
        <f aca="false">IF(K268=0,"No discount",IF(K268&lt;=0.1,"1-10%",IF(K268&lt;=0.2,"11-20%",IF(K268&lt;=0.3,"21-30%","Above 30%"))))</f>
        <v>1-10%</v>
      </c>
      <c r="R268" s="39" t="n">
        <f aca="false">I268*J268*MAX(0,K268-DiscountCap)</f>
        <v>0</v>
      </c>
    </row>
    <row r="269" customFormat="false" ht="15" hidden="false" customHeight="false" outlineLevel="0" collapsed="false">
      <c r="A269" s="37" t="s">
        <v>413</v>
      </c>
      <c r="B269" s="38" t="n">
        <v>45757</v>
      </c>
      <c r="C269" s="37" t="n">
        <f aca="false">MONTH(B269)</f>
        <v>4</v>
      </c>
      <c r="D269" s="37" t="s">
        <v>169</v>
      </c>
      <c r="E269" s="37" t="s">
        <v>44</v>
      </c>
      <c r="F269" s="37" t="s">
        <v>96</v>
      </c>
      <c r="G269" s="37" t="s">
        <v>91</v>
      </c>
      <c r="H269" s="37" t="s">
        <v>117</v>
      </c>
      <c r="I269" s="37" t="n">
        <v>1</v>
      </c>
      <c r="J269" s="39" t="n">
        <v>1499</v>
      </c>
      <c r="K269" s="40" t="n">
        <v>0.15</v>
      </c>
      <c r="L269" s="39" t="n">
        <f aca="false">VLOOKUP(H269,'Product List'!$A$3:$D$18,4,FALSE())</f>
        <v>780</v>
      </c>
      <c r="M269" s="39" t="n">
        <f aca="false">I269*J269*(1-K269)</f>
        <v>1274.15</v>
      </c>
      <c r="N269" s="39" t="n">
        <f aca="false">I269*L269</f>
        <v>780</v>
      </c>
      <c r="O269" s="39" t="n">
        <f aca="false">M269-N269</f>
        <v>494.15</v>
      </c>
      <c r="P269" s="41" t="n">
        <f aca="false">IF(M269=0,0,O269/M269)</f>
        <v>0.387827178903583</v>
      </c>
      <c r="Q269" s="37" t="str">
        <f aca="false">IF(K269=0,"No discount",IF(K269&lt;=0.1,"1-10%",IF(K269&lt;=0.2,"11-20%",IF(K269&lt;=0.3,"21-30%","Above 30%"))))</f>
        <v>11-20%</v>
      </c>
      <c r="R269" s="39" t="n">
        <f aca="false">I269*J269*MAX(0,K269-DiscountCap)</f>
        <v>0</v>
      </c>
    </row>
    <row r="270" customFormat="false" ht="15" hidden="false" customHeight="false" outlineLevel="0" collapsed="false">
      <c r="A270" s="37" t="s">
        <v>414</v>
      </c>
      <c r="B270" s="38" t="n">
        <v>45766</v>
      </c>
      <c r="C270" s="37" t="n">
        <f aca="false">MONTH(B270)</f>
        <v>4</v>
      </c>
      <c r="D270" s="37" t="s">
        <v>142</v>
      </c>
      <c r="E270" s="37" t="s">
        <v>47</v>
      </c>
      <c r="F270" s="37" t="s">
        <v>97</v>
      </c>
      <c r="G270" s="37" t="s">
        <v>91</v>
      </c>
      <c r="H270" s="37" t="s">
        <v>117</v>
      </c>
      <c r="I270" s="37" t="n">
        <v>2</v>
      </c>
      <c r="J270" s="39" t="n">
        <v>1499</v>
      </c>
      <c r="K270" s="40" t="n">
        <v>0.05</v>
      </c>
      <c r="L270" s="39" t="n">
        <f aca="false">VLOOKUP(H270,'Product List'!$A$3:$D$18,4,FALSE())</f>
        <v>780</v>
      </c>
      <c r="M270" s="39" t="n">
        <f aca="false">I270*J270*(1-K270)</f>
        <v>2848.1</v>
      </c>
      <c r="N270" s="39" t="n">
        <f aca="false">I270*L270</f>
        <v>1560</v>
      </c>
      <c r="O270" s="39" t="n">
        <f aca="false">M270-N270</f>
        <v>1288.1</v>
      </c>
      <c r="P270" s="41" t="n">
        <f aca="false">IF(M270=0,0,O270/M270)</f>
        <v>0.452266423229521</v>
      </c>
      <c r="Q270" s="37" t="str">
        <f aca="false">IF(K270=0,"No discount",IF(K270&lt;=0.1,"1-10%",IF(K270&lt;=0.2,"11-20%",IF(K270&lt;=0.3,"21-30%","Above 30%"))))</f>
        <v>1-10%</v>
      </c>
      <c r="R270" s="39" t="n">
        <f aca="false">I270*J270*MAX(0,K270-DiscountCap)</f>
        <v>0</v>
      </c>
    </row>
    <row r="271" customFormat="false" ht="15" hidden="false" customHeight="false" outlineLevel="0" collapsed="false">
      <c r="A271" s="37" t="s">
        <v>415</v>
      </c>
      <c r="B271" s="38" t="n">
        <v>45770</v>
      </c>
      <c r="C271" s="37" t="n">
        <f aca="false">MONTH(B271)</f>
        <v>4</v>
      </c>
      <c r="D271" s="37" t="s">
        <v>136</v>
      </c>
      <c r="E271" s="37" t="s">
        <v>47</v>
      </c>
      <c r="F271" s="37" t="s">
        <v>96</v>
      </c>
      <c r="G271" s="37" t="s">
        <v>93</v>
      </c>
      <c r="H271" s="37" t="s">
        <v>120</v>
      </c>
      <c r="I271" s="37" t="n">
        <v>1</v>
      </c>
      <c r="J271" s="39" t="n">
        <v>449</v>
      </c>
      <c r="K271" s="40" t="n">
        <v>0.25</v>
      </c>
      <c r="L271" s="39" t="n">
        <f aca="false">VLOOKUP(H271,'Product List'!$A$3:$D$18,4,FALSE())</f>
        <v>240</v>
      </c>
      <c r="M271" s="39" t="n">
        <f aca="false">I271*J271*(1-K271)</f>
        <v>336.75</v>
      </c>
      <c r="N271" s="39" t="n">
        <f aca="false">I271*L271</f>
        <v>240</v>
      </c>
      <c r="O271" s="39" t="n">
        <f aca="false">M271-N271</f>
        <v>96.75</v>
      </c>
      <c r="P271" s="41" t="n">
        <f aca="false">IF(M271=0,0,O271/M271)</f>
        <v>0.287305122494432</v>
      </c>
      <c r="Q271" s="37" t="str">
        <f aca="false">IF(K271=0,"No discount",IF(K271&lt;=0.1,"1-10%",IF(K271&lt;=0.2,"11-20%",IF(K271&lt;=0.3,"21-30%","Above 30%"))))</f>
        <v>21-30%</v>
      </c>
      <c r="R271" s="39" t="n">
        <f aca="false">I271*J271*MAX(0,K271-DiscountCap)</f>
        <v>22.45</v>
      </c>
    </row>
    <row r="272" customFormat="false" ht="15" hidden="false" customHeight="false" outlineLevel="0" collapsed="false">
      <c r="A272" s="37" t="s">
        <v>416</v>
      </c>
      <c r="B272" s="38" t="n">
        <v>45766</v>
      </c>
      <c r="C272" s="37" t="n">
        <f aca="false">MONTH(B272)</f>
        <v>4</v>
      </c>
      <c r="D272" s="37" t="s">
        <v>146</v>
      </c>
      <c r="E272" s="37" t="s">
        <v>45</v>
      </c>
      <c r="F272" s="37" t="s">
        <v>96</v>
      </c>
      <c r="G272" s="37" t="s">
        <v>92</v>
      </c>
      <c r="H272" s="37" t="s">
        <v>114</v>
      </c>
      <c r="I272" s="37" t="n">
        <v>3</v>
      </c>
      <c r="J272" s="39" t="n">
        <v>1199</v>
      </c>
      <c r="K272" s="40" t="n">
        <v>0.05</v>
      </c>
      <c r="L272" s="39" t="n">
        <f aca="false">VLOOKUP(H272,'Product List'!$A$3:$D$18,4,FALSE())</f>
        <v>780</v>
      </c>
      <c r="M272" s="39" t="n">
        <f aca="false">I272*J272*(1-K272)</f>
        <v>3417.15</v>
      </c>
      <c r="N272" s="39" t="n">
        <f aca="false">I272*L272</f>
        <v>2340</v>
      </c>
      <c r="O272" s="39" t="n">
        <f aca="false">M272-N272</f>
        <v>1077.15</v>
      </c>
      <c r="P272" s="41" t="n">
        <f aca="false">IF(M272=0,0,O272/M272)</f>
        <v>0.31521882270313</v>
      </c>
      <c r="Q272" s="37" t="str">
        <f aca="false">IF(K272=0,"No discount",IF(K272&lt;=0.1,"1-10%",IF(K272&lt;=0.2,"11-20%",IF(K272&lt;=0.3,"21-30%","Above 30%"))))</f>
        <v>1-10%</v>
      </c>
      <c r="R272" s="39" t="n">
        <f aca="false">I272*J272*MAX(0,K272-DiscountCap)</f>
        <v>0</v>
      </c>
    </row>
    <row r="273" customFormat="false" ht="15" hidden="false" customHeight="false" outlineLevel="0" collapsed="false">
      <c r="A273" s="37" t="s">
        <v>417</v>
      </c>
      <c r="B273" s="38" t="n">
        <v>45764</v>
      </c>
      <c r="C273" s="37" t="n">
        <f aca="false">MONTH(B273)</f>
        <v>4</v>
      </c>
      <c r="D273" s="37" t="s">
        <v>134</v>
      </c>
      <c r="E273" s="37" t="s">
        <v>45</v>
      </c>
      <c r="F273" s="37" t="s">
        <v>96</v>
      </c>
      <c r="G273" s="37" t="s">
        <v>90</v>
      </c>
      <c r="H273" s="37" t="s">
        <v>111</v>
      </c>
      <c r="I273" s="37" t="n">
        <v>1</v>
      </c>
      <c r="J273" s="39" t="n">
        <v>2499</v>
      </c>
      <c r="K273" s="40" t="n">
        <v>0.2</v>
      </c>
      <c r="L273" s="39" t="n">
        <f aca="false">VLOOKUP(H273,'Product List'!$A$3:$D$18,4,FALSE())</f>
        <v>1950</v>
      </c>
      <c r="M273" s="39" t="n">
        <f aca="false">I273*J273*(1-K273)</f>
        <v>1999.2</v>
      </c>
      <c r="N273" s="39" t="n">
        <f aca="false">I273*L273</f>
        <v>1950</v>
      </c>
      <c r="O273" s="39" t="n">
        <f aca="false">M273-N273</f>
        <v>49.2</v>
      </c>
      <c r="P273" s="41" t="n">
        <f aca="false">IF(M273=0,0,O273/M273)</f>
        <v>0.0246098439375751</v>
      </c>
      <c r="Q273" s="37" t="str">
        <f aca="false">IF(K273=0,"No discount",IF(K273&lt;=0.1,"1-10%",IF(K273&lt;=0.2,"11-20%",IF(K273&lt;=0.3,"21-30%","Above 30%"))))</f>
        <v>11-20%</v>
      </c>
      <c r="R273" s="39" t="n">
        <f aca="false">I273*J273*MAX(0,K273-DiscountCap)</f>
        <v>0</v>
      </c>
    </row>
    <row r="274" customFormat="false" ht="15" hidden="false" customHeight="false" outlineLevel="0" collapsed="false">
      <c r="A274" s="37" t="s">
        <v>418</v>
      </c>
      <c r="B274" s="38" t="n">
        <v>45762</v>
      </c>
      <c r="C274" s="37" t="n">
        <f aca="false">MONTH(B274)</f>
        <v>4</v>
      </c>
      <c r="D274" s="37" t="s">
        <v>134</v>
      </c>
      <c r="E274" s="37" t="s">
        <v>45</v>
      </c>
      <c r="F274" s="37" t="s">
        <v>97</v>
      </c>
      <c r="G274" s="37" t="s">
        <v>91</v>
      </c>
      <c r="H274" s="37" t="s">
        <v>118</v>
      </c>
      <c r="I274" s="37" t="n">
        <v>1</v>
      </c>
      <c r="J274" s="39" t="n">
        <v>2299</v>
      </c>
      <c r="K274" s="40" t="n">
        <v>0</v>
      </c>
      <c r="L274" s="39" t="n">
        <f aca="false">VLOOKUP(H274,'Product List'!$A$3:$D$18,4,FALSE())</f>
        <v>1300</v>
      </c>
      <c r="M274" s="39" t="n">
        <f aca="false">I274*J274*(1-K274)</f>
        <v>2299</v>
      </c>
      <c r="N274" s="39" t="n">
        <f aca="false">I274*L274</f>
        <v>1300</v>
      </c>
      <c r="O274" s="39" t="n">
        <f aca="false">M274-N274</f>
        <v>999</v>
      </c>
      <c r="P274" s="41" t="n">
        <f aca="false">IF(M274=0,0,O274/M274)</f>
        <v>0.434536755110918</v>
      </c>
      <c r="Q274" s="37" t="str">
        <f aca="false">IF(K274=0,"No discount",IF(K274&lt;=0.1,"1-10%",IF(K274&lt;=0.2,"11-20%",IF(K274&lt;=0.3,"21-30%","Above 30%"))))</f>
        <v>No discount</v>
      </c>
      <c r="R274" s="39" t="n">
        <f aca="false">I274*J274*MAX(0,K274-DiscountCap)</f>
        <v>0</v>
      </c>
    </row>
    <row r="275" customFormat="false" ht="15" hidden="false" customHeight="false" outlineLevel="0" collapsed="false">
      <c r="A275" s="37" t="s">
        <v>419</v>
      </c>
      <c r="B275" s="38" t="n">
        <v>45766</v>
      </c>
      <c r="C275" s="37" t="n">
        <f aca="false">MONTH(B275)</f>
        <v>4</v>
      </c>
      <c r="D275" s="37" t="s">
        <v>154</v>
      </c>
      <c r="E275" s="37" t="s">
        <v>47</v>
      </c>
      <c r="F275" s="37" t="s">
        <v>96</v>
      </c>
      <c r="G275" s="37" t="s">
        <v>92</v>
      </c>
      <c r="H275" s="37" t="s">
        <v>115</v>
      </c>
      <c r="I275" s="37" t="n">
        <v>1</v>
      </c>
      <c r="J275" s="39" t="n">
        <v>1799</v>
      </c>
      <c r="K275" s="40" t="n">
        <v>0.15</v>
      </c>
      <c r="L275" s="39" t="n">
        <f aca="false">VLOOKUP(H275,'Product List'!$A$3:$D$18,4,FALSE())</f>
        <v>1150</v>
      </c>
      <c r="M275" s="39" t="n">
        <f aca="false">I275*J275*(1-K275)</f>
        <v>1529.15</v>
      </c>
      <c r="N275" s="39" t="n">
        <f aca="false">I275*L275</f>
        <v>1150</v>
      </c>
      <c r="O275" s="39" t="n">
        <f aca="false">M275-N275</f>
        <v>379.15</v>
      </c>
      <c r="P275" s="41" t="n">
        <f aca="false">IF(M275=0,0,O275/M275)</f>
        <v>0.247948206519962</v>
      </c>
      <c r="Q275" s="37" t="str">
        <f aca="false">IF(K275=0,"No discount",IF(K275&lt;=0.1,"1-10%",IF(K275&lt;=0.2,"11-20%",IF(K275&lt;=0.3,"21-30%","Above 30%"))))</f>
        <v>11-20%</v>
      </c>
      <c r="R275" s="39" t="n">
        <f aca="false">I275*J275*MAX(0,K275-DiscountCap)</f>
        <v>0</v>
      </c>
    </row>
    <row r="276" customFormat="false" ht="15" hidden="false" customHeight="false" outlineLevel="0" collapsed="false">
      <c r="A276" s="37" t="s">
        <v>420</v>
      </c>
      <c r="B276" s="38" t="n">
        <v>45771</v>
      </c>
      <c r="C276" s="37" t="n">
        <f aca="false">MONTH(B276)</f>
        <v>4</v>
      </c>
      <c r="D276" s="37" t="s">
        <v>134</v>
      </c>
      <c r="E276" s="37" t="s">
        <v>45</v>
      </c>
      <c r="F276" s="37" t="s">
        <v>97</v>
      </c>
      <c r="G276" s="37" t="s">
        <v>90</v>
      </c>
      <c r="H276" s="37" t="s">
        <v>110</v>
      </c>
      <c r="I276" s="37" t="n">
        <v>1</v>
      </c>
      <c r="J276" s="39" t="n">
        <v>1299</v>
      </c>
      <c r="K276" s="40" t="n">
        <v>0.15</v>
      </c>
      <c r="L276" s="39" t="n">
        <f aca="false">VLOOKUP(H276,'Product List'!$A$3:$D$18,4,FALSE())</f>
        <v>1000</v>
      </c>
      <c r="M276" s="39" t="n">
        <f aca="false">I276*J276*(1-K276)</f>
        <v>1104.15</v>
      </c>
      <c r="N276" s="39" t="n">
        <f aca="false">I276*L276</f>
        <v>1000</v>
      </c>
      <c r="O276" s="39" t="n">
        <f aca="false">M276-N276</f>
        <v>104.15</v>
      </c>
      <c r="P276" s="41" t="n">
        <f aca="false">IF(M276=0,0,O276/M276)</f>
        <v>0.0943259520898428</v>
      </c>
      <c r="Q276" s="37" t="str">
        <f aca="false">IF(K276=0,"No discount",IF(K276&lt;=0.1,"1-10%",IF(K276&lt;=0.2,"11-20%",IF(K276&lt;=0.3,"21-30%","Above 30%"))))</f>
        <v>11-20%</v>
      </c>
      <c r="R276" s="39" t="n">
        <f aca="false">I276*J276*MAX(0,K276-DiscountCap)</f>
        <v>0</v>
      </c>
    </row>
    <row r="277" customFormat="false" ht="15" hidden="false" customHeight="false" outlineLevel="0" collapsed="false">
      <c r="A277" s="37" t="s">
        <v>421</v>
      </c>
      <c r="B277" s="38" t="n">
        <v>45753</v>
      </c>
      <c r="C277" s="37" t="n">
        <f aca="false">MONTH(B277)</f>
        <v>4</v>
      </c>
      <c r="D277" s="37" t="s">
        <v>142</v>
      </c>
      <c r="E277" s="37" t="s">
        <v>47</v>
      </c>
      <c r="F277" s="37" t="s">
        <v>96</v>
      </c>
      <c r="G277" s="37" t="s">
        <v>90</v>
      </c>
      <c r="H277" s="37" t="s">
        <v>111</v>
      </c>
      <c r="I277" s="37" t="n">
        <v>2</v>
      </c>
      <c r="J277" s="39" t="n">
        <v>2499</v>
      </c>
      <c r="K277" s="40" t="n">
        <v>0.05</v>
      </c>
      <c r="L277" s="39" t="n">
        <f aca="false">VLOOKUP(H277,'Product List'!$A$3:$D$18,4,FALSE())</f>
        <v>1950</v>
      </c>
      <c r="M277" s="39" t="n">
        <f aca="false">I277*J277*(1-K277)</f>
        <v>4748.1</v>
      </c>
      <c r="N277" s="39" t="n">
        <f aca="false">I277*L277</f>
        <v>3900</v>
      </c>
      <c r="O277" s="39" t="n">
        <f aca="false">M277-N277</f>
        <v>848.1</v>
      </c>
      <c r="P277" s="41" t="n">
        <f aca="false">IF(M277=0,0,O277/M277)</f>
        <v>0.178618815947432</v>
      </c>
      <c r="Q277" s="37" t="str">
        <f aca="false">IF(K277=0,"No discount",IF(K277&lt;=0.1,"1-10%",IF(K277&lt;=0.2,"11-20%",IF(K277&lt;=0.3,"21-30%","Above 30%"))))</f>
        <v>1-10%</v>
      </c>
      <c r="R277" s="39" t="n">
        <f aca="false">I277*J277*MAX(0,K277-DiscountCap)</f>
        <v>0</v>
      </c>
    </row>
    <row r="278" customFormat="false" ht="15" hidden="false" customHeight="false" outlineLevel="0" collapsed="false">
      <c r="A278" s="37" t="s">
        <v>422</v>
      </c>
      <c r="B278" s="38" t="n">
        <v>45763</v>
      </c>
      <c r="C278" s="37" t="n">
        <f aca="false">MONTH(B278)</f>
        <v>4</v>
      </c>
      <c r="D278" s="37" t="s">
        <v>146</v>
      </c>
      <c r="E278" s="37" t="s">
        <v>45</v>
      </c>
      <c r="F278" s="37" t="s">
        <v>96</v>
      </c>
      <c r="G278" s="37" t="s">
        <v>90</v>
      </c>
      <c r="H278" s="37" t="s">
        <v>109</v>
      </c>
      <c r="I278" s="37" t="n">
        <v>1</v>
      </c>
      <c r="J278" s="39" t="n">
        <v>3499</v>
      </c>
      <c r="K278" s="40" t="n">
        <v>0</v>
      </c>
      <c r="L278" s="39" t="n">
        <f aca="false">VLOOKUP(H278,'Product List'!$A$3:$D$18,4,FALSE())</f>
        <v>2750</v>
      </c>
      <c r="M278" s="39" t="n">
        <f aca="false">I278*J278*(1-K278)</f>
        <v>3499</v>
      </c>
      <c r="N278" s="39" t="n">
        <f aca="false">I278*L278</f>
        <v>2750</v>
      </c>
      <c r="O278" s="39" t="n">
        <f aca="false">M278-N278</f>
        <v>749</v>
      </c>
      <c r="P278" s="41" t="n">
        <f aca="false">IF(M278=0,0,O278/M278)</f>
        <v>0.214061160331523</v>
      </c>
      <c r="Q278" s="37" t="str">
        <f aca="false">IF(K278=0,"No discount",IF(K278&lt;=0.1,"1-10%",IF(K278&lt;=0.2,"11-20%",IF(K278&lt;=0.3,"21-30%","Above 30%"))))</f>
        <v>No discount</v>
      </c>
      <c r="R278" s="39" t="n">
        <f aca="false">I278*J278*MAX(0,K278-DiscountCap)</f>
        <v>0</v>
      </c>
    </row>
    <row r="279" customFormat="false" ht="15" hidden="false" customHeight="false" outlineLevel="0" collapsed="false">
      <c r="A279" s="37" t="s">
        <v>423</v>
      </c>
      <c r="B279" s="38" t="n">
        <v>45764</v>
      </c>
      <c r="C279" s="37" t="n">
        <f aca="false">MONTH(B279)</f>
        <v>4</v>
      </c>
      <c r="D279" s="37" t="s">
        <v>166</v>
      </c>
      <c r="E279" s="37" t="s">
        <v>44</v>
      </c>
      <c r="F279" s="37" t="s">
        <v>96</v>
      </c>
      <c r="G279" s="37" t="s">
        <v>92</v>
      </c>
      <c r="H279" s="37" t="s">
        <v>115</v>
      </c>
      <c r="I279" s="37" t="n">
        <v>3</v>
      </c>
      <c r="J279" s="39" t="n">
        <v>1799</v>
      </c>
      <c r="K279" s="40" t="n">
        <v>0.25</v>
      </c>
      <c r="L279" s="39" t="n">
        <f aca="false">VLOOKUP(H279,'Product List'!$A$3:$D$18,4,FALSE())</f>
        <v>1150</v>
      </c>
      <c r="M279" s="39" t="n">
        <f aca="false">I279*J279*(1-K279)</f>
        <v>4047.75</v>
      </c>
      <c r="N279" s="39" t="n">
        <f aca="false">I279*L279</f>
        <v>3450</v>
      </c>
      <c r="O279" s="39" t="n">
        <f aca="false">M279-N279</f>
        <v>597.75</v>
      </c>
      <c r="P279" s="41" t="n">
        <f aca="false">IF(M279=0,0,O279/M279)</f>
        <v>0.147674634055957</v>
      </c>
      <c r="Q279" s="37" t="str">
        <f aca="false">IF(K279=0,"No discount",IF(K279&lt;=0.1,"1-10%",IF(K279&lt;=0.2,"11-20%",IF(K279&lt;=0.3,"21-30%","Above 30%"))))</f>
        <v>21-30%</v>
      </c>
      <c r="R279" s="39" t="n">
        <f aca="false">I279*J279*MAX(0,K279-DiscountCap)</f>
        <v>269.85</v>
      </c>
    </row>
    <row r="280" customFormat="false" ht="15" hidden="false" customHeight="false" outlineLevel="0" collapsed="false">
      <c r="A280" s="37" t="s">
        <v>424</v>
      </c>
      <c r="B280" s="38" t="n">
        <v>45759</v>
      </c>
      <c r="C280" s="37" t="n">
        <f aca="false">MONTH(B280)</f>
        <v>4</v>
      </c>
      <c r="D280" s="37" t="s">
        <v>172</v>
      </c>
      <c r="E280" s="37" t="s">
        <v>46</v>
      </c>
      <c r="F280" s="37" t="s">
        <v>96</v>
      </c>
      <c r="G280" s="37" t="s">
        <v>92</v>
      </c>
      <c r="H280" s="37" t="s">
        <v>113</v>
      </c>
      <c r="I280" s="37" t="n">
        <v>1</v>
      </c>
      <c r="J280" s="39" t="n">
        <v>2199</v>
      </c>
      <c r="K280" s="40" t="n">
        <v>0.15</v>
      </c>
      <c r="L280" s="39" t="n">
        <f aca="false">VLOOKUP(H280,'Product List'!$A$3:$D$18,4,FALSE())</f>
        <v>1400</v>
      </c>
      <c r="M280" s="39" t="n">
        <f aca="false">I280*J280*(1-K280)</f>
        <v>1869.15</v>
      </c>
      <c r="N280" s="39" t="n">
        <f aca="false">I280*L280</f>
        <v>1400</v>
      </c>
      <c r="O280" s="39" t="n">
        <f aca="false">M280-N280</f>
        <v>469.15</v>
      </c>
      <c r="P280" s="41" t="n">
        <f aca="false">IF(M280=0,0,O280/M280)</f>
        <v>0.250996442233101</v>
      </c>
      <c r="Q280" s="37" t="str">
        <f aca="false">IF(K280=0,"No discount",IF(K280&lt;=0.1,"1-10%",IF(K280&lt;=0.2,"11-20%",IF(K280&lt;=0.3,"21-30%","Above 30%"))))</f>
        <v>11-20%</v>
      </c>
      <c r="R280" s="39" t="n">
        <f aca="false">I280*J280*MAX(0,K280-DiscountCap)</f>
        <v>0</v>
      </c>
    </row>
    <row r="281" customFormat="false" ht="15" hidden="false" customHeight="false" outlineLevel="0" collapsed="false">
      <c r="A281" s="37" t="s">
        <v>425</v>
      </c>
      <c r="B281" s="38" t="n">
        <v>45778</v>
      </c>
      <c r="C281" s="37" t="n">
        <f aca="false">MONTH(B281)</f>
        <v>5</v>
      </c>
      <c r="D281" s="37" t="s">
        <v>136</v>
      </c>
      <c r="E281" s="37" t="s">
        <v>47</v>
      </c>
      <c r="F281" s="37" t="s">
        <v>97</v>
      </c>
      <c r="G281" s="37" t="s">
        <v>90</v>
      </c>
      <c r="H281" s="37" t="s">
        <v>110</v>
      </c>
      <c r="I281" s="37" t="n">
        <v>1</v>
      </c>
      <c r="J281" s="39" t="n">
        <v>1299</v>
      </c>
      <c r="K281" s="40" t="n">
        <v>0.1</v>
      </c>
      <c r="L281" s="39" t="n">
        <f aca="false">VLOOKUP(H281,'Product List'!$A$3:$D$18,4,FALSE())</f>
        <v>1000</v>
      </c>
      <c r="M281" s="39" t="n">
        <f aca="false">I281*J281*(1-K281)</f>
        <v>1169.1</v>
      </c>
      <c r="N281" s="39" t="n">
        <f aca="false">I281*L281</f>
        <v>1000</v>
      </c>
      <c r="O281" s="39" t="n">
        <f aca="false">M281-N281</f>
        <v>169.1</v>
      </c>
      <c r="P281" s="41" t="n">
        <f aca="false">IF(M281=0,0,O281/M281)</f>
        <v>0.144641176973741</v>
      </c>
      <c r="Q281" s="37" t="str">
        <f aca="false">IF(K281=0,"No discount",IF(K281&lt;=0.1,"1-10%",IF(K281&lt;=0.2,"11-20%",IF(K281&lt;=0.3,"21-30%","Above 30%"))))</f>
        <v>1-10%</v>
      </c>
      <c r="R281" s="39" t="n">
        <f aca="false">I281*J281*MAX(0,K281-DiscountCap)</f>
        <v>0</v>
      </c>
    </row>
    <row r="282" customFormat="false" ht="15" hidden="false" customHeight="false" outlineLevel="0" collapsed="false">
      <c r="A282" s="37" t="s">
        <v>426</v>
      </c>
      <c r="B282" s="38" t="n">
        <v>45785</v>
      </c>
      <c r="C282" s="37" t="n">
        <f aca="false">MONTH(B282)</f>
        <v>5</v>
      </c>
      <c r="D282" s="37" t="s">
        <v>140</v>
      </c>
      <c r="E282" s="37" t="s">
        <v>44</v>
      </c>
      <c r="F282" s="37" t="s">
        <v>97</v>
      </c>
      <c r="G282" s="37" t="s">
        <v>93</v>
      </c>
      <c r="H282" s="37" t="s">
        <v>123</v>
      </c>
      <c r="I282" s="37" t="n">
        <v>1</v>
      </c>
      <c r="J282" s="39" t="n">
        <v>1299</v>
      </c>
      <c r="K282" s="40" t="n">
        <v>0.05</v>
      </c>
      <c r="L282" s="39" t="n">
        <f aca="false">VLOOKUP(H282,'Product List'!$A$3:$D$18,4,FALSE())</f>
        <v>700</v>
      </c>
      <c r="M282" s="39" t="n">
        <f aca="false">I282*J282*(1-K282)</f>
        <v>1234.05</v>
      </c>
      <c r="N282" s="39" t="n">
        <f aca="false">I282*L282</f>
        <v>700</v>
      </c>
      <c r="O282" s="39" t="n">
        <f aca="false">M282-N282</f>
        <v>534.05</v>
      </c>
      <c r="P282" s="41" t="n">
        <f aca="false">IF(M282=0,0,O282/M282)</f>
        <v>0.432762043677323</v>
      </c>
      <c r="Q282" s="37" t="str">
        <f aca="false">IF(K282=0,"No discount",IF(K282&lt;=0.1,"1-10%",IF(K282&lt;=0.2,"11-20%",IF(K282&lt;=0.3,"21-30%","Above 30%"))))</f>
        <v>1-10%</v>
      </c>
      <c r="R282" s="39" t="n">
        <f aca="false">I282*J282*MAX(0,K282-DiscountCap)</f>
        <v>0</v>
      </c>
    </row>
    <row r="283" customFormat="false" ht="15" hidden="false" customHeight="false" outlineLevel="0" collapsed="false">
      <c r="A283" s="37" t="s">
        <v>427</v>
      </c>
      <c r="B283" s="38" t="n">
        <v>45800</v>
      </c>
      <c r="C283" s="37" t="n">
        <f aca="false">MONTH(B283)</f>
        <v>5</v>
      </c>
      <c r="D283" s="37" t="s">
        <v>142</v>
      </c>
      <c r="E283" s="37" t="s">
        <v>47</v>
      </c>
      <c r="F283" s="37" t="s">
        <v>97</v>
      </c>
      <c r="G283" s="37" t="s">
        <v>90</v>
      </c>
      <c r="H283" s="37" t="s">
        <v>110</v>
      </c>
      <c r="I283" s="37" t="n">
        <v>1</v>
      </c>
      <c r="J283" s="39" t="n">
        <v>1299</v>
      </c>
      <c r="K283" s="40" t="n">
        <v>0.05</v>
      </c>
      <c r="L283" s="39" t="n">
        <f aca="false">VLOOKUP(H283,'Product List'!$A$3:$D$18,4,FALSE())</f>
        <v>1000</v>
      </c>
      <c r="M283" s="39" t="n">
        <f aca="false">I283*J283*(1-K283)</f>
        <v>1234.05</v>
      </c>
      <c r="N283" s="39" t="n">
        <f aca="false">I283*L283</f>
        <v>1000</v>
      </c>
      <c r="O283" s="39" t="n">
        <f aca="false">M283-N283</f>
        <v>234.05</v>
      </c>
      <c r="P283" s="41" t="n">
        <f aca="false">IF(M283=0,0,O283/M283)</f>
        <v>0.189660062396175</v>
      </c>
      <c r="Q283" s="37" t="str">
        <f aca="false">IF(K283=0,"No discount",IF(K283&lt;=0.1,"1-10%",IF(K283&lt;=0.2,"11-20%",IF(K283&lt;=0.3,"21-30%","Above 30%"))))</f>
        <v>1-10%</v>
      </c>
      <c r="R283" s="39" t="n">
        <f aca="false">I283*J283*MAX(0,K283-DiscountCap)</f>
        <v>0</v>
      </c>
    </row>
    <row r="284" customFormat="false" ht="15" hidden="false" customHeight="false" outlineLevel="0" collapsed="false">
      <c r="A284" s="37" t="s">
        <v>428</v>
      </c>
      <c r="B284" s="38" t="n">
        <v>45799</v>
      </c>
      <c r="C284" s="37" t="n">
        <f aca="false">MONTH(B284)</f>
        <v>5</v>
      </c>
      <c r="D284" s="37" t="s">
        <v>160</v>
      </c>
      <c r="E284" s="37" t="s">
        <v>46</v>
      </c>
      <c r="F284" s="37" t="s">
        <v>97</v>
      </c>
      <c r="G284" s="37" t="s">
        <v>93</v>
      </c>
      <c r="H284" s="37" t="s">
        <v>120</v>
      </c>
      <c r="I284" s="37" t="n">
        <v>2</v>
      </c>
      <c r="J284" s="39" t="n">
        <v>449</v>
      </c>
      <c r="K284" s="40" t="n">
        <v>0</v>
      </c>
      <c r="L284" s="39" t="n">
        <f aca="false">VLOOKUP(H284,'Product List'!$A$3:$D$18,4,FALSE())</f>
        <v>240</v>
      </c>
      <c r="M284" s="39" t="n">
        <f aca="false">I284*J284*(1-K284)</f>
        <v>898</v>
      </c>
      <c r="N284" s="39" t="n">
        <f aca="false">I284*L284</f>
        <v>480</v>
      </c>
      <c r="O284" s="39" t="n">
        <f aca="false">M284-N284</f>
        <v>418</v>
      </c>
      <c r="P284" s="41" t="n">
        <f aca="false">IF(M284=0,0,O284/M284)</f>
        <v>0.465478841870824</v>
      </c>
      <c r="Q284" s="37" t="str">
        <f aca="false">IF(K284=0,"No discount",IF(K284&lt;=0.1,"1-10%",IF(K284&lt;=0.2,"11-20%",IF(K284&lt;=0.3,"21-30%","Above 30%"))))</f>
        <v>No discount</v>
      </c>
      <c r="R284" s="39" t="n">
        <f aca="false">I284*J284*MAX(0,K284-DiscountCap)</f>
        <v>0</v>
      </c>
    </row>
    <row r="285" customFormat="false" ht="15" hidden="false" customHeight="false" outlineLevel="0" collapsed="false">
      <c r="A285" s="37" t="s">
        <v>429</v>
      </c>
      <c r="B285" s="38" t="n">
        <v>45803</v>
      </c>
      <c r="C285" s="37" t="n">
        <f aca="false">MONTH(B285)</f>
        <v>5</v>
      </c>
      <c r="D285" s="37" t="s">
        <v>140</v>
      </c>
      <c r="E285" s="37" t="s">
        <v>44</v>
      </c>
      <c r="F285" s="37" t="s">
        <v>96</v>
      </c>
      <c r="G285" s="37" t="s">
        <v>93</v>
      </c>
      <c r="H285" s="37" t="s">
        <v>120</v>
      </c>
      <c r="I285" s="37" t="n">
        <v>1</v>
      </c>
      <c r="J285" s="39" t="n">
        <v>449</v>
      </c>
      <c r="K285" s="40" t="n">
        <v>0.15</v>
      </c>
      <c r="L285" s="39" t="n">
        <f aca="false">VLOOKUP(H285,'Product List'!$A$3:$D$18,4,FALSE())</f>
        <v>240</v>
      </c>
      <c r="M285" s="39" t="n">
        <f aca="false">I285*J285*(1-K285)</f>
        <v>381.65</v>
      </c>
      <c r="N285" s="39" t="n">
        <f aca="false">I285*L285</f>
        <v>240</v>
      </c>
      <c r="O285" s="39" t="n">
        <f aca="false">M285-N285</f>
        <v>141.65</v>
      </c>
      <c r="P285" s="41" t="n">
        <f aca="false">IF(M285=0,0,O285/M285)</f>
        <v>0.371151578671558</v>
      </c>
      <c r="Q285" s="37" t="str">
        <f aca="false">IF(K285=0,"No discount",IF(K285&lt;=0.1,"1-10%",IF(K285&lt;=0.2,"11-20%",IF(K285&lt;=0.3,"21-30%","Above 30%"))))</f>
        <v>11-20%</v>
      </c>
      <c r="R285" s="39" t="n">
        <f aca="false">I285*J285*MAX(0,K285-DiscountCap)</f>
        <v>0</v>
      </c>
    </row>
    <row r="286" customFormat="false" ht="15" hidden="false" customHeight="false" outlineLevel="0" collapsed="false">
      <c r="A286" s="37" t="s">
        <v>430</v>
      </c>
      <c r="B286" s="38" t="n">
        <v>45778</v>
      </c>
      <c r="C286" s="37" t="n">
        <f aca="false">MONTH(B286)</f>
        <v>5</v>
      </c>
      <c r="D286" s="37" t="s">
        <v>166</v>
      </c>
      <c r="E286" s="37" t="s">
        <v>44</v>
      </c>
      <c r="F286" s="37" t="s">
        <v>96</v>
      </c>
      <c r="G286" s="37" t="s">
        <v>90</v>
      </c>
      <c r="H286" s="37" t="s">
        <v>108</v>
      </c>
      <c r="I286" s="37" t="n">
        <v>1</v>
      </c>
      <c r="J286" s="39" t="n">
        <v>1999</v>
      </c>
      <c r="K286" s="40" t="n">
        <v>0</v>
      </c>
      <c r="L286" s="39" t="n">
        <f aca="false">VLOOKUP(H286,'Product List'!$A$3:$D$18,4,FALSE())</f>
        <v>1560</v>
      </c>
      <c r="M286" s="39" t="n">
        <f aca="false">I286*J286*(1-K286)</f>
        <v>1999</v>
      </c>
      <c r="N286" s="39" t="n">
        <f aca="false">I286*L286</f>
        <v>1560</v>
      </c>
      <c r="O286" s="39" t="n">
        <f aca="false">M286-N286</f>
        <v>439</v>
      </c>
      <c r="P286" s="41" t="n">
        <f aca="false">IF(M286=0,0,O286/M286)</f>
        <v>0.219609804902451</v>
      </c>
      <c r="Q286" s="37" t="str">
        <f aca="false">IF(K286=0,"No discount",IF(K286&lt;=0.1,"1-10%",IF(K286&lt;=0.2,"11-20%",IF(K286&lt;=0.3,"21-30%","Above 30%"))))</f>
        <v>No discount</v>
      </c>
      <c r="R286" s="39" t="n">
        <f aca="false">I286*J286*MAX(0,K286-DiscountCap)</f>
        <v>0</v>
      </c>
    </row>
    <row r="287" customFormat="false" ht="15" hidden="false" customHeight="false" outlineLevel="0" collapsed="false">
      <c r="A287" s="37" t="s">
        <v>431</v>
      </c>
      <c r="B287" s="38" t="n">
        <v>45788</v>
      </c>
      <c r="C287" s="37" t="n">
        <f aca="false">MONTH(B287)</f>
        <v>5</v>
      </c>
      <c r="D287" s="37" t="s">
        <v>169</v>
      </c>
      <c r="E287" s="37" t="s">
        <v>44</v>
      </c>
      <c r="F287" s="37" t="s">
        <v>96</v>
      </c>
      <c r="G287" s="37" t="s">
        <v>92</v>
      </c>
      <c r="H287" s="37" t="s">
        <v>115</v>
      </c>
      <c r="I287" s="37" t="n">
        <v>1</v>
      </c>
      <c r="J287" s="39" t="n">
        <v>1799</v>
      </c>
      <c r="K287" s="40" t="n">
        <v>0.2</v>
      </c>
      <c r="L287" s="39" t="n">
        <f aca="false">VLOOKUP(H287,'Product List'!$A$3:$D$18,4,FALSE())</f>
        <v>1150</v>
      </c>
      <c r="M287" s="39" t="n">
        <f aca="false">I287*J287*(1-K287)</f>
        <v>1439.2</v>
      </c>
      <c r="N287" s="39" t="n">
        <f aca="false">I287*L287</f>
        <v>1150</v>
      </c>
      <c r="O287" s="39" t="n">
        <f aca="false">M287-N287</f>
        <v>289.2</v>
      </c>
      <c r="P287" s="41" t="n">
        <f aca="false">IF(M287=0,0,O287/M287)</f>
        <v>0.20094496942746</v>
      </c>
      <c r="Q287" s="37" t="str">
        <f aca="false">IF(K287=0,"No discount",IF(K287&lt;=0.1,"1-10%",IF(K287&lt;=0.2,"11-20%",IF(K287&lt;=0.3,"21-30%","Above 30%"))))</f>
        <v>11-20%</v>
      </c>
      <c r="R287" s="39" t="n">
        <f aca="false">I287*J287*MAX(0,K287-DiscountCap)</f>
        <v>0</v>
      </c>
    </row>
    <row r="288" customFormat="false" ht="15" hidden="false" customHeight="false" outlineLevel="0" collapsed="false">
      <c r="A288" s="37" t="s">
        <v>432</v>
      </c>
      <c r="B288" s="38" t="n">
        <v>45781</v>
      </c>
      <c r="C288" s="37" t="n">
        <f aca="false">MONTH(B288)</f>
        <v>5</v>
      </c>
      <c r="D288" s="37" t="s">
        <v>134</v>
      </c>
      <c r="E288" s="37" t="s">
        <v>45</v>
      </c>
      <c r="F288" s="37" t="s">
        <v>97</v>
      </c>
      <c r="G288" s="37" t="s">
        <v>93</v>
      </c>
      <c r="H288" s="37" t="s">
        <v>120</v>
      </c>
      <c r="I288" s="37" t="n">
        <v>1</v>
      </c>
      <c r="J288" s="39" t="n">
        <v>449</v>
      </c>
      <c r="K288" s="40" t="n">
        <v>0</v>
      </c>
      <c r="L288" s="39" t="n">
        <f aca="false">VLOOKUP(H288,'Product List'!$A$3:$D$18,4,FALSE())</f>
        <v>240</v>
      </c>
      <c r="M288" s="39" t="n">
        <f aca="false">I288*J288*(1-K288)</f>
        <v>449</v>
      </c>
      <c r="N288" s="39" t="n">
        <f aca="false">I288*L288</f>
        <v>240</v>
      </c>
      <c r="O288" s="39" t="n">
        <f aca="false">M288-N288</f>
        <v>209</v>
      </c>
      <c r="P288" s="41" t="n">
        <f aca="false">IF(M288=0,0,O288/M288)</f>
        <v>0.465478841870824</v>
      </c>
      <c r="Q288" s="37" t="str">
        <f aca="false">IF(K288=0,"No discount",IF(K288&lt;=0.1,"1-10%",IF(K288&lt;=0.2,"11-20%",IF(K288&lt;=0.3,"21-30%","Above 30%"))))</f>
        <v>No discount</v>
      </c>
      <c r="R288" s="39" t="n">
        <f aca="false">I288*J288*MAX(0,K288-DiscountCap)</f>
        <v>0</v>
      </c>
    </row>
    <row r="289" customFormat="false" ht="15" hidden="false" customHeight="false" outlineLevel="0" collapsed="false">
      <c r="A289" s="37" t="s">
        <v>433</v>
      </c>
      <c r="B289" s="38" t="n">
        <v>45807</v>
      </c>
      <c r="C289" s="37" t="n">
        <f aca="false">MONTH(B289)</f>
        <v>5</v>
      </c>
      <c r="D289" s="37" t="s">
        <v>140</v>
      </c>
      <c r="E289" s="37" t="s">
        <v>44</v>
      </c>
      <c r="F289" s="37" t="s">
        <v>96</v>
      </c>
      <c r="G289" s="37" t="s">
        <v>93</v>
      </c>
      <c r="H289" s="37" t="s">
        <v>121</v>
      </c>
      <c r="I289" s="37" t="n">
        <v>3</v>
      </c>
      <c r="J289" s="39" t="n">
        <v>999</v>
      </c>
      <c r="K289" s="40" t="n">
        <v>0.1</v>
      </c>
      <c r="L289" s="39" t="n">
        <f aca="false">VLOOKUP(H289,'Product List'!$A$3:$D$18,4,FALSE())</f>
        <v>500</v>
      </c>
      <c r="M289" s="39" t="n">
        <f aca="false">I289*J289*(1-K289)</f>
        <v>2697.3</v>
      </c>
      <c r="N289" s="39" t="n">
        <f aca="false">I289*L289</f>
        <v>1500</v>
      </c>
      <c r="O289" s="39" t="n">
        <f aca="false">M289-N289</f>
        <v>1197.3</v>
      </c>
      <c r="P289" s="41" t="n">
        <f aca="false">IF(M289=0,0,O289/M289)</f>
        <v>0.443888332777222</v>
      </c>
      <c r="Q289" s="37" t="str">
        <f aca="false">IF(K289=0,"No discount",IF(K289&lt;=0.1,"1-10%",IF(K289&lt;=0.2,"11-20%",IF(K289&lt;=0.3,"21-30%","Above 30%"))))</f>
        <v>1-10%</v>
      </c>
      <c r="R289" s="39" t="n">
        <f aca="false">I289*J289*MAX(0,K289-DiscountCap)</f>
        <v>0</v>
      </c>
    </row>
    <row r="290" customFormat="false" ht="15" hidden="false" customHeight="false" outlineLevel="0" collapsed="false">
      <c r="A290" s="37" t="s">
        <v>434</v>
      </c>
      <c r="B290" s="38" t="n">
        <v>45797</v>
      </c>
      <c r="C290" s="37" t="n">
        <f aca="false">MONTH(B290)</f>
        <v>5</v>
      </c>
      <c r="D290" s="37" t="s">
        <v>140</v>
      </c>
      <c r="E290" s="37" t="s">
        <v>44</v>
      </c>
      <c r="F290" s="37" t="s">
        <v>96</v>
      </c>
      <c r="G290" s="37" t="s">
        <v>91</v>
      </c>
      <c r="H290" s="37" t="s">
        <v>118</v>
      </c>
      <c r="I290" s="37" t="n">
        <v>4</v>
      </c>
      <c r="J290" s="39" t="n">
        <v>2299</v>
      </c>
      <c r="K290" s="40" t="n">
        <v>0.05</v>
      </c>
      <c r="L290" s="39" t="n">
        <f aca="false">VLOOKUP(H290,'Product List'!$A$3:$D$18,4,FALSE())</f>
        <v>1300</v>
      </c>
      <c r="M290" s="39" t="n">
        <f aca="false">I290*J290*(1-K290)</f>
        <v>8736.2</v>
      </c>
      <c r="N290" s="39" t="n">
        <f aca="false">I290*L290</f>
        <v>5200</v>
      </c>
      <c r="O290" s="39" t="n">
        <f aca="false">M290-N290</f>
        <v>3536.2</v>
      </c>
      <c r="P290" s="41" t="n">
        <f aca="false">IF(M290=0,0,O290/M290)</f>
        <v>0.404775531695703</v>
      </c>
      <c r="Q290" s="37" t="str">
        <f aca="false">IF(K290=0,"No discount",IF(K290&lt;=0.1,"1-10%",IF(K290&lt;=0.2,"11-20%",IF(K290&lt;=0.3,"21-30%","Above 30%"))))</f>
        <v>1-10%</v>
      </c>
      <c r="R290" s="39" t="n">
        <f aca="false">I290*J290*MAX(0,K290-DiscountCap)</f>
        <v>0</v>
      </c>
    </row>
    <row r="291" customFormat="false" ht="15" hidden="false" customHeight="false" outlineLevel="0" collapsed="false">
      <c r="A291" s="37" t="s">
        <v>435</v>
      </c>
      <c r="B291" s="38" t="n">
        <v>45786</v>
      </c>
      <c r="C291" s="37" t="n">
        <f aca="false">MONTH(B291)</f>
        <v>5</v>
      </c>
      <c r="D291" s="37" t="s">
        <v>144</v>
      </c>
      <c r="E291" s="37" t="s">
        <v>45</v>
      </c>
      <c r="F291" s="37" t="s">
        <v>97</v>
      </c>
      <c r="G291" s="37" t="s">
        <v>90</v>
      </c>
      <c r="H291" s="37" t="s">
        <v>108</v>
      </c>
      <c r="I291" s="37" t="n">
        <v>2</v>
      </c>
      <c r="J291" s="39" t="n">
        <v>1999</v>
      </c>
      <c r="K291" s="40" t="n">
        <v>0.15</v>
      </c>
      <c r="L291" s="39" t="n">
        <f aca="false">VLOOKUP(H291,'Product List'!$A$3:$D$18,4,FALSE())</f>
        <v>1560</v>
      </c>
      <c r="M291" s="39" t="n">
        <f aca="false">I291*J291*(1-K291)</f>
        <v>3398.3</v>
      </c>
      <c r="N291" s="39" t="n">
        <f aca="false">I291*L291</f>
        <v>3120</v>
      </c>
      <c r="O291" s="39" t="n">
        <f aca="false">M291-N291</f>
        <v>278.3</v>
      </c>
      <c r="P291" s="41" t="n">
        <f aca="false">IF(M291=0,0,O291/M291)</f>
        <v>0.0818938881205308</v>
      </c>
      <c r="Q291" s="37" t="str">
        <f aca="false">IF(K291=0,"No discount",IF(K291&lt;=0.1,"1-10%",IF(K291&lt;=0.2,"11-20%",IF(K291&lt;=0.3,"21-30%","Above 30%"))))</f>
        <v>11-20%</v>
      </c>
      <c r="R291" s="39" t="n">
        <f aca="false">I291*J291*MAX(0,K291-DiscountCap)</f>
        <v>0</v>
      </c>
    </row>
    <row r="292" customFormat="false" ht="15" hidden="false" customHeight="false" outlineLevel="0" collapsed="false">
      <c r="A292" s="37" t="s">
        <v>436</v>
      </c>
      <c r="B292" s="38" t="n">
        <v>45787</v>
      </c>
      <c r="C292" s="37" t="n">
        <f aca="false">MONTH(B292)</f>
        <v>5</v>
      </c>
      <c r="D292" s="37" t="s">
        <v>142</v>
      </c>
      <c r="E292" s="37" t="s">
        <v>47</v>
      </c>
      <c r="F292" s="37" t="s">
        <v>96</v>
      </c>
      <c r="G292" s="37" t="s">
        <v>93</v>
      </c>
      <c r="H292" s="37" t="s">
        <v>122</v>
      </c>
      <c r="I292" s="37" t="n">
        <v>1</v>
      </c>
      <c r="J292" s="39" t="n">
        <v>1799</v>
      </c>
      <c r="K292" s="40" t="n">
        <v>0.2</v>
      </c>
      <c r="L292" s="39" t="n">
        <f aca="false">VLOOKUP(H292,'Product List'!$A$3:$D$18,4,FALSE())</f>
        <v>1250</v>
      </c>
      <c r="M292" s="39" t="n">
        <f aca="false">I292*J292*(1-K292)</f>
        <v>1439.2</v>
      </c>
      <c r="N292" s="39" t="n">
        <f aca="false">I292*L292</f>
        <v>1250</v>
      </c>
      <c r="O292" s="39" t="n">
        <f aca="false">M292-N292</f>
        <v>189.2</v>
      </c>
      <c r="P292" s="41" t="n">
        <f aca="false">IF(M292=0,0,O292/M292)</f>
        <v>0.131461923290717</v>
      </c>
      <c r="Q292" s="37" t="str">
        <f aca="false">IF(K292=0,"No discount",IF(K292&lt;=0.1,"1-10%",IF(K292&lt;=0.2,"11-20%",IF(K292&lt;=0.3,"21-30%","Above 30%"))))</f>
        <v>11-20%</v>
      </c>
      <c r="R292" s="39" t="n">
        <f aca="false">I292*J292*MAX(0,K292-DiscountCap)</f>
        <v>0</v>
      </c>
    </row>
    <row r="293" customFormat="false" ht="15" hidden="false" customHeight="false" outlineLevel="0" collapsed="false">
      <c r="A293" s="37" t="s">
        <v>437</v>
      </c>
      <c r="B293" s="38" t="n">
        <v>45796</v>
      </c>
      <c r="C293" s="37" t="n">
        <f aca="false">MONTH(B293)</f>
        <v>5</v>
      </c>
      <c r="D293" s="37" t="s">
        <v>172</v>
      </c>
      <c r="E293" s="37" t="s">
        <v>46</v>
      </c>
      <c r="F293" s="37" t="s">
        <v>96</v>
      </c>
      <c r="G293" s="37" t="s">
        <v>92</v>
      </c>
      <c r="H293" s="37" t="s">
        <v>114</v>
      </c>
      <c r="I293" s="37" t="n">
        <v>1</v>
      </c>
      <c r="J293" s="39" t="n">
        <v>1199</v>
      </c>
      <c r="K293" s="40" t="n">
        <v>0.1</v>
      </c>
      <c r="L293" s="39" t="n">
        <f aca="false">VLOOKUP(H293,'Product List'!$A$3:$D$18,4,FALSE())</f>
        <v>780</v>
      </c>
      <c r="M293" s="39" t="n">
        <f aca="false">I293*J293*(1-K293)</f>
        <v>1079.1</v>
      </c>
      <c r="N293" s="39" t="n">
        <f aca="false">I293*L293</f>
        <v>780</v>
      </c>
      <c r="O293" s="39" t="n">
        <f aca="false">M293-N293</f>
        <v>299.1</v>
      </c>
      <c r="P293" s="41" t="n">
        <f aca="false">IF(M293=0,0,O293/M293)</f>
        <v>0.277175423964415</v>
      </c>
      <c r="Q293" s="37" t="str">
        <f aca="false">IF(K293=0,"No discount",IF(K293&lt;=0.1,"1-10%",IF(K293&lt;=0.2,"11-20%",IF(K293&lt;=0.3,"21-30%","Above 30%"))))</f>
        <v>1-10%</v>
      </c>
      <c r="R293" s="39" t="n">
        <f aca="false">I293*J293*MAX(0,K293-DiscountCap)</f>
        <v>0</v>
      </c>
    </row>
    <row r="294" customFormat="false" ht="15" hidden="false" customHeight="false" outlineLevel="0" collapsed="false">
      <c r="A294" s="37" t="s">
        <v>438</v>
      </c>
      <c r="B294" s="38" t="n">
        <v>45781</v>
      </c>
      <c r="C294" s="37" t="n">
        <f aca="false">MONTH(B294)</f>
        <v>5</v>
      </c>
      <c r="D294" s="37" t="s">
        <v>169</v>
      </c>
      <c r="E294" s="37" t="s">
        <v>44</v>
      </c>
      <c r="F294" s="37" t="s">
        <v>97</v>
      </c>
      <c r="G294" s="37" t="s">
        <v>93</v>
      </c>
      <c r="H294" s="37" t="s">
        <v>121</v>
      </c>
      <c r="I294" s="37" t="n">
        <v>2</v>
      </c>
      <c r="J294" s="39" t="n">
        <v>999</v>
      </c>
      <c r="K294" s="40" t="n">
        <v>0</v>
      </c>
      <c r="L294" s="39" t="n">
        <f aca="false">VLOOKUP(H294,'Product List'!$A$3:$D$18,4,FALSE())</f>
        <v>500</v>
      </c>
      <c r="M294" s="39" t="n">
        <f aca="false">I294*J294*(1-K294)</f>
        <v>1998</v>
      </c>
      <c r="N294" s="39" t="n">
        <f aca="false">I294*L294</f>
        <v>1000</v>
      </c>
      <c r="O294" s="39" t="n">
        <f aca="false">M294-N294</f>
        <v>998</v>
      </c>
      <c r="P294" s="41" t="n">
        <f aca="false">IF(M294=0,0,O294/M294)</f>
        <v>0.4994994994995</v>
      </c>
      <c r="Q294" s="37" t="str">
        <f aca="false">IF(K294=0,"No discount",IF(K294&lt;=0.1,"1-10%",IF(K294&lt;=0.2,"11-20%",IF(K294&lt;=0.3,"21-30%","Above 30%"))))</f>
        <v>No discount</v>
      </c>
      <c r="R294" s="39" t="n">
        <f aca="false">I294*J294*MAX(0,K294-DiscountCap)</f>
        <v>0</v>
      </c>
    </row>
    <row r="295" customFormat="false" ht="15" hidden="false" customHeight="false" outlineLevel="0" collapsed="false">
      <c r="A295" s="37" t="s">
        <v>439</v>
      </c>
      <c r="B295" s="38" t="n">
        <v>45795</v>
      </c>
      <c r="C295" s="37" t="n">
        <f aca="false">MONTH(B295)</f>
        <v>5</v>
      </c>
      <c r="D295" s="37" t="s">
        <v>146</v>
      </c>
      <c r="E295" s="37" t="s">
        <v>45</v>
      </c>
      <c r="F295" s="37" t="s">
        <v>96</v>
      </c>
      <c r="G295" s="37" t="s">
        <v>90</v>
      </c>
      <c r="H295" s="37" t="s">
        <v>110</v>
      </c>
      <c r="I295" s="37" t="n">
        <v>1</v>
      </c>
      <c r="J295" s="39" t="n">
        <v>1299</v>
      </c>
      <c r="K295" s="40" t="n">
        <v>0.25</v>
      </c>
      <c r="L295" s="39" t="n">
        <f aca="false">VLOOKUP(H295,'Product List'!$A$3:$D$18,4,FALSE())</f>
        <v>1000</v>
      </c>
      <c r="M295" s="39" t="n">
        <f aca="false">I295*J295*(1-K295)</f>
        <v>974.25</v>
      </c>
      <c r="N295" s="39" t="n">
        <f aca="false">I295*L295</f>
        <v>1000</v>
      </c>
      <c r="O295" s="39" t="n">
        <f aca="false">M295-N295</f>
        <v>-25.75</v>
      </c>
      <c r="P295" s="41" t="n">
        <f aca="false">IF(M295=0,0,O295/M295)</f>
        <v>-0.0264305876315114</v>
      </c>
      <c r="Q295" s="37" t="str">
        <f aca="false">IF(K295=0,"No discount",IF(K295&lt;=0.1,"1-10%",IF(K295&lt;=0.2,"11-20%",IF(K295&lt;=0.3,"21-30%","Above 30%"))))</f>
        <v>21-30%</v>
      </c>
      <c r="R295" s="39" t="n">
        <f aca="false">I295*J295*MAX(0,K295-DiscountCap)</f>
        <v>64.95</v>
      </c>
    </row>
    <row r="296" customFormat="false" ht="15" hidden="false" customHeight="false" outlineLevel="0" collapsed="false">
      <c r="A296" s="37" t="s">
        <v>440</v>
      </c>
      <c r="B296" s="38" t="n">
        <v>45796</v>
      </c>
      <c r="C296" s="37" t="n">
        <f aca="false">MONTH(B296)</f>
        <v>5</v>
      </c>
      <c r="D296" s="37" t="s">
        <v>146</v>
      </c>
      <c r="E296" s="37" t="s">
        <v>45</v>
      </c>
      <c r="F296" s="37" t="s">
        <v>96</v>
      </c>
      <c r="G296" s="37" t="s">
        <v>90</v>
      </c>
      <c r="H296" s="37" t="s">
        <v>110</v>
      </c>
      <c r="I296" s="37" t="n">
        <v>1</v>
      </c>
      <c r="J296" s="39" t="n">
        <v>1299</v>
      </c>
      <c r="K296" s="40" t="n">
        <v>0.15</v>
      </c>
      <c r="L296" s="39" t="n">
        <f aca="false">VLOOKUP(H296,'Product List'!$A$3:$D$18,4,FALSE())</f>
        <v>1000</v>
      </c>
      <c r="M296" s="39" t="n">
        <f aca="false">I296*J296*(1-K296)</f>
        <v>1104.15</v>
      </c>
      <c r="N296" s="39" t="n">
        <f aca="false">I296*L296</f>
        <v>1000</v>
      </c>
      <c r="O296" s="39" t="n">
        <f aca="false">M296-N296</f>
        <v>104.15</v>
      </c>
      <c r="P296" s="41" t="n">
        <f aca="false">IF(M296=0,0,O296/M296)</f>
        <v>0.0943259520898428</v>
      </c>
      <c r="Q296" s="37" t="str">
        <f aca="false">IF(K296=0,"No discount",IF(K296&lt;=0.1,"1-10%",IF(K296&lt;=0.2,"11-20%",IF(K296&lt;=0.3,"21-30%","Above 30%"))))</f>
        <v>11-20%</v>
      </c>
      <c r="R296" s="39" t="n">
        <f aca="false">I296*J296*MAX(0,K296-DiscountCap)</f>
        <v>0</v>
      </c>
    </row>
    <row r="297" customFormat="false" ht="15" hidden="false" customHeight="false" outlineLevel="0" collapsed="false">
      <c r="A297" s="37" t="s">
        <v>441</v>
      </c>
      <c r="B297" s="38" t="n">
        <v>45785</v>
      </c>
      <c r="C297" s="37" t="n">
        <f aca="false">MONTH(B297)</f>
        <v>5</v>
      </c>
      <c r="D297" s="37" t="s">
        <v>160</v>
      </c>
      <c r="E297" s="37" t="s">
        <v>46</v>
      </c>
      <c r="F297" s="37" t="s">
        <v>97</v>
      </c>
      <c r="G297" s="37" t="s">
        <v>90</v>
      </c>
      <c r="H297" s="37" t="s">
        <v>108</v>
      </c>
      <c r="I297" s="37" t="n">
        <v>1</v>
      </c>
      <c r="J297" s="39" t="n">
        <v>1999</v>
      </c>
      <c r="K297" s="40" t="n">
        <v>0.25</v>
      </c>
      <c r="L297" s="39" t="n">
        <f aca="false">VLOOKUP(H297,'Product List'!$A$3:$D$18,4,FALSE())</f>
        <v>1560</v>
      </c>
      <c r="M297" s="39" t="n">
        <f aca="false">I297*J297*(1-K297)</f>
        <v>1499.25</v>
      </c>
      <c r="N297" s="39" t="n">
        <f aca="false">I297*L297</f>
        <v>1560</v>
      </c>
      <c r="O297" s="39" t="n">
        <f aca="false">M297-N297</f>
        <v>-60.75</v>
      </c>
      <c r="P297" s="41" t="n">
        <f aca="false">IF(M297=0,0,O297/M297)</f>
        <v>-0.040520260130065</v>
      </c>
      <c r="Q297" s="37" t="str">
        <f aca="false">IF(K297=0,"No discount",IF(K297&lt;=0.1,"1-10%",IF(K297&lt;=0.2,"11-20%",IF(K297&lt;=0.3,"21-30%","Above 30%"))))</f>
        <v>21-30%</v>
      </c>
      <c r="R297" s="39" t="n">
        <f aca="false">I297*J297*MAX(0,K297-DiscountCap)</f>
        <v>99.95</v>
      </c>
    </row>
    <row r="298" customFormat="false" ht="15" hidden="false" customHeight="false" outlineLevel="0" collapsed="false">
      <c r="A298" s="37" t="s">
        <v>442</v>
      </c>
      <c r="B298" s="38" t="n">
        <v>45807</v>
      </c>
      <c r="C298" s="37" t="n">
        <f aca="false">MONTH(B298)</f>
        <v>5</v>
      </c>
      <c r="D298" s="37" t="s">
        <v>182</v>
      </c>
      <c r="E298" s="37" t="s">
        <v>47</v>
      </c>
      <c r="F298" s="37" t="s">
        <v>97</v>
      </c>
      <c r="G298" s="37" t="s">
        <v>91</v>
      </c>
      <c r="H298" s="37" t="s">
        <v>117</v>
      </c>
      <c r="I298" s="37" t="n">
        <v>1</v>
      </c>
      <c r="J298" s="39" t="n">
        <v>1499</v>
      </c>
      <c r="K298" s="40" t="n">
        <v>0</v>
      </c>
      <c r="L298" s="39" t="n">
        <f aca="false">VLOOKUP(H298,'Product List'!$A$3:$D$18,4,FALSE())</f>
        <v>780</v>
      </c>
      <c r="M298" s="39" t="n">
        <f aca="false">I298*J298*(1-K298)</f>
        <v>1499</v>
      </c>
      <c r="N298" s="39" t="n">
        <f aca="false">I298*L298</f>
        <v>780</v>
      </c>
      <c r="O298" s="39" t="n">
        <f aca="false">M298-N298</f>
        <v>719</v>
      </c>
      <c r="P298" s="41" t="n">
        <f aca="false">IF(M298=0,0,O298/M298)</f>
        <v>0.479653102068045</v>
      </c>
      <c r="Q298" s="37" t="str">
        <f aca="false">IF(K298=0,"No discount",IF(K298&lt;=0.1,"1-10%",IF(K298&lt;=0.2,"11-20%",IF(K298&lt;=0.3,"21-30%","Above 30%"))))</f>
        <v>No discount</v>
      </c>
      <c r="R298" s="39" t="n">
        <f aca="false">I298*J298*MAX(0,K298-DiscountCap)</f>
        <v>0</v>
      </c>
    </row>
    <row r="299" customFormat="false" ht="15" hidden="false" customHeight="false" outlineLevel="0" collapsed="false">
      <c r="A299" s="37" t="s">
        <v>443</v>
      </c>
      <c r="B299" s="38" t="n">
        <v>45793</v>
      </c>
      <c r="C299" s="37" t="n">
        <f aca="false">MONTH(B299)</f>
        <v>5</v>
      </c>
      <c r="D299" s="37" t="s">
        <v>144</v>
      </c>
      <c r="E299" s="37" t="s">
        <v>45</v>
      </c>
      <c r="F299" s="37" t="s">
        <v>97</v>
      </c>
      <c r="G299" s="37" t="s">
        <v>90</v>
      </c>
      <c r="H299" s="37" t="s">
        <v>108</v>
      </c>
      <c r="I299" s="37" t="n">
        <v>1</v>
      </c>
      <c r="J299" s="39" t="n">
        <v>1999</v>
      </c>
      <c r="K299" s="40" t="n">
        <v>0</v>
      </c>
      <c r="L299" s="39" t="n">
        <f aca="false">VLOOKUP(H299,'Product List'!$A$3:$D$18,4,FALSE())</f>
        <v>1560</v>
      </c>
      <c r="M299" s="39" t="n">
        <f aca="false">I299*J299*(1-K299)</f>
        <v>1999</v>
      </c>
      <c r="N299" s="39" t="n">
        <f aca="false">I299*L299</f>
        <v>1560</v>
      </c>
      <c r="O299" s="39" t="n">
        <f aca="false">M299-N299</f>
        <v>439</v>
      </c>
      <c r="P299" s="41" t="n">
        <f aca="false">IF(M299=0,0,O299/M299)</f>
        <v>0.219609804902451</v>
      </c>
      <c r="Q299" s="37" t="str">
        <f aca="false">IF(K299=0,"No discount",IF(K299&lt;=0.1,"1-10%",IF(K299&lt;=0.2,"11-20%",IF(K299&lt;=0.3,"21-30%","Above 30%"))))</f>
        <v>No discount</v>
      </c>
      <c r="R299" s="39" t="n">
        <f aca="false">I299*J299*MAX(0,K299-DiscountCap)</f>
        <v>0</v>
      </c>
    </row>
    <row r="300" customFormat="false" ht="15" hidden="false" customHeight="false" outlineLevel="0" collapsed="false">
      <c r="A300" s="37" t="s">
        <v>444</v>
      </c>
      <c r="B300" s="38" t="n">
        <v>45778</v>
      </c>
      <c r="C300" s="37" t="n">
        <f aca="false">MONTH(B300)</f>
        <v>5</v>
      </c>
      <c r="D300" s="37" t="s">
        <v>154</v>
      </c>
      <c r="E300" s="37" t="s">
        <v>47</v>
      </c>
      <c r="F300" s="37" t="s">
        <v>96</v>
      </c>
      <c r="G300" s="37" t="s">
        <v>91</v>
      </c>
      <c r="H300" s="37" t="s">
        <v>116</v>
      </c>
      <c r="I300" s="37" t="n">
        <v>2</v>
      </c>
      <c r="J300" s="39" t="n">
        <v>899</v>
      </c>
      <c r="K300" s="40" t="n">
        <v>0.15</v>
      </c>
      <c r="L300" s="39" t="n">
        <f aca="false">VLOOKUP(H300,'Product List'!$A$3:$D$18,4,FALSE())</f>
        <v>430</v>
      </c>
      <c r="M300" s="39" t="n">
        <f aca="false">I300*J300*(1-K300)</f>
        <v>1528.3</v>
      </c>
      <c r="N300" s="39" t="n">
        <f aca="false">I300*L300</f>
        <v>860</v>
      </c>
      <c r="O300" s="39" t="n">
        <f aca="false">M300-N300</f>
        <v>668.3</v>
      </c>
      <c r="P300" s="41" t="n">
        <f aca="false">IF(M300=0,0,O300/M300)</f>
        <v>0.437283255905254</v>
      </c>
      <c r="Q300" s="37" t="str">
        <f aca="false">IF(K300=0,"No discount",IF(K300&lt;=0.1,"1-10%",IF(K300&lt;=0.2,"11-20%",IF(K300&lt;=0.3,"21-30%","Above 30%"))))</f>
        <v>11-20%</v>
      </c>
      <c r="R300" s="39" t="n">
        <f aca="false">I300*J300*MAX(0,K300-DiscountCap)</f>
        <v>0</v>
      </c>
    </row>
    <row r="301" customFormat="false" ht="15" hidden="false" customHeight="false" outlineLevel="0" collapsed="false">
      <c r="A301" s="37" t="s">
        <v>445</v>
      </c>
      <c r="B301" s="38" t="n">
        <v>45796</v>
      </c>
      <c r="C301" s="37" t="n">
        <f aca="false">MONTH(B301)</f>
        <v>5</v>
      </c>
      <c r="D301" s="37" t="s">
        <v>166</v>
      </c>
      <c r="E301" s="37" t="s">
        <v>44</v>
      </c>
      <c r="F301" s="37" t="s">
        <v>97</v>
      </c>
      <c r="G301" s="37" t="s">
        <v>93</v>
      </c>
      <c r="H301" s="37" t="s">
        <v>122</v>
      </c>
      <c r="I301" s="37" t="n">
        <v>2</v>
      </c>
      <c r="J301" s="39" t="n">
        <v>1799</v>
      </c>
      <c r="K301" s="40" t="n">
        <v>0.1</v>
      </c>
      <c r="L301" s="39" t="n">
        <f aca="false">VLOOKUP(H301,'Product List'!$A$3:$D$18,4,FALSE())</f>
        <v>1250</v>
      </c>
      <c r="M301" s="39" t="n">
        <f aca="false">I301*J301*(1-K301)</f>
        <v>3238.2</v>
      </c>
      <c r="N301" s="39" t="n">
        <f aca="false">I301*L301</f>
        <v>2500</v>
      </c>
      <c r="O301" s="39" t="n">
        <f aca="false">M301-N301</f>
        <v>738.2</v>
      </c>
      <c r="P301" s="41" t="n">
        <f aca="false">IF(M301=0,0,O301/M301)</f>
        <v>0.227966154036193</v>
      </c>
      <c r="Q301" s="37" t="str">
        <f aca="false">IF(K301=0,"No discount",IF(K301&lt;=0.1,"1-10%",IF(K301&lt;=0.2,"11-20%",IF(K301&lt;=0.3,"21-30%","Above 30%"))))</f>
        <v>1-10%</v>
      </c>
      <c r="R301" s="39" t="n">
        <f aca="false">I301*J301*MAX(0,K301-DiscountCap)</f>
        <v>0</v>
      </c>
    </row>
    <row r="302" customFormat="false" ht="15" hidden="false" customHeight="false" outlineLevel="0" collapsed="false">
      <c r="A302" s="37" t="s">
        <v>446</v>
      </c>
      <c r="B302" s="38" t="n">
        <v>45799</v>
      </c>
      <c r="C302" s="37" t="n">
        <f aca="false">MONTH(B302)</f>
        <v>5</v>
      </c>
      <c r="D302" s="37" t="s">
        <v>154</v>
      </c>
      <c r="E302" s="37" t="s">
        <v>47</v>
      </c>
      <c r="F302" s="37" t="s">
        <v>97</v>
      </c>
      <c r="G302" s="37" t="s">
        <v>93</v>
      </c>
      <c r="H302" s="37" t="s">
        <v>121</v>
      </c>
      <c r="I302" s="37" t="n">
        <v>2</v>
      </c>
      <c r="J302" s="39" t="n">
        <v>999</v>
      </c>
      <c r="K302" s="40" t="n">
        <v>0.25</v>
      </c>
      <c r="L302" s="39" t="n">
        <f aca="false">VLOOKUP(H302,'Product List'!$A$3:$D$18,4,FALSE())</f>
        <v>500</v>
      </c>
      <c r="M302" s="39" t="n">
        <f aca="false">I302*J302*(1-K302)</f>
        <v>1498.5</v>
      </c>
      <c r="N302" s="39" t="n">
        <f aca="false">I302*L302</f>
        <v>1000</v>
      </c>
      <c r="O302" s="39" t="n">
        <f aca="false">M302-N302</f>
        <v>498.5</v>
      </c>
      <c r="P302" s="41" t="n">
        <f aca="false">IF(M302=0,0,O302/M302)</f>
        <v>0.332665999332666</v>
      </c>
      <c r="Q302" s="37" t="str">
        <f aca="false">IF(K302=0,"No discount",IF(K302&lt;=0.1,"1-10%",IF(K302&lt;=0.2,"11-20%",IF(K302&lt;=0.3,"21-30%","Above 30%"))))</f>
        <v>21-30%</v>
      </c>
      <c r="R302" s="39" t="n">
        <f aca="false">I302*J302*MAX(0,K302-DiscountCap)</f>
        <v>99.9</v>
      </c>
    </row>
    <row r="303" customFormat="false" ht="15" hidden="false" customHeight="false" outlineLevel="0" collapsed="false">
      <c r="A303" s="37" t="s">
        <v>447</v>
      </c>
      <c r="B303" s="38" t="n">
        <v>45781</v>
      </c>
      <c r="C303" s="37" t="n">
        <f aca="false">MONTH(B303)</f>
        <v>5</v>
      </c>
      <c r="D303" s="37" t="s">
        <v>138</v>
      </c>
      <c r="E303" s="37" t="s">
        <v>46</v>
      </c>
      <c r="F303" s="37" t="s">
        <v>97</v>
      </c>
      <c r="G303" s="37" t="s">
        <v>91</v>
      </c>
      <c r="H303" s="37" t="s">
        <v>116</v>
      </c>
      <c r="I303" s="37" t="n">
        <v>2</v>
      </c>
      <c r="J303" s="39" t="n">
        <v>899</v>
      </c>
      <c r="K303" s="40" t="n">
        <v>0</v>
      </c>
      <c r="L303" s="39" t="n">
        <f aca="false">VLOOKUP(H303,'Product List'!$A$3:$D$18,4,FALSE())</f>
        <v>430</v>
      </c>
      <c r="M303" s="39" t="n">
        <f aca="false">I303*J303*(1-K303)</f>
        <v>1798</v>
      </c>
      <c r="N303" s="39" t="n">
        <f aca="false">I303*L303</f>
        <v>860</v>
      </c>
      <c r="O303" s="39" t="n">
        <f aca="false">M303-N303</f>
        <v>938</v>
      </c>
      <c r="P303" s="41" t="n">
        <f aca="false">IF(M303=0,0,O303/M303)</f>
        <v>0.521690767519466</v>
      </c>
      <c r="Q303" s="37" t="str">
        <f aca="false">IF(K303=0,"No discount",IF(K303&lt;=0.1,"1-10%",IF(K303&lt;=0.2,"11-20%",IF(K303&lt;=0.3,"21-30%","Above 30%"))))</f>
        <v>No discount</v>
      </c>
      <c r="R303" s="39" t="n">
        <f aca="false">I303*J303*MAX(0,K303-DiscountCap)</f>
        <v>0</v>
      </c>
    </row>
    <row r="304" customFormat="false" ht="15" hidden="false" customHeight="false" outlineLevel="0" collapsed="false">
      <c r="A304" s="37" t="s">
        <v>448</v>
      </c>
      <c r="B304" s="38" t="n">
        <v>45782</v>
      </c>
      <c r="C304" s="37" t="n">
        <f aca="false">MONTH(B304)</f>
        <v>5</v>
      </c>
      <c r="D304" s="37" t="s">
        <v>142</v>
      </c>
      <c r="E304" s="37" t="s">
        <v>47</v>
      </c>
      <c r="F304" s="37" t="s">
        <v>96</v>
      </c>
      <c r="G304" s="37" t="s">
        <v>92</v>
      </c>
      <c r="H304" s="37" t="s">
        <v>112</v>
      </c>
      <c r="I304" s="37" t="n">
        <v>3</v>
      </c>
      <c r="J304" s="39" t="n">
        <v>3299</v>
      </c>
      <c r="K304" s="40" t="n">
        <v>0.05</v>
      </c>
      <c r="L304" s="39" t="n">
        <f aca="false">VLOOKUP(H304,'Product List'!$A$3:$D$18,4,FALSE())</f>
        <v>2250</v>
      </c>
      <c r="M304" s="39" t="n">
        <f aca="false">I304*J304*(1-K304)</f>
        <v>9402.15</v>
      </c>
      <c r="N304" s="39" t="n">
        <f aca="false">I304*L304</f>
        <v>6750</v>
      </c>
      <c r="O304" s="39" t="n">
        <f aca="false">M304-N304</f>
        <v>2652.15</v>
      </c>
      <c r="P304" s="41" t="n">
        <f aca="false">IF(M304=0,0,O304/M304)</f>
        <v>0.2820790989295</v>
      </c>
      <c r="Q304" s="37" t="str">
        <f aca="false">IF(K304=0,"No discount",IF(K304&lt;=0.1,"1-10%",IF(K304&lt;=0.2,"11-20%",IF(K304&lt;=0.3,"21-30%","Above 30%"))))</f>
        <v>1-10%</v>
      </c>
      <c r="R304" s="39" t="n">
        <f aca="false">I304*J304*MAX(0,K304-DiscountCap)</f>
        <v>0</v>
      </c>
    </row>
    <row r="305" customFormat="false" ht="15" hidden="false" customHeight="false" outlineLevel="0" collapsed="false">
      <c r="A305" s="37" t="s">
        <v>449</v>
      </c>
      <c r="B305" s="38" t="n">
        <v>45807</v>
      </c>
      <c r="C305" s="37" t="n">
        <f aca="false">MONTH(B305)</f>
        <v>5</v>
      </c>
      <c r="D305" s="37" t="s">
        <v>134</v>
      </c>
      <c r="E305" s="37" t="s">
        <v>45</v>
      </c>
      <c r="F305" s="37" t="s">
        <v>96</v>
      </c>
      <c r="G305" s="37" t="s">
        <v>93</v>
      </c>
      <c r="H305" s="37" t="s">
        <v>123</v>
      </c>
      <c r="I305" s="37" t="n">
        <v>1</v>
      </c>
      <c r="J305" s="39" t="n">
        <v>1299</v>
      </c>
      <c r="K305" s="40" t="n">
        <v>0.2</v>
      </c>
      <c r="L305" s="39" t="n">
        <f aca="false">VLOOKUP(H305,'Product List'!$A$3:$D$18,4,FALSE())</f>
        <v>700</v>
      </c>
      <c r="M305" s="39" t="n">
        <f aca="false">I305*J305*(1-K305)</f>
        <v>1039.2</v>
      </c>
      <c r="N305" s="39" t="n">
        <f aca="false">I305*L305</f>
        <v>700</v>
      </c>
      <c r="O305" s="39" t="n">
        <f aca="false">M305-N305</f>
        <v>339.2</v>
      </c>
      <c r="P305" s="41" t="n">
        <f aca="false">IF(M305=0,0,O305/M305)</f>
        <v>0.326404926866821</v>
      </c>
      <c r="Q305" s="37" t="str">
        <f aca="false">IF(K305=0,"No discount",IF(K305&lt;=0.1,"1-10%",IF(K305&lt;=0.2,"11-20%",IF(K305&lt;=0.3,"21-30%","Above 30%"))))</f>
        <v>11-20%</v>
      </c>
      <c r="R305" s="39" t="n">
        <f aca="false">I305*J305*MAX(0,K305-DiscountCap)</f>
        <v>0</v>
      </c>
    </row>
    <row r="306" customFormat="false" ht="15" hidden="false" customHeight="false" outlineLevel="0" collapsed="false">
      <c r="A306" s="37" t="s">
        <v>450</v>
      </c>
      <c r="B306" s="38" t="n">
        <v>45795</v>
      </c>
      <c r="C306" s="37" t="n">
        <f aca="false">MONTH(B306)</f>
        <v>5</v>
      </c>
      <c r="D306" s="37" t="s">
        <v>134</v>
      </c>
      <c r="E306" s="37" t="s">
        <v>45</v>
      </c>
      <c r="F306" s="37" t="s">
        <v>97</v>
      </c>
      <c r="G306" s="37" t="s">
        <v>93</v>
      </c>
      <c r="H306" s="37" t="s">
        <v>122</v>
      </c>
      <c r="I306" s="37" t="n">
        <v>1</v>
      </c>
      <c r="J306" s="39" t="n">
        <v>1799</v>
      </c>
      <c r="K306" s="40" t="n">
        <v>0.1</v>
      </c>
      <c r="L306" s="39" t="n">
        <f aca="false">VLOOKUP(H306,'Product List'!$A$3:$D$18,4,FALSE())</f>
        <v>1250</v>
      </c>
      <c r="M306" s="39" t="n">
        <f aca="false">I306*J306*(1-K306)</f>
        <v>1619.1</v>
      </c>
      <c r="N306" s="39" t="n">
        <f aca="false">I306*L306</f>
        <v>1250</v>
      </c>
      <c r="O306" s="39" t="n">
        <f aca="false">M306-N306</f>
        <v>369.1</v>
      </c>
      <c r="P306" s="41" t="n">
        <f aca="false">IF(M306=0,0,O306/M306)</f>
        <v>0.227966154036193</v>
      </c>
      <c r="Q306" s="37" t="str">
        <f aca="false">IF(K306=0,"No discount",IF(K306&lt;=0.1,"1-10%",IF(K306&lt;=0.2,"11-20%",IF(K306&lt;=0.3,"21-30%","Above 30%"))))</f>
        <v>1-10%</v>
      </c>
      <c r="R306" s="39" t="n">
        <f aca="false">I306*J306*MAX(0,K306-DiscountCap)</f>
        <v>0</v>
      </c>
    </row>
    <row r="307" customFormat="false" ht="15" hidden="false" customHeight="false" outlineLevel="0" collapsed="false">
      <c r="A307" s="37" t="s">
        <v>451</v>
      </c>
      <c r="B307" s="38" t="n">
        <v>45779</v>
      </c>
      <c r="C307" s="37" t="n">
        <f aca="false">MONTH(B307)</f>
        <v>5</v>
      </c>
      <c r="D307" s="37" t="s">
        <v>136</v>
      </c>
      <c r="E307" s="37" t="s">
        <v>47</v>
      </c>
      <c r="F307" s="37" t="s">
        <v>96</v>
      </c>
      <c r="G307" s="37" t="s">
        <v>91</v>
      </c>
      <c r="H307" s="37" t="s">
        <v>116</v>
      </c>
      <c r="I307" s="37" t="n">
        <v>1</v>
      </c>
      <c r="J307" s="39" t="n">
        <v>899</v>
      </c>
      <c r="K307" s="40" t="n">
        <v>0.2</v>
      </c>
      <c r="L307" s="39" t="n">
        <f aca="false">VLOOKUP(H307,'Product List'!$A$3:$D$18,4,FALSE())</f>
        <v>430</v>
      </c>
      <c r="M307" s="39" t="n">
        <f aca="false">I307*J307*(1-K307)</f>
        <v>719.2</v>
      </c>
      <c r="N307" s="39" t="n">
        <f aca="false">I307*L307</f>
        <v>430</v>
      </c>
      <c r="O307" s="39" t="n">
        <f aca="false">M307-N307</f>
        <v>289.2</v>
      </c>
      <c r="P307" s="41" t="n">
        <f aca="false">IF(M307=0,0,O307/M307)</f>
        <v>0.402113459399333</v>
      </c>
      <c r="Q307" s="37" t="str">
        <f aca="false">IF(K307=0,"No discount",IF(K307&lt;=0.1,"1-10%",IF(K307&lt;=0.2,"11-20%",IF(K307&lt;=0.3,"21-30%","Above 30%"))))</f>
        <v>11-20%</v>
      </c>
      <c r="R307" s="39" t="n">
        <f aca="false">I307*J307*MAX(0,K307-DiscountCap)</f>
        <v>0</v>
      </c>
    </row>
    <row r="308" customFormat="false" ht="15" hidden="false" customHeight="false" outlineLevel="0" collapsed="false">
      <c r="A308" s="37" t="s">
        <v>452</v>
      </c>
      <c r="B308" s="38" t="n">
        <v>45797</v>
      </c>
      <c r="C308" s="37" t="n">
        <f aca="false">MONTH(B308)</f>
        <v>5</v>
      </c>
      <c r="D308" s="37" t="s">
        <v>140</v>
      </c>
      <c r="E308" s="37" t="s">
        <v>44</v>
      </c>
      <c r="F308" s="37" t="s">
        <v>97</v>
      </c>
      <c r="G308" s="37" t="s">
        <v>91</v>
      </c>
      <c r="H308" s="37" t="s">
        <v>117</v>
      </c>
      <c r="I308" s="37" t="n">
        <v>3</v>
      </c>
      <c r="J308" s="39" t="n">
        <v>1499</v>
      </c>
      <c r="K308" s="40" t="n">
        <v>0</v>
      </c>
      <c r="L308" s="39" t="n">
        <f aca="false">VLOOKUP(H308,'Product List'!$A$3:$D$18,4,FALSE())</f>
        <v>780</v>
      </c>
      <c r="M308" s="39" t="n">
        <f aca="false">I308*J308*(1-K308)</f>
        <v>4497</v>
      </c>
      <c r="N308" s="39" t="n">
        <f aca="false">I308*L308</f>
        <v>2340</v>
      </c>
      <c r="O308" s="39" t="n">
        <f aca="false">M308-N308</f>
        <v>2157</v>
      </c>
      <c r="P308" s="41" t="n">
        <f aca="false">IF(M308=0,0,O308/M308)</f>
        <v>0.479653102068045</v>
      </c>
      <c r="Q308" s="37" t="str">
        <f aca="false">IF(K308=0,"No discount",IF(K308&lt;=0.1,"1-10%",IF(K308&lt;=0.2,"11-20%",IF(K308&lt;=0.3,"21-30%","Above 30%"))))</f>
        <v>No discount</v>
      </c>
      <c r="R308" s="39" t="n">
        <f aca="false">I308*J308*MAX(0,K308-DiscountCap)</f>
        <v>0</v>
      </c>
    </row>
    <row r="309" customFormat="false" ht="15" hidden="false" customHeight="false" outlineLevel="0" collapsed="false">
      <c r="A309" s="37" t="s">
        <v>453</v>
      </c>
      <c r="B309" s="38" t="n">
        <v>45800</v>
      </c>
      <c r="C309" s="37" t="n">
        <f aca="false">MONTH(B309)</f>
        <v>5</v>
      </c>
      <c r="D309" s="37" t="s">
        <v>169</v>
      </c>
      <c r="E309" s="37" t="s">
        <v>44</v>
      </c>
      <c r="F309" s="37" t="s">
        <v>96</v>
      </c>
      <c r="G309" s="37" t="s">
        <v>92</v>
      </c>
      <c r="H309" s="37" t="s">
        <v>113</v>
      </c>
      <c r="I309" s="37" t="n">
        <v>2</v>
      </c>
      <c r="J309" s="39" t="n">
        <v>2199</v>
      </c>
      <c r="K309" s="40" t="n">
        <v>0.1</v>
      </c>
      <c r="L309" s="39" t="n">
        <f aca="false">VLOOKUP(H309,'Product List'!$A$3:$D$18,4,FALSE())</f>
        <v>1400</v>
      </c>
      <c r="M309" s="39" t="n">
        <f aca="false">I309*J309*(1-K309)</f>
        <v>3958.2</v>
      </c>
      <c r="N309" s="39" t="n">
        <f aca="false">I309*L309</f>
        <v>2800</v>
      </c>
      <c r="O309" s="39" t="n">
        <f aca="false">M309-N309</f>
        <v>1158.2</v>
      </c>
      <c r="P309" s="41" t="n">
        <f aca="false">IF(M309=0,0,O309/M309)</f>
        <v>0.292607750997928</v>
      </c>
      <c r="Q309" s="37" t="str">
        <f aca="false">IF(K309=0,"No discount",IF(K309&lt;=0.1,"1-10%",IF(K309&lt;=0.2,"11-20%",IF(K309&lt;=0.3,"21-30%","Above 30%"))))</f>
        <v>1-10%</v>
      </c>
      <c r="R309" s="39" t="n">
        <f aca="false">I309*J309*MAX(0,K309-DiscountCap)</f>
        <v>0</v>
      </c>
    </row>
    <row r="310" customFormat="false" ht="15" hidden="false" customHeight="false" outlineLevel="0" collapsed="false">
      <c r="A310" s="37" t="s">
        <v>454</v>
      </c>
      <c r="B310" s="38" t="n">
        <v>45808</v>
      </c>
      <c r="C310" s="37" t="n">
        <f aca="false">MONTH(B310)</f>
        <v>5</v>
      </c>
      <c r="D310" s="37" t="s">
        <v>136</v>
      </c>
      <c r="E310" s="37" t="s">
        <v>47</v>
      </c>
      <c r="F310" s="37" t="s">
        <v>96</v>
      </c>
      <c r="G310" s="37" t="s">
        <v>93</v>
      </c>
      <c r="H310" s="37" t="s">
        <v>120</v>
      </c>
      <c r="I310" s="37" t="n">
        <v>1</v>
      </c>
      <c r="J310" s="39" t="n">
        <v>449</v>
      </c>
      <c r="K310" s="40" t="n">
        <v>0.1</v>
      </c>
      <c r="L310" s="39" t="n">
        <f aca="false">VLOOKUP(H310,'Product List'!$A$3:$D$18,4,FALSE())</f>
        <v>240</v>
      </c>
      <c r="M310" s="39" t="n">
        <f aca="false">I310*J310*(1-K310)</f>
        <v>404.1</v>
      </c>
      <c r="N310" s="39" t="n">
        <f aca="false">I310*L310</f>
        <v>240</v>
      </c>
      <c r="O310" s="39" t="n">
        <f aca="false">M310-N310</f>
        <v>164.1</v>
      </c>
      <c r="P310" s="41" t="n">
        <f aca="false">IF(M310=0,0,O310/M310)</f>
        <v>0.406087602078693</v>
      </c>
      <c r="Q310" s="37" t="str">
        <f aca="false">IF(K310=0,"No discount",IF(K310&lt;=0.1,"1-10%",IF(K310&lt;=0.2,"11-20%",IF(K310&lt;=0.3,"21-30%","Above 30%"))))</f>
        <v>1-10%</v>
      </c>
      <c r="R310" s="39" t="n">
        <f aca="false">I310*J310*MAX(0,K310-DiscountCap)</f>
        <v>0</v>
      </c>
    </row>
    <row r="311" customFormat="false" ht="15" hidden="false" customHeight="false" outlineLevel="0" collapsed="false">
      <c r="A311" s="37" t="s">
        <v>455</v>
      </c>
      <c r="B311" s="38" t="n">
        <v>45796</v>
      </c>
      <c r="C311" s="37" t="n">
        <f aca="false">MONTH(B311)</f>
        <v>5</v>
      </c>
      <c r="D311" s="37" t="s">
        <v>166</v>
      </c>
      <c r="E311" s="37" t="s">
        <v>44</v>
      </c>
      <c r="F311" s="37" t="s">
        <v>97</v>
      </c>
      <c r="G311" s="37" t="s">
        <v>92</v>
      </c>
      <c r="H311" s="37" t="s">
        <v>112</v>
      </c>
      <c r="I311" s="37" t="n">
        <v>1</v>
      </c>
      <c r="J311" s="39" t="n">
        <v>3299</v>
      </c>
      <c r="K311" s="40" t="n">
        <v>0</v>
      </c>
      <c r="L311" s="39" t="n">
        <f aca="false">VLOOKUP(H311,'Product List'!$A$3:$D$18,4,FALSE())</f>
        <v>2250</v>
      </c>
      <c r="M311" s="39" t="n">
        <f aca="false">I311*J311*(1-K311)</f>
        <v>3299</v>
      </c>
      <c r="N311" s="39" t="n">
        <f aca="false">I311*L311</f>
        <v>2250</v>
      </c>
      <c r="O311" s="39" t="n">
        <f aca="false">M311-N311</f>
        <v>1049</v>
      </c>
      <c r="P311" s="41" t="n">
        <f aca="false">IF(M311=0,0,O311/M311)</f>
        <v>0.317975143983025</v>
      </c>
      <c r="Q311" s="37" t="str">
        <f aca="false">IF(K311=0,"No discount",IF(K311&lt;=0.1,"1-10%",IF(K311&lt;=0.2,"11-20%",IF(K311&lt;=0.3,"21-30%","Above 30%"))))</f>
        <v>No discount</v>
      </c>
      <c r="R311" s="39" t="n">
        <f aca="false">I311*J311*MAX(0,K311-DiscountCap)</f>
        <v>0</v>
      </c>
    </row>
    <row r="312" customFormat="false" ht="15" hidden="false" customHeight="false" outlineLevel="0" collapsed="false">
      <c r="A312" s="37" t="s">
        <v>456</v>
      </c>
      <c r="B312" s="38" t="n">
        <v>45792</v>
      </c>
      <c r="C312" s="37" t="n">
        <f aca="false">MONTH(B312)</f>
        <v>5</v>
      </c>
      <c r="D312" s="37" t="s">
        <v>144</v>
      </c>
      <c r="E312" s="37" t="s">
        <v>45</v>
      </c>
      <c r="F312" s="37" t="s">
        <v>96</v>
      </c>
      <c r="G312" s="37" t="s">
        <v>93</v>
      </c>
      <c r="H312" s="37" t="s">
        <v>123</v>
      </c>
      <c r="I312" s="37" t="n">
        <v>2</v>
      </c>
      <c r="J312" s="39" t="n">
        <v>1299</v>
      </c>
      <c r="K312" s="40" t="n">
        <v>0.05</v>
      </c>
      <c r="L312" s="39" t="n">
        <f aca="false">VLOOKUP(H312,'Product List'!$A$3:$D$18,4,FALSE())</f>
        <v>700</v>
      </c>
      <c r="M312" s="39" t="n">
        <f aca="false">I312*J312*(1-K312)</f>
        <v>2468.1</v>
      </c>
      <c r="N312" s="39" t="n">
        <f aca="false">I312*L312</f>
        <v>1400</v>
      </c>
      <c r="O312" s="39" t="n">
        <f aca="false">M312-N312</f>
        <v>1068.1</v>
      </c>
      <c r="P312" s="41" t="n">
        <f aca="false">IF(M312=0,0,O312/M312)</f>
        <v>0.432762043677323</v>
      </c>
      <c r="Q312" s="37" t="str">
        <f aca="false">IF(K312=0,"No discount",IF(K312&lt;=0.1,"1-10%",IF(K312&lt;=0.2,"11-20%",IF(K312&lt;=0.3,"21-30%","Above 30%"))))</f>
        <v>1-10%</v>
      </c>
      <c r="R312" s="39" t="n">
        <f aca="false">I312*J312*MAX(0,K312-DiscountCap)</f>
        <v>0</v>
      </c>
    </row>
    <row r="313" customFormat="false" ht="15" hidden="false" customHeight="false" outlineLevel="0" collapsed="false">
      <c r="A313" s="37" t="s">
        <v>457</v>
      </c>
      <c r="B313" s="38" t="n">
        <v>45798</v>
      </c>
      <c r="C313" s="37" t="n">
        <f aca="false">MONTH(B313)</f>
        <v>5</v>
      </c>
      <c r="D313" s="37" t="s">
        <v>144</v>
      </c>
      <c r="E313" s="37" t="s">
        <v>45</v>
      </c>
      <c r="F313" s="37" t="s">
        <v>96</v>
      </c>
      <c r="G313" s="37" t="s">
        <v>91</v>
      </c>
      <c r="H313" s="37" t="s">
        <v>116</v>
      </c>
      <c r="I313" s="37" t="n">
        <v>2</v>
      </c>
      <c r="J313" s="39" t="n">
        <v>899</v>
      </c>
      <c r="K313" s="40" t="n">
        <v>0.2</v>
      </c>
      <c r="L313" s="39" t="n">
        <f aca="false">VLOOKUP(H313,'Product List'!$A$3:$D$18,4,FALSE())</f>
        <v>430</v>
      </c>
      <c r="M313" s="39" t="n">
        <f aca="false">I313*J313*(1-K313)</f>
        <v>1438.4</v>
      </c>
      <c r="N313" s="39" t="n">
        <f aca="false">I313*L313</f>
        <v>860</v>
      </c>
      <c r="O313" s="39" t="n">
        <f aca="false">M313-N313</f>
        <v>578.4</v>
      </c>
      <c r="P313" s="41" t="n">
        <f aca="false">IF(M313=0,0,O313/M313)</f>
        <v>0.402113459399333</v>
      </c>
      <c r="Q313" s="37" t="str">
        <f aca="false">IF(K313=0,"No discount",IF(K313&lt;=0.1,"1-10%",IF(K313&lt;=0.2,"11-20%",IF(K313&lt;=0.3,"21-30%","Above 30%"))))</f>
        <v>11-20%</v>
      </c>
      <c r="R313" s="39" t="n">
        <f aca="false">I313*J313*MAX(0,K313-DiscountCap)</f>
        <v>0</v>
      </c>
    </row>
    <row r="314" customFormat="false" ht="15" hidden="false" customHeight="false" outlineLevel="0" collapsed="false">
      <c r="A314" s="37" t="s">
        <v>458</v>
      </c>
      <c r="B314" s="38" t="n">
        <v>45800</v>
      </c>
      <c r="C314" s="37" t="n">
        <f aca="false">MONTH(B314)</f>
        <v>5</v>
      </c>
      <c r="D314" s="37" t="s">
        <v>146</v>
      </c>
      <c r="E314" s="37" t="s">
        <v>45</v>
      </c>
      <c r="F314" s="37" t="s">
        <v>96</v>
      </c>
      <c r="G314" s="37" t="s">
        <v>93</v>
      </c>
      <c r="H314" s="37" t="s">
        <v>122</v>
      </c>
      <c r="I314" s="37" t="n">
        <v>2</v>
      </c>
      <c r="J314" s="39" t="n">
        <v>1799</v>
      </c>
      <c r="K314" s="40" t="n">
        <v>0</v>
      </c>
      <c r="L314" s="39" t="n">
        <f aca="false">VLOOKUP(H314,'Product List'!$A$3:$D$18,4,FALSE())</f>
        <v>1250</v>
      </c>
      <c r="M314" s="39" t="n">
        <f aca="false">I314*J314*(1-K314)</f>
        <v>3598</v>
      </c>
      <c r="N314" s="39" t="n">
        <f aca="false">I314*L314</f>
        <v>2500</v>
      </c>
      <c r="O314" s="39" t="n">
        <f aca="false">M314-N314</f>
        <v>1098</v>
      </c>
      <c r="P314" s="41" t="n">
        <f aca="false">IF(M314=0,0,O314/M314)</f>
        <v>0.305169538632574</v>
      </c>
      <c r="Q314" s="37" t="str">
        <f aca="false">IF(K314=0,"No discount",IF(K314&lt;=0.1,"1-10%",IF(K314&lt;=0.2,"11-20%",IF(K314&lt;=0.3,"21-30%","Above 30%"))))</f>
        <v>No discount</v>
      </c>
      <c r="R314" s="39" t="n">
        <f aca="false">I314*J314*MAX(0,K314-DiscountCap)</f>
        <v>0</v>
      </c>
    </row>
    <row r="315" customFormat="false" ht="15" hidden="false" customHeight="false" outlineLevel="0" collapsed="false">
      <c r="A315" s="37" t="s">
        <v>459</v>
      </c>
      <c r="B315" s="38" t="n">
        <v>45790</v>
      </c>
      <c r="C315" s="37" t="n">
        <f aca="false">MONTH(B315)</f>
        <v>5</v>
      </c>
      <c r="D315" s="37" t="s">
        <v>142</v>
      </c>
      <c r="E315" s="37" t="s">
        <v>47</v>
      </c>
      <c r="F315" s="37" t="s">
        <v>96</v>
      </c>
      <c r="G315" s="37" t="s">
        <v>91</v>
      </c>
      <c r="H315" s="37" t="s">
        <v>118</v>
      </c>
      <c r="I315" s="37" t="n">
        <v>1</v>
      </c>
      <c r="J315" s="39" t="n">
        <v>2299</v>
      </c>
      <c r="K315" s="40" t="n">
        <v>0.25</v>
      </c>
      <c r="L315" s="39" t="n">
        <f aca="false">VLOOKUP(H315,'Product List'!$A$3:$D$18,4,FALSE())</f>
        <v>1300</v>
      </c>
      <c r="M315" s="39" t="n">
        <f aca="false">I315*J315*(1-K315)</f>
        <v>1724.25</v>
      </c>
      <c r="N315" s="39" t="n">
        <f aca="false">I315*L315</f>
        <v>1300</v>
      </c>
      <c r="O315" s="39" t="n">
        <f aca="false">M315-N315</f>
        <v>424.25</v>
      </c>
      <c r="P315" s="41" t="n">
        <f aca="false">IF(M315=0,0,O315/M315)</f>
        <v>0.246049006814557</v>
      </c>
      <c r="Q315" s="37" t="str">
        <f aca="false">IF(K315=0,"No discount",IF(K315&lt;=0.1,"1-10%",IF(K315&lt;=0.2,"11-20%",IF(K315&lt;=0.3,"21-30%","Above 30%"))))</f>
        <v>21-30%</v>
      </c>
      <c r="R315" s="39" t="n">
        <f aca="false">I315*J315*MAX(0,K315-DiscountCap)</f>
        <v>114.95</v>
      </c>
    </row>
    <row r="316" customFormat="false" ht="15" hidden="false" customHeight="false" outlineLevel="0" collapsed="false">
      <c r="A316" s="37" t="s">
        <v>460</v>
      </c>
      <c r="B316" s="38" t="n">
        <v>45808</v>
      </c>
      <c r="C316" s="37" t="n">
        <f aca="false">MONTH(B316)</f>
        <v>5</v>
      </c>
      <c r="D316" s="37" t="s">
        <v>136</v>
      </c>
      <c r="E316" s="37" t="s">
        <v>47</v>
      </c>
      <c r="F316" s="37" t="s">
        <v>97</v>
      </c>
      <c r="G316" s="37" t="s">
        <v>90</v>
      </c>
      <c r="H316" s="37" t="s">
        <v>111</v>
      </c>
      <c r="I316" s="37" t="n">
        <v>2</v>
      </c>
      <c r="J316" s="39" t="n">
        <v>2499</v>
      </c>
      <c r="K316" s="40" t="n">
        <v>0.05</v>
      </c>
      <c r="L316" s="39" t="n">
        <f aca="false">VLOOKUP(H316,'Product List'!$A$3:$D$18,4,FALSE())</f>
        <v>1950</v>
      </c>
      <c r="M316" s="39" t="n">
        <f aca="false">I316*J316*(1-K316)</f>
        <v>4748.1</v>
      </c>
      <c r="N316" s="39" t="n">
        <f aca="false">I316*L316</f>
        <v>3900</v>
      </c>
      <c r="O316" s="39" t="n">
        <f aca="false">M316-N316</f>
        <v>848.1</v>
      </c>
      <c r="P316" s="41" t="n">
        <f aca="false">IF(M316=0,0,O316/M316)</f>
        <v>0.178618815947432</v>
      </c>
      <c r="Q316" s="37" t="str">
        <f aca="false">IF(K316=0,"No discount",IF(K316&lt;=0.1,"1-10%",IF(K316&lt;=0.2,"11-20%",IF(K316&lt;=0.3,"21-30%","Above 30%"))))</f>
        <v>1-10%</v>
      </c>
      <c r="R316" s="39" t="n">
        <f aca="false">I316*J316*MAX(0,K316-DiscountCap)</f>
        <v>0</v>
      </c>
    </row>
    <row r="317" customFormat="false" ht="15" hidden="false" customHeight="false" outlineLevel="0" collapsed="false">
      <c r="A317" s="37" t="s">
        <v>461</v>
      </c>
      <c r="B317" s="38" t="n">
        <v>45778</v>
      </c>
      <c r="C317" s="37" t="n">
        <f aca="false">MONTH(B317)</f>
        <v>5</v>
      </c>
      <c r="D317" s="37" t="s">
        <v>166</v>
      </c>
      <c r="E317" s="37" t="s">
        <v>44</v>
      </c>
      <c r="F317" s="37" t="s">
        <v>97</v>
      </c>
      <c r="G317" s="37" t="s">
        <v>90</v>
      </c>
      <c r="H317" s="37" t="s">
        <v>109</v>
      </c>
      <c r="I317" s="37" t="n">
        <v>1</v>
      </c>
      <c r="J317" s="39" t="n">
        <v>3499</v>
      </c>
      <c r="K317" s="40" t="n">
        <v>0.05</v>
      </c>
      <c r="L317" s="39" t="n">
        <f aca="false">VLOOKUP(H317,'Product List'!$A$3:$D$18,4,FALSE())</f>
        <v>2750</v>
      </c>
      <c r="M317" s="39" t="n">
        <f aca="false">I317*J317*(1-K317)</f>
        <v>3324.05</v>
      </c>
      <c r="N317" s="39" t="n">
        <f aca="false">I317*L317</f>
        <v>2750</v>
      </c>
      <c r="O317" s="39" t="n">
        <f aca="false">M317-N317</f>
        <v>574.05</v>
      </c>
      <c r="P317" s="41" t="n">
        <f aca="false">IF(M317=0,0,O317/M317)</f>
        <v>0.172695958243709</v>
      </c>
      <c r="Q317" s="37" t="str">
        <f aca="false">IF(K317=0,"No discount",IF(K317&lt;=0.1,"1-10%",IF(K317&lt;=0.2,"11-20%",IF(K317&lt;=0.3,"21-30%","Above 30%"))))</f>
        <v>1-10%</v>
      </c>
      <c r="R317" s="39" t="n">
        <f aca="false">I317*J317*MAX(0,K317-DiscountCap)</f>
        <v>0</v>
      </c>
    </row>
    <row r="318" customFormat="false" ht="15" hidden="false" customHeight="false" outlineLevel="0" collapsed="false">
      <c r="A318" s="37" t="s">
        <v>462</v>
      </c>
      <c r="B318" s="38" t="n">
        <v>45790</v>
      </c>
      <c r="C318" s="37" t="n">
        <f aca="false">MONTH(B318)</f>
        <v>5</v>
      </c>
      <c r="D318" s="37" t="s">
        <v>146</v>
      </c>
      <c r="E318" s="37" t="s">
        <v>45</v>
      </c>
      <c r="F318" s="37" t="s">
        <v>97</v>
      </c>
      <c r="G318" s="37" t="s">
        <v>90</v>
      </c>
      <c r="H318" s="37" t="s">
        <v>108</v>
      </c>
      <c r="I318" s="37" t="n">
        <v>1</v>
      </c>
      <c r="J318" s="39" t="n">
        <v>1999</v>
      </c>
      <c r="K318" s="40" t="n">
        <v>0</v>
      </c>
      <c r="L318" s="39" t="n">
        <f aca="false">VLOOKUP(H318,'Product List'!$A$3:$D$18,4,FALSE())</f>
        <v>1560</v>
      </c>
      <c r="M318" s="39" t="n">
        <f aca="false">I318*J318*(1-K318)</f>
        <v>1999</v>
      </c>
      <c r="N318" s="39" t="n">
        <f aca="false">I318*L318</f>
        <v>1560</v>
      </c>
      <c r="O318" s="39" t="n">
        <f aca="false">M318-N318</f>
        <v>439</v>
      </c>
      <c r="P318" s="41" t="n">
        <f aca="false">IF(M318=0,0,O318/M318)</f>
        <v>0.219609804902451</v>
      </c>
      <c r="Q318" s="37" t="str">
        <f aca="false">IF(K318=0,"No discount",IF(K318&lt;=0.1,"1-10%",IF(K318&lt;=0.2,"11-20%",IF(K318&lt;=0.3,"21-30%","Above 30%"))))</f>
        <v>No discount</v>
      </c>
      <c r="R318" s="39" t="n">
        <f aca="false">I318*J318*MAX(0,K318-DiscountCap)</f>
        <v>0</v>
      </c>
    </row>
    <row r="319" customFormat="false" ht="15" hidden="false" customHeight="false" outlineLevel="0" collapsed="false">
      <c r="A319" s="37" t="s">
        <v>463</v>
      </c>
      <c r="B319" s="38" t="n">
        <v>45784</v>
      </c>
      <c r="C319" s="37" t="n">
        <f aca="false">MONTH(B319)</f>
        <v>5</v>
      </c>
      <c r="D319" s="37" t="s">
        <v>134</v>
      </c>
      <c r="E319" s="37" t="s">
        <v>45</v>
      </c>
      <c r="F319" s="37" t="s">
        <v>96</v>
      </c>
      <c r="G319" s="37" t="s">
        <v>90</v>
      </c>
      <c r="H319" s="37" t="s">
        <v>110</v>
      </c>
      <c r="I319" s="37" t="n">
        <v>2</v>
      </c>
      <c r="J319" s="39" t="n">
        <v>1299</v>
      </c>
      <c r="K319" s="40" t="n">
        <v>0.15</v>
      </c>
      <c r="L319" s="39" t="n">
        <f aca="false">VLOOKUP(H319,'Product List'!$A$3:$D$18,4,FALSE())</f>
        <v>1000</v>
      </c>
      <c r="M319" s="39" t="n">
        <f aca="false">I319*J319*(1-K319)</f>
        <v>2208.3</v>
      </c>
      <c r="N319" s="39" t="n">
        <f aca="false">I319*L319</f>
        <v>2000</v>
      </c>
      <c r="O319" s="39" t="n">
        <f aca="false">M319-N319</f>
        <v>208.3</v>
      </c>
      <c r="P319" s="41" t="n">
        <f aca="false">IF(M319=0,0,O319/M319)</f>
        <v>0.0943259520898428</v>
      </c>
      <c r="Q319" s="37" t="str">
        <f aca="false">IF(K319=0,"No discount",IF(K319&lt;=0.1,"1-10%",IF(K319&lt;=0.2,"11-20%",IF(K319&lt;=0.3,"21-30%","Above 30%"))))</f>
        <v>11-20%</v>
      </c>
      <c r="R319" s="39" t="n">
        <f aca="false">I319*J319*MAX(0,K319-DiscountCap)</f>
        <v>0</v>
      </c>
    </row>
    <row r="320" customFormat="false" ht="15" hidden="false" customHeight="false" outlineLevel="0" collapsed="false">
      <c r="A320" s="37" t="s">
        <v>464</v>
      </c>
      <c r="B320" s="38" t="n">
        <v>45778</v>
      </c>
      <c r="C320" s="37" t="n">
        <f aca="false">MONTH(B320)</f>
        <v>5</v>
      </c>
      <c r="D320" s="37" t="s">
        <v>172</v>
      </c>
      <c r="E320" s="37" t="s">
        <v>46</v>
      </c>
      <c r="F320" s="37" t="s">
        <v>97</v>
      </c>
      <c r="G320" s="37" t="s">
        <v>91</v>
      </c>
      <c r="H320" s="37" t="s">
        <v>119</v>
      </c>
      <c r="I320" s="37" t="n">
        <v>2</v>
      </c>
      <c r="J320" s="39" t="n">
        <v>1099</v>
      </c>
      <c r="K320" s="40" t="n">
        <v>0</v>
      </c>
      <c r="L320" s="39" t="n">
        <f aca="false">VLOOKUP(H320,'Product List'!$A$3:$D$18,4,FALSE())</f>
        <v>560</v>
      </c>
      <c r="M320" s="39" t="n">
        <f aca="false">I320*J320*(1-K320)</f>
        <v>2198</v>
      </c>
      <c r="N320" s="39" t="n">
        <f aca="false">I320*L320</f>
        <v>1120</v>
      </c>
      <c r="O320" s="39" t="n">
        <f aca="false">M320-N320</f>
        <v>1078</v>
      </c>
      <c r="P320" s="41" t="n">
        <f aca="false">IF(M320=0,0,O320/M320)</f>
        <v>0.490445859872611</v>
      </c>
      <c r="Q320" s="37" t="str">
        <f aca="false">IF(K320=0,"No discount",IF(K320&lt;=0.1,"1-10%",IF(K320&lt;=0.2,"11-20%",IF(K320&lt;=0.3,"21-30%","Above 30%"))))</f>
        <v>No discount</v>
      </c>
      <c r="R320" s="39" t="n">
        <f aca="false">I320*J320*MAX(0,K320-DiscountCap)</f>
        <v>0</v>
      </c>
    </row>
    <row r="321" customFormat="false" ht="15" hidden="false" customHeight="false" outlineLevel="0" collapsed="false">
      <c r="A321" s="37" t="s">
        <v>465</v>
      </c>
      <c r="B321" s="38" t="n">
        <v>45803</v>
      </c>
      <c r="C321" s="37" t="n">
        <f aca="false">MONTH(B321)</f>
        <v>5</v>
      </c>
      <c r="D321" s="37" t="s">
        <v>146</v>
      </c>
      <c r="E321" s="37" t="s">
        <v>45</v>
      </c>
      <c r="F321" s="37" t="s">
        <v>96</v>
      </c>
      <c r="G321" s="37" t="s">
        <v>90</v>
      </c>
      <c r="H321" s="37" t="s">
        <v>111</v>
      </c>
      <c r="I321" s="37" t="n">
        <v>3</v>
      </c>
      <c r="J321" s="39" t="n">
        <v>2499</v>
      </c>
      <c r="K321" s="40" t="n">
        <v>0.05</v>
      </c>
      <c r="L321" s="39" t="n">
        <f aca="false">VLOOKUP(H321,'Product List'!$A$3:$D$18,4,FALSE())</f>
        <v>1950</v>
      </c>
      <c r="M321" s="39" t="n">
        <f aca="false">I321*J321*(1-K321)</f>
        <v>7122.15</v>
      </c>
      <c r="N321" s="39" t="n">
        <f aca="false">I321*L321</f>
        <v>5850</v>
      </c>
      <c r="O321" s="39" t="n">
        <f aca="false">M321-N321</f>
        <v>1272.15</v>
      </c>
      <c r="P321" s="41" t="n">
        <f aca="false">IF(M321=0,0,O321/M321)</f>
        <v>0.178618815947432</v>
      </c>
      <c r="Q321" s="37" t="str">
        <f aca="false">IF(K321=0,"No discount",IF(K321&lt;=0.1,"1-10%",IF(K321&lt;=0.2,"11-20%",IF(K321&lt;=0.3,"21-30%","Above 30%"))))</f>
        <v>1-10%</v>
      </c>
      <c r="R321" s="39" t="n">
        <f aca="false">I321*J321*MAX(0,K321-DiscountCap)</f>
        <v>0</v>
      </c>
    </row>
    <row r="322" customFormat="false" ht="15" hidden="false" customHeight="false" outlineLevel="0" collapsed="false">
      <c r="A322" s="37" t="s">
        <v>466</v>
      </c>
      <c r="B322" s="38" t="n">
        <v>45790</v>
      </c>
      <c r="C322" s="37" t="n">
        <f aca="false">MONTH(B322)</f>
        <v>5</v>
      </c>
      <c r="D322" s="37" t="s">
        <v>166</v>
      </c>
      <c r="E322" s="37" t="s">
        <v>44</v>
      </c>
      <c r="F322" s="37" t="s">
        <v>96</v>
      </c>
      <c r="G322" s="37" t="s">
        <v>93</v>
      </c>
      <c r="H322" s="37" t="s">
        <v>122</v>
      </c>
      <c r="I322" s="37" t="n">
        <v>1</v>
      </c>
      <c r="J322" s="39" t="n">
        <v>1799</v>
      </c>
      <c r="K322" s="40" t="n">
        <v>0.15</v>
      </c>
      <c r="L322" s="39" t="n">
        <f aca="false">VLOOKUP(H322,'Product List'!$A$3:$D$18,4,FALSE())</f>
        <v>1250</v>
      </c>
      <c r="M322" s="39" t="n">
        <f aca="false">I322*J322*(1-K322)</f>
        <v>1529.15</v>
      </c>
      <c r="N322" s="39" t="n">
        <f aca="false">I322*L322</f>
        <v>1250</v>
      </c>
      <c r="O322" s="39" t="n">
        <f aca="false">M322-N322</f>
        <v>279.15</v>
      </c>
      <c r="P322" s="41" t="n">
        <f aca="false">IF(M322=0,0,O322/M322)</f>
        <v>0.182552398391263</v>
      </c>
      <c r="Q322" s="37" t="str">
        <f aca="false">IF(K322=0,"No discount",IF(K322&lt;=0.1,"1-10%",IF(K322&lt;=0.2,"11-20%",IF(K322&lt;=0.3,"21-30%","Above 30%"))))</f>
        <v>11-20%</v>
      </c>
      <c r="R322" s="39" t="n">
        <f aca="false">I322*J322*MAX(0,K322-DiscountCap)</f>
        <v>0</v>
      </c>
    </row>
    <row r="323" customFormat="false" ht="15" hidden="false" customHeight="false" outlineLevel="0" collapsed="false">
      <c r="A323" s="37" t="s">
        <v>467</v>
      </c>
      <c r="B323" s="38" t="n">
        <v>45801</v>
      </c>
      <c r="C323" s="37" t="n">
        <f aca="false">MONTH(B323)</f>
        <v>5</v>
      </c>
      <c r="D323" s="37" t="s">
        <v>134</v>
      </c>
      <c r="E323" s="37" t="s">
        <v>45</v>
      </c>
      <c r="F323" s="37" t="s">
        <v>96</v>
      </c>
      <c r="G323" s="37" t="s">
        <v>92</v>
      </c>
      <c r="H323" s="37" t="s">
        <v>115</v>
      </c>
      <c r="I323" s="37" t="n">
        <v>1</v>
      </c>
      <c r="J323" s="39" t="n">
        <v>1799</v>
      </c>
      <c r="K323" s="40" t="n">
        <v>0.1</v>
      </c>
      <c r="L323" s="39" t="n">
        <f aca="false">VLOOKUP(H323,'Product List'!$A$3:$D$18,4,FALSE())</f>
        <v>1150</v>
      </c>
      <c r="M323" s="39" t="n">
        <f aca="false">I323*J323*(1-K323)</f>
        <v>1619.1</v>
      </c>
      <c r="N323" s="39" t="n">
        <f aca="false">I323*L323</f>
        <v>1150</v>
      </c>
      <c r="O323" s="39" t="n">
        <f aca="false">M323-N323</f>
        <v>469.1</v>
      </c>
      <c r="P323" s="41" t="n">
        <f aca="false">IF(M323=0,0,O323/M323)</f>
        <v>0.289728861713298</v>
      </c>
      <c r="Q323" s="37" t="str">
        <f aca="false">IF(K323=0,"No discount",IF(K323&lt;=0.1,"1-10%",IF(K323&lt;=0.2,"11-20%",IF(K323&lt;=0.3,"21-30%","Above 30%"))))</f>
        <v>1-10%</v>
      </c>
      <c r="R323" s="39" t="n">
        <f aca="false">I323*J323*MAX(0,K323-DiscountCap)</f>
        <v>0</v>
      </c>
    </row>
    <row r="324" customFormat="false" ht="15" hidden="false" customHeight="false" outlineLevel="0" collapsed="false">
      <c r="A324" s="37" t="s">
        <v>468</v>
      </c>
      <c r="B324" s="38" t="n">
        <v>45796</v>
      </c>
      <c r="C324" s="37" t="n">
        <f aca="false">MONTH(B324)</f>
        <v>5</v>
      </c>
      <c r="D324" s="37" t="s">
        <v>144</v>
      </c>
      <c r="E324" s="37" t="s">
        <v>45</v>
      </c>
      <c r="F324" s="37" t="s">
        <v>97</v>
      </c>
      <c r="G324" s="37" t="s">
        <v>91</v>
      </c>
      <c r="H324" s="37" t="s">
        <v>116</v>
      </c>
      <c r="I324" s="37" t="n">
        <v>1</v>
      </c>
      <c r="J324" s="39" t="n">
        <v>899</v>
      </c>
      <c r="K324" s="40" t="n">
        <v>0</v>
      </c>
      <c r="L324" s="39" t="n">
        <f aca="false">VLOOKUP(H324,'Product List'!$A$3:$D$18,4,FALSE())</f>
        <v>430</v>
      </c>
      <c r="M324" s="39" t="n">
        <f aca="false">I324*J324*(1-K324)</f>
        <v>899</v>
      </c>
      <c r="N324" s="39" t="n">
        <f aca="false">I324*L324</f>
        <v>430</v>
      </c>
      <c r="O324" s="39" t="n">
        <f aca="false">M324-N324</f>
        <v>469</v>
      </c>
      <c r="P324" s="41" t="n">
        <f aca="false">IF(M324=0,0,O324/M324)</f>
        <v>0.521690767519466</v>
      </c>
      <c r="Q324" s="37" t="str">
        <f aca="false">IF(K324=0,"No discount",IF(K324&lt;=0.1,"1-10%",IF(K324&lt;=0.2,"11-20%",IF(K324&lt;=0.3,"21-30%","Above 30%"))))</f>
        <v>No discount</v>
      </c>
      <c r="R324" s="39" t="n">
        <f aca="false">I324*J324*MAX(0,K324-DiscountCap)</f>
        <v>0</v>
      </c>
    </row>
    <row r="325" customFormat="false" ht="15" hidden="false" customHeight="false" outlineLevel="0" collapsed="false">
      <c r="A325" s="37" t="s">
        <v>469</v>
      </c>
      <c r="B325" s="38" t="n">
        <v>45803</v>
      </c>
      <c r="C325" s="37" t="n">
        <f aca="false">MONTH(B325)</f>
        <v>5</v>
      </c>
      <c r="D325" s="37" t="s">
        <v>140</v>
      </c>
      <c r="E325" s="37" t="s">
        <v>44</v>
      </c>
      <c r="F325" s="37" t="s">
        <v>97</v>
      </c>
      <c r="G325" s="37" t="s">
        <v>90</v>
      </c>
      <c r="H325" s="37" t="s">
        <v>111</v>
      </c>
      <c r="I325" s="37" t="n">
        <v>2</v>
      </c>
      <c r="J325" s="39" t="n">
        <v>2499</v>
      </c>
      <c r="K325" s="40" t="n">
        <v>0</v>
      </c>
      <c r="L325" s="39" t="n">
        <f aca="false">VLOOKUP(H325,'Product List'!$A$3:$D$18,4,FALSE())</f>
        <v>1950</v>
      </c>
      <c r="M325" s="39" t="n">
        <f aca="false">I325*J325*(1-K325)</f>
        <v>4998</v>
      </c>
      <c r="N325" s="39" t="n">
        <f aca="false">I325*L325</f>
        <v>3900</v>
      </c>
      <c r="O325" s="39" t="n">
        <f aca="false">M325-N325</f>
        <v>1098</v>
      </c>
      <c r="P325" s="41" t="n">
        <f aca="false">IF(M325=0,0,O325/M325)</f>
        <v>0.21968787515006</v>
      </c>
      <c r="Q325" s="37" t="str">
        <f aca="false">IF(K325=0,"No discount",IF(K325&lt;=0.1,"1-10%",IF(K325&lt;=0.2,"11-20%",IF(K325&lt;=0.3,"21-30%","Above 30%"))))</f>
        <v>No discount</v>
      </c>
      <c r="R325" s="39" t="n">
        <f aca="false">I325*J325*MAX(0,K325-DiscountCap)</f>
        <v>0</v>
      </c>
    </row>
    <row r="326" customFormat="false" ht="15" hidden="false" customHeight="false" outlineLevel="0" collapsed="false">
      <c r="A326" s="37" t="s">
        <v>470</v>
      </c>
      <c r="B326" s="38" t="n">
        <v>45801</v>
      </c>
      <c r="C326" s="37" t="n">
        <f aca="false">MONTH(B326)</f>
        <v>5</v>
      </c>
      <c r="D326" s="37" t="s">
        <v>136</v>
      </c>
      <c r="E326" s="37" t="s">
        <v>47</v>
      </c>
      <c r="F326" s="37" t="s">
        <v>96</v>
      </c>
      <c r="G326" s="37" t="s">
        <v>90</v>
      </c>
      <c r="H326" s="37" t="s">
        <v>110</v>
      </c>
      <c r="I326" s="37" t="n">
        <v>1</v>
      </c>
      <c r="J326" s="39" t="n">
        <v>1299</v>
      </c>
      <c r="K326" s="40" t="n">
        <v>0.4</v>
      </c>
      <c r="L326" s="39" t="n">
        <f aca="false">VLOOKUP(H326,'Product List'!$A$3:$D$18,4,FALSE())</f>
        <v>1000</v>
      </c>
      <c r="M326" s="39" t="n">
        <f aca="false">I326*J326*(1-K326)</f>
        <v>779.4</v>
      </c>
      <c r="N326" s="39" t="n">
        <f aca="false">I326*L326</f>
        <v>1000</v>
      </c>
      <c r="O326" s="39" t="n">
        <f aca="false">M326-N326</f>
        <v>-220.6</v>
      </c>
      <c r="P326" s="41" t="n">
        <f aca="false">IF(M326=0,0,O326/M326)</f>
        <v>-0.283038234539389</v>
      </c>
      <c r="Q326" s="37" t="str">
        <f aca="false">IF(K326=0,"No discount",IF(K326&lt;=0.1,"1-10%",IF(K326&lt;=0.2,"11-20%",IF(K326&lt;=0.3,"21-30%","Above 30%"))))</f>
        <v>Above 30%</v>
      </c>
      <c r="R326" s="39" t="n">
        <f aca="false">I326*J326*MAX(0,K326-DiscountCap)</f>
        <v>259.8</v>
      </c>
    </row>
    <row r="327" customFormat="false" ht="15" hidden="false" customHeight="false" outlineLevel="0" collapsed="false">
      <c r="A327" s="37" t="s">
        <v>471</v>
      </c>
      <c r="B327" s="38" t="n">
        <v>45784</v>
      </c>
      <c r="C327" s="37" t="n">
        <f aca="false">MONTH(B327)</f>
        <v>5</v>
      </c>
      <c r="D327" s="37" t="s">
        <v>144</v>
      </c>
      <c r="E327" s="37" t="s">
        <v>45</v>
      </c>
      <c r="F327" s="37" t="s">
        <v>96</v>
      </c>
      <c r="G327" s="37" t="s">
        <v>93</v>
      </c>
      <c r="H327" s="37" t="s">
        <v>121</v>
      </c>
      <c r="I327" s="37" t="n">
        <v>1</v>
      </c>
      <c r="J327" s="39" t="n">
        <v>999</v>
      </c>
      <c r="K327" s="40" t="n">
        <v>0</v>
      </c>
      <c r="L327" s="39" t="n">
        <f aca="false">VLOOKUP(H327,'Product List'!$A$3:$D$18,4,FALSE())</f>
        <v>500</v>
      </c>
      <c r="M327" s="39" t="n">
        <f aca="false">I327*J327*(1-K327)</f>
        <v>999</v>
      </c>
      <c r="N327" s="39" t="n">
        <f aca="false">I327*L327</f>
        <v>500</v>
      </c>
      <c r="O327" s="39" t="n">
        <f aca="false">M327-N327</f>
        <v>499</v>
      </c>
      <c r="P327" s="41" t="n">
        <f aca="false">IF(M327=0,0,O327/M327)</f>
        <v>0.4994994994995</v>
      </c>
      <c r="Q327" s="37" t="str">
        <f aca="false">IF(K327=0,"No discount",IF(K327&lt;=0.1,"1-10%",IF(K327&lt;=0.2,"11-20%",IF(K327&lt;=0.3,"21-30%","Above 30%"))))</f>
        <v>No discount</v>
      </c>
      <c r="R327" s="39" t="n">
        <f aca="false">I327*J327*MAX(0,K327-DiscountCap)</f>
        <v>0</v>
      </c>
    </row>
    <row r="328" customFormat="false" ht="15" hidden="false" customHeight="false" outlineLevel="0" collapsed="false">
      <c r="A328" s="37" t="s">
        <v>472</v>
      </c>
      <c r="B328" s="38" t="n">
        <v>45786</v>
      </c>
      <c r="C328" s="37" t="n">
        <f aca="false">MONTH(B328)</f>
        <v>5</v>
      </c>
      <c r="D328" s="37" t="s">
        <v>172</v>
      </c>
      <c r="E328" s="37" t="s">
        <v>46</v>
      </c>
      <c r="F328" s="37" t="s">
        <v>96</v>
      </c>
      <c r="G328" s="37" t="s">
        <v>90</v>
      </c>
      <c r="H328" s="37" t="s">
        <v>109</v>
      </c>
      <c r="I328" s="37" t="n">
        <v>1</v>
      </c>
      <c r="J328" s="39" t="n">
        <v>3499</v>
      </c>
      <c r="K328" s="40" t="n">
        <v>0.05</v>
      </c>
      <c r="L328" s="39" t="n">
        <f aca="false">VLOOKUP(H328,'Product List'!$A$3:$D$18,4,FALSE())</f>
        <v>2750</v>
      </c>
      <c r="M328" s="39" t="n">
        <f aca="false">I328*J328*(1-K328)</f>
        <v>3324.05</v>
      </c>
      <c r="N328" s="39" t="n">
        <f aca="false">I328*L328</f>
        <v>2750</v>
      </c>
      <c r="O328" s="39" t="n">
        <f aca="false">M328-N328</f>
        <v>574.05</v>
      </c>
      <c r="P328" s="41" t="n">
        <f aca="false">IF(M328=0,0,O328/M328)</f>
        <v>0.172695958243709</v>
      </c>
      <c r="Q328" s="37" t="str">
        <f aca="false">IF(K328=0,"No discount",IF(K328&lt;=0.1,"1-10%",IF(K328&lt;=0.2,"11-20%",IF(K328&lt;=0.3,"21-30%","Above 30%"))))</f>
        <v>1-10%</v>
      </c>
      <c r="R328" s="39" t="n">
        <f aca="false">I328*J328*MAX(0,K328-DiscountCap)</f>
        <v>0</v>
      </c>
    </row>
    <row r="329" customFormat="false" ht="15" hidden="false" customHeight="false" outlineLevel="0" collapsed="false">
      <c r="A329" s="37" t="s">
        <v>473</v>
      </c>
      <c r="B329" s="38" t="n">
        <v>45793</v>
      </c>
      <c r="C329" s="37" t="n">
        <f aca="false">MONTH(B329)</f>
        <v>5</v>
      </c>
      <c r="D329" s="37" t="s">
        <v>134</v>
      </c>
      <c r="E329" s="37" t="s">
        <v>45</v>
      </c>
      <c r="F329" s="37" t="s">
        <v>97</v>
      </c>
      <c r="G329" s="37" t="s">
        <v>92</v>
      </c>
      <c r="H329" s="37" t="s">
        <v>112</v>
      </c>
      <c r="I329" s="37" t="n">
        <v>2</v>
      </c>
      <c r="J329" s="39" t="n">
        <v>3299</v>
      </c>
      <c r="K329" s="40" t="n">
        <v>0</v>
      </c>
      <c r="L329" s="39" t="n">
        <f aca="false">VLOOKUP(H329,'Product List'!$A$3:$D$18,4,FALSE())</f>
        <v>2250</v>
      </c>
      <c r="M329" s="39" t="n">
        <f aca="false">I329*J329*(1-K329)</f>
        <v>6598</v>
      </c>
      <c r="N329" s="39" t="n">
        <f aca="false">I329*L329</f>
        <v>4500</v>
      </c>
      <c r="O329" s="39" t="n">
        <f aca="false">M329-N329</f>
        <v>2098</v>
      </c>
      <c r="P329" s="41" t="n">
        <f aca="false">IF(M329=0,0,O329/M329)</f>
        <v>0.317975143983025</v>
      </c>
      <c r="Q329" s="37" t="str">
        <f aca="false">IF(K329=0,"No discount",IF(K329&lt;=0.1,"1-10%",IF(K329&lt;=0.2,"11-20%",IF(K329&lt;=0.3,"21-30%","Above 30%"))))</f>
        <v>No discount</v>
      </c>
      <c r="R329" s="39" t="n">
        <f aca="false">I329*J329*MAX(0,K329-DiscountCap)</f>
        <v>0</v>
      </c>
    </row>
    <row r="330" customFormat="false" ht="15" hidden="false" customHeight="false" outlineLevel="0" collapsed="false">
      <c r="A330" s="37" t="s">
        <v>474</v>
      </c>
      <c r="B330" s="38" t="n">
        <v>45803</v>
      </c>
      <c r="C330" s="37" t="n">
        <f aca="false">MONTH(B330)</f>
        <v>5</v>
      </c>
      <c r="D330" s="37" t="s">
        <v>172</v>
      </c>
      <c r="E330" s="37" t="s">
        <v>46</v>
      </c>
      <c r="F330" s="37" t="s">
        <v>96</v>
      </c>
      <c r="G330" s="37" t="s">
        <v>92</v>
      </c>
      <c r="H330" s="37" t="s">
        <v>114</v>
      </c>
      <c r="I330" s="37" t="n">
        <v>2</v>
      </c>
      <c r="J330" s="39" t="n">
        <v>1199</v>
      </c>
      <c r="K330" s="40" t="n">
        <v>0.15</v>
      </c>
      <c r="L330" s="39" t="n">
        <f aca="false">VLOOKUP(H330,'Product List'!$A$3:$D$18,4,FALSE())</f>
        <v>780</v>
      </c>
      <c r="M330" s="39" t="n">
        <f aca="false">I330*J330*(1-K330)</f>
        <v>2038.3</v>
      </c>
      <c r="N330" s="39" t="n">
        <f aca="false">I330*L330</f>
        <v>1560</v>
      </c>
      <c r="O330" s="39" t="n">
        <f aca="false">M330-N330</f>
        <v>478.3</v>
      </c>
      <c r="P330" s="41" t="n">
        <f aca="false">IF(M330=0,0,O330/M330)</f>
        <v>0.234656331256439</v>
      </c>
      <c r="Q330" s="37" t="str">
        <f aca="false">IF(K330=0,"No discount",IF(K330&lt;=0.1,"1-10%",IF(K330&lt;=0.2,"11-20%",IF(K330&lt;=0.3,"21-30%","Above 30%"))))</f>
        <v>11-20%</v>
      </c>
      <c r="R330" s="39" t="n">
        <f aca="false">I330*J330*MAX(0,K330-DiscountCap)</f>
        <v>0</v>
      </c>
    </row>
    <row r="331" customFormat="false" ht="15" hidden="false" customHeight="false" outlineLevel="0" collapsed="false">
      <c r="A331" s="37" t="s">
        <v>475</v>
      </c>
      <c r="B331" s="38" t="n">
        <v>45796</v>
      </c>
      <c r="C331" s="37" t="n">
        <f aca="false">MONTH(B331)</f>
        <v>5</v>
      </c>
      <c r="D331" s="37" t="s">
        <v>142</v>
      </c>
      <c r="E331" s="37" t="s">
        <v>47</v>
      </c>
      <c r="F331" s="37" t="s">
        <v>96</v>
      </c>
      <c r="G331" s="37" t="s">
        <v>90</v>
      </c>
      <c r="H331" s="37" t="s">
        <v>108</v>
      </c>
      <c r="I331" s="37" t="n">
        <v>1</v>
      </c>
      <c r="J331" s="39" t="n">
        <v>1999</v>
      </c>
      <c r="K331" s="40" t="n">
        <v>0.05</v>
      </c>
      <c r="L331" s="39" t="n">
        <f aca="false">VLOOKUP(H331,'Product List'!$A$3:$D$18,4,FALSE())</f>
        <v>1560</v>
      </c>
      <c r="M331" s="39" t="n">
        <f aca="false">I331*J331*(1-K331)</f>
        <v>1899.05</v>
      </c>
      <c r="N331" s="39" t="n">
        <f aca="false">I331*L331</f>
        <v>1560</v>
      </c>
      <c r="O331" s="39" t="n">
        <f aca="false">M331-N331</f>
        <v>339.05</v>
      </c>
      <c r="P331" s="41" t="n">
        <f aca="false">IF(M331=0,0,O331/M331)</f>
        <v>0.178536636739422</v>
      </c>
      <c r="Q331" s="37" t="str">
        <f aca="false">IF(K331=0,"No discount",IF(K331&lt;=0.1,"1-10%",IF(K331&lt;=0.2,"11-20%",IF(K331&lt;=0.3,"21-30%","Above 30%"))))</f>
        <v>1-10%</v>
      </c>
      <c r="R331" s="39" t="n">
        <f aca="false">I331*J331*MAX(0,K331-DiscountCap)</f>
        <v>0</v>
      </c>
    </row>
    <row r="332" customFormat="false" ht="15" hidden="false" customHeight="false" outlineLevel="0" collapsed="false">
      <c r="A332" s="37" t="s">
        <v>476</v>
      </c>
      <c r="B332" s="38" t="n">
        <v>45802</v>
      </c>
      <c r="C332" s="37" t="n">
        <f aca="false">MONTH(B332)</f>
        <v>5</v>
      </c>
      <c r="D332" s="37" t="s">
        <v>154</v>
      </c>
      <c r="E332" s="37" t="s">
        <v>47</v>
      </c>
      <c r="F332" s="37" t="s">
        <v>96</v>
      </c>
      <c r="G332" s="37" t="s">
        <v>90</v>
      </c>
      <c r="H332" s="37" t="s">
        <v>110</v>
      </c>
      <c r="I332" s="37" t="n">
        <v>1</v>
      </c>
      <c r="J332" s="39" t="n">
        <v>1299</v>
      </c>
      <c r="K332" s="40" t="n">
        <v>0.1</v>
      </c>
      <c r="L332" s="39" t="n">
        <f aca="false">VLOOKUP(H332,'Product List'!$A$3:$D$18,4,FALSE())</f>
        <v>1000</v>
      </c>
      <c r="M332" s="39" t="n">
        <f aca="false">I332*J332*(1-K332)</f>
        <v>1169.1</v>
      </c>
      <c r="N332" s="39" t="n">
        <f aca="false">I332*L332</f>
        <v>1000</v>
      </c>
      <c r="O332" s="39" t="n">
        <f aca="false">M332-N332</f>
        <v>169.1</v>
      </c>
      <c r="P332" s="41" t="n">
        <f aca="false">IF(M332=0,0,O332/M332)</f>
        <v>0.144641176973741</v>
      </c>
      <c r="Q332" s="37" t="str">
        <f aca="false">IF(K332=0,"No discount",IF(K332&lt;=0.1,"1-10%",IF(K332&lt;=0.2,"11-20%",IF(K332&lt;=0.3,"21-30%","Above 30%"))))</f>
        <v>1-10%</v>
      </c>
      <c r="R332" s="39" t="n">
        <f aca="false">I332*J332*MAX(0,K332-DiscountCap)</f>
        <v>0</v>
      </c>
    </row>
    <row r="333" customFormat="false" ht="15" hidden="false" customHeight="false" outlineLevel="0" collapsed="false">
      <c r="A333" s="37" t="s">
        <v>477</v>
      </c>
      <c r="B333" s="38" t="n">
        <v>45798</v>
      </c>
      <c r="C333" s="37" t="n">
        <f aca="false">MONTH(B333)</f>
        <v>5</v>
      </c>
      <c r="D333" s="37" t="s">
        <v>134</v>
      </c>
      <c r="E333" s="37" t="s">
        <v>45</v>
      </c>
      <c r="F333" s="37" t="s">
        <v>97</v>
      </c>
      <c r="G333" s="37" t="s">
        <v>91</v>
      </c>
      <c r="H333" s="37" t="s">
        <v>117</v>
      </c>
      <c r="I333" s="37" t="n">
        <v>1</v>
      </c>
      <c r="J333" s="39" t="n">
        <v>1499</v>
      </c>
      <c r="K333" s="40" t="n">
        <v>0</v>
      </c>
      <c r="L333" s="39" t="n">
        <f aca="false">VLOOKUP(H333,'Product List'!$A$3:$D$18,4,FALSE())</f>
        <v>780</v>
      </c>
      <c r="M333" s="39" t="n">
        <f aca="false">I333*J333*(1-K333)</f>
        <v>1499</v>
      </c>
      <c r="N333" s="39" t="n">
        <f aca="false">I333*L333</f>
        <v>780</v>
      </c>
      <c r="O333" s="39" t="n">
        <f aca="false">M333-N333</f>
        <v>719</v>
      </c>
      <c r="P333" s="41" t="n">
        <f aca="false">IF(M333=0,0,O333/M333)</f>
        <v>0.479653102068045</v>
      </c>
      <c r="Q333" s="37" t="str">
        <f aca="false">IF(K333=0,"No discount",IF(K333&lt;=0.1,"1-10%",IF(K333&lt;=0.2,"11-20%",IF(K333&lt;=0.3,"21-30%","Above 30%"))))</f>
        <v>No discount</v>
      </c>
      <c r="R333" s="39" t="n">
        <f aca="false">I333*J333*MAX(0,K333-DiscountCap)</f>
        <v>0</v>
      </c>
    </row>
    <row r="334" customFormat="false" ht="15" hidden="false" customHeight="false" outlineLevel="0" collapsed="false">
      <c r="A334" s="37" t="s">
        <v>478</v>
      </c>
      <c r="B334" s="38" t="n">
        <v>45782</v>
      </c>
      <c r="C334" s="37" t="n">
        <f aca="false">MONTH(B334)</f>
        <v>5</v>
      </c>
      <c r="D334" s="37" t="s">
        <v>136</v>
      </c>
      <c r="E334" s="37" t="s">
        <v>47</v>
      </c>
      <c r="F334" s="37" t="s">
        <v>96</v>
      </c>
      <c r="G334" s="37" t="s">
        <v>92</v>
      </c>
      <c r="H334" s="37" t="s">
        <v>112</v>
      </c>
      <c r="I334" s="37" t="n">
        <v>3</v>
      </c>
      <c r="J334" s="39" t="n">
        <v>3299</v>
      </c>
      <c r="K334" s="40" t="n">
        <v>0.05</v>
      </c>
      <c r="L334" s="39" t="n">
        <f aca="false">VLOOKUP(H334,'Product List'!$A$3:$D$18,4,FALSE())</f>
        <v>2250</v>
      </c>
      <c r="M334" s="39" t="n">
        <f aca="false">I334*J334*(1-K334)</f>
        <v>9402.15</v>
      </c>
      <c r="N334" s="39" t="n">
        <f aca="false">I334*L334</f>
        <v>6750</v>
      </c>
      <c r="O334" s="39" t="n">
        <f aca="false">M334-N334</f>
        <v>2652.15</v>
      </c>
      <c r="P334" s="41" t="n">
        <f aca="false">IF(M334=0,0,O334/M334)</f>
        <v>0.2820790989295</v>
      </c>
      <c r="Q334" s="37" t="str">
        <f aca="false">IF(K334=0,"No discount",IF(K334&lt;=0.1,"1-10%",IF(K334&lt;=0.2,"11-20%",IF(K334&lt;=0.3,"21-30%","Above 30%"))))</f>
        <v>1-10%</v>
      </c>
      <c r="R334" s="39" t="n">
        <f aca="false">I334*J334*MAX(0,K334-DiscountCap)</f>
        <v>0</v>
      </c>
    </row>
    <row r="335" customFormat="false" ht="15" hidden="false" customHeight="false" outlineLevel="0" collapsed="false">
      <c r="A335" s="37" t="s">
        <v>479</v>
      </c>
      <c r="B335" s="38" t="n">
        <v>45800</v>
      </c>
      <c r="C335" s="37" t="n">
        <f aca="false">MONTH(B335)</f>
        <v>5</v>
      </c>
      <c r="D335" s="37" t="s">
        <v>154</v>
      </c>
      <c r="E335" s="37" t="s">
        <v>47</v>
      </c>
      <c r="F335" s="37" t="s">
        <v>96</v>
      </c>
      <c r="G335" s="37" t="s">
        <v>90</v>
      </c>
      <c r="H335" s="37" t="s">
        <v>111</v>
      </c>
      <c r="I335" s="37" t="n">
        <v>1</v>
      </c>
      <c r="J335" s="39" t="n">
        <v>2499</v>
      </c>
      <c r="K335" s="40" t="n">
        <v>0.1</v>
      </c>
      <c r="L335" s="39" t="n">
        <f aca="false">VLOOKUP(H335,'Product List'!$A$3:$D$18,4,FALSE())</f>
        <v>1950</v>
      </c>
      <c r="M335" s="39" t="n">
        <f aca="false">I335*J335*(1-K335)</f>
        <v>2249.1</v>
      </c>
      <c r="N335" s="39" t="n">
        <f aca="false">I335*L335</f>
        <v>1950</v>
      </c>
      <c r="O335" s="39" t="n">
        <f aca="false">M335-N335</f>
        <v>299.1</v>
      </c>
      <c r="P335" s="41" t="n">
        <f aca="false">IF(M335=0,0,O335/M335)</f>
        <v>0.132986527944511</v>
      </c>
      <c r="Q335" s="37" t="str">
        <f aca="false">IF(K335=0,"No discount",IF(K335&lt;=0.1,"1-10%",IF(K335&lt;=0.2,"11-20%",IF(K335&lt;=0.3,"21-30%","Above 30%"))))</f>
        <v>1-10%</v>
      </c>
      <c r="R335" s="39" t="n">
        <f aca="false">I335*J335*MAX(0,K335-DiscountCap)</f>
        <v>0</v>
      </c>
    </row>
    <row r="336" customFormat="false" ht="15" hidden="false" customHeight="false" outlineLevel="0" collapsed="false">
      <c r="A336" s="37" t="s">
        <v>480</v>
      </c>
      <c r="B336" s="38" t="n">
        <v>45791</v>
      </c>
      <c r="C336" s="37" t="n">
        <f aca="false">MONTH(B336)</f>
        <v>5</v>
      </c>
      <c r="D336" s="37" t="s">
        <v>134</v>
      </c>
      <c r="E336" s="37" t="s">
        <v>45</v>
      </c>
      <c r="F336" s="37" t="s">
        <v>97</v>
      </c>
      <c r="G336" s="37" t="s">
        <v>92</v>
      </c>
      <c r="H336" s="37" t="s">
        <v>114</v>
      </c>
      <c r="I336" s="37" t="n">
        <v>1</v>
      </c>
      <c r="J336" s="39" t="n">
        <v>1199</v>
      </c>
      <c r="K336" s="40" t="n">
        <v>0</v>
      </c>
      <c r="L336" s="39" t="n">
        <f aca="false">VLOOKUP(H336,'Product List'!$A$3:$D$18,4,FALSE())</f>
        <v>780</v>
      </c>
      <c r="M336" s="39" t="n">
        <f aca="false">I336*J336*(1-K336)</f>
        <v>1199</v>
      </c>
      <c r="N336" s="39" t="n">
        <f aca="false">I336*L336</f>
        <v>780</v>
      </c>
      <c r="O336" s="39" t="n">
        <f aca="false">M336-N336</f>
        <v>419</v>
      </c>
      <c r="P336" s="41" t="n">
        <f aca="false">IF(M336=0,0,O336/M336)</f>
        <v>0.349457881567973</v>
      </c>
      <c r="Q336" s="37" t="str">
        <f aca="false">IF(K336=0,"No discount",IF(K336&lt;=0.1,"1-10%",IF(K336&lt;=0.2,"11-20%",IF(K336&lt;=0.3,"21-30%","Above 30%"))))</f>
        <v>No discount</v>
      </c>
      <c r="R336" s="39" t="n">
        <f aca="false">I336*J336*MAX(0,K336-DiscountCap)</f>
        <v>0</v>
      </c>
    </row>
    <row r="337" customFormat="false" ht="15" hidden="false" customHeight="false" outlineLevel="0" collapsed="false">
      <c r="A337" s="37" t="s">
        <v>481</v>
      </c>
      <c r="B337" s="38" t="n">
        <v>45789</v>
      </c>
      <c r="C337" s="37" t="n">
        <f aca="false">MONTH(B337)</f>
        <v>5</v>
      </c>
      <c r="D337" s="37" t="s">
        <v>146</v>
      </c>
      <c r="E337" s="37" t="s">
        <v>45</v>
      </c>
      <c r="F337" s="37" t="s">
        <v>97</v>
      </c>
      <c r="G337" s="37" t="s">
        <v>90</v>
      </c>
      <c r="H337" s="37" t="s">
        <v>109</v>
      </c>
      <c r="I337" s="37" t="n">
        <v>1</v>
      </c>
      <c r="J337" s="39" t="n">
        <v>3499</v>
      </c>
      <c r="K337" s="40" t="n">
        <v>0.05</v>
      </c>
      <c r="L337" s="39" t="n">
        <f aca="false">VLOOKUP(H337,'Product List'!$A$3:$D$18,4,FALSE())</f>
        <v>2750</v>
      </c>
      <c r="M337" s="39" t="n">
        <f aca="false">I337*J337*(1-K337)</f>
        <v>3324.05</v>
      </c>
      <c r="N337" s="39" t="n">
        <f aca="false">I337*L337</f>
        <v>2750</v>
      </c>
      <c r="O337" s="39" t="n">
        <f aca="false">M337-N337</f>
        <v>574.05</v>
      </c>
      <c r="P337" s="41" t="n">
        <f aca="false">IF(M337=0,0,O337/M337)</f>
        <v>0.172695958243709</v>
      </c>
      <c r="Q337" s="37" t="str">
        <f aca="false">IF(K337=0,"No discount",IF(K337&lt;=0.1,"1-10%",IF(K337&lt;=0.2,"11-20%",IF(K337&lt;=0.3,"21-30%","Above 30%"))))</f>
        <v>1-10%</v>
      </c>
      <c r="R337" s="39" t="n">
        <f aca="false">I337*J337*MAX(0,K337-DiscountCap)</f>
        <v>0</v>
      </c>
    </row>
    <row r="338" customFormat="false" ht="15" hidden="false" customHeight="false" outlineLevel="0" collapsed="false">
      <c r="A338" s="37" t="s">
        <v>482</v>
      </c>
      <c r="B338" s="38" t="n">
        <v>45799</v>
      </c>
      <c r="C338" s="37" t="n">
        <f aca="false">MONTH(B338)</f>
        <v>5</v>
      </c>
      <c r="D338" s="37" t="s">
        <v>154</v>
      </c>
      <c r="E338" s="37" t="s">
        <v>47</v>
      </c>
      <c r="F338" s="37" t="s">
        <v>97</v>
      </c>
      <c r="G338" s="37" t="s">
        <v>92</v>
      </c>
      <c r="H338" s="37" t="s">
        <v>113</v>
      </c>
      <c r="I338" s="37" t="n">
        <v>2</v>
      </c>
      <c r="J338" s="39" t="n">
        <v>2199</v>
      </c>
      <c r="K338" s="40" t="n">
        <v>0</v>
      </c>
      <c r="L338" s="39" t="n">
        <f aca="false">VLOOKUP(H338,'Product List'!$A$3:$D$18,4,FALSE())</f>
        <v>1400</v>
      </c>
      <c r="M338" s="39" t="n">
        <f aca="false">I338*J338*(1-K338)</f>
        <v>4398</v>
      </c>
      <c r="N338" s="39" t="n">
        <f aca="false">I338*L338</f>
        <v>2800</v>
      </c>
      <c r="O338" s="39" t="n">
        <f aca="false">M338-N338</f>
        <v>1598</v>
      </c>
      <c r="P338" s="41" t="n">
        <f aca="false">IF(M338=0,0,O338/M338)</f>
        <v>0.363346975898136</v>
      </c>
      <c r="Q338" s="37" t="str">
        <f aca="false">IF(K338=0,"No discount",IF(K338&lt;=0.1,"1-10%",IF(K338&lt;=0.2,"11-20%",IF(K338&lt;=0.3,"21-30%","Above 30%"))))</f>
        <v>No discount</v>
      </c>
      <c r="R338" s="39" t="n">
        <f aca="false">I338*J338*MAX(0,K338-DiscountCap)</f>
        <v>0</v>
      </c>
    </row>
    <row r="339" customFormat="false" ht="15" hidden="false" customHeight="false" outlineLevel="0" collapsed="false">
      <c r="A339" s="37" t="s">
        <v>483</v>
      </c>
      <c r="B339" s="38" t="n">
        <v>45788</v>
      </c>
      <c r="C339" s="37" t="n">
        <f aca="false">MONTH(B339)</f>
        <v>5</v>
      </c>
      <c r="D339" s="37" t="s">
        <v>146</v>
      </c>
      <c r="E339" s="37" t="s">
        <v>45</v>
      </c>
      <c r="F339" s="37" t="s">
        <v>96</v>
      </c>
      <c r="G339" s="37" t="s">
        <v>93</v>
      </c>
      <c r="H339" s="37" t="s">
        <v>121</v>
      </c>
      <c r="I339" s="37" t="n">
        <v>1</v>
      </c>
      <c r="J339" s="39" t="n">
        <v>999</v>
      </c>
      <c r="K339" s="40" t="n">
        <v>0</v>
      </c>
      <c r="L339" s="39" t="n">
        <f aca="false">VLOOKUP(H339,'Product List'!$A$3:$D$18,4,FALSE())</f>
        <v>500</v>
      </c>
      <c r="M339" s="39" t="n">
        <f aca="false">I339*J339*(1-K339)</f>
        <v>999</v>
      </c>
      <c r="N339" s="39" t="n">
        <f aca="false">I339*L339</f>
        <v>500</v>
      </c>
      <c r="O339" s="39" t="n">
        <f aca="false">M339-N339</f>
        <v>499</v>
      </c>
      <c r="P339" s="41" t="n">
        <f aca="false">IF(M339=0,0,O339/M339)</f>
        <v>0.4994994994995</v>
      </c>
      <c r="Q339" s="37" t="str">
        <f aca="false">IF(K339=0,"No discount",IF(K339&lt;=0.1,"1-10%",IF(K339&lt;=0.2,"11-20%",IF(K339&lt;=0.3,"21-30%","Above 30%"))))</f>
        <v>No discount</v>
      </c>
      <c r="R339" s="39" t="n">
        <f aca="false">I339*J339*MAX(0,K339-DiscountCap)</f>
        <v>0</v>
      </c>
    </row>
    <row r="340" customFormat="false" ht="15" hidden="false" customHeight="false" outlineLevel="0" collapsed="false">
      <c r="A340" s="37" t="s">
        <v>484</v>
      </c>
      <c r="B340" s="38" t="n">
        <v>45783</v>
      </c>
      <c r="C340" s="37" t="n">
        <f aca="false">MONTH(B340)</f>
        <v>5</v>
      </c>
      <c r="D340" s="37" t="s">
        <v>140</v>
      </c>
      <c r="E340" s="37" t="s">
        <v>44</v>
      </c>
      <c r="F340" s="37" t="s">
        <v>96</v>
      </c>
      <c r="G340" s="37" t="s">
        <v>91</v>
      </c>
      <c r="H340" s="37" t="s">
        <v>118</v>
      </c>
      <c r="I340" s="37" t="n">
        <v>2</v>
      </c>
      <c r="J340" s="39" t="n">
        <v>2299</v>
      </c>
      <c r="K340" s="40" t="n">
        <v>0.05</v>
      </c>
      <c r="L340" s="39" t="n">
        <f aca="false">VLOOKUP(H340,'Product List'!$A$3:$D$18,4,FALSE())</f>
        <v>1300</v>
      </c>
      <c r="M340" s="39" t="n">
        <f aca="false">I340*J340*(1-K340)</f>
        <v>4368.1</v>
      </c>
      <c r="N340" s="39" t="n">
        <f aca="false">I340*L340</f>
        <v>2600</v>
      </c>
      <c r="O340" s="39" t="n">
        <f aca="false">M340-N340</f>
        <v>1768.1</v>
      </c>
      <c r="P340" s="41" t="n">
        <f aca="false">IF(M340=0,0,O340/M340)</f>
        <v>0.404775531695703</v>
      </c>
      <c r="Q340" s="37" t="str">
        <f aca="false">IF(K340=0,"No discount",IF(K340&lt;=0.1,"1-10%",IF(K340&lt;=0.2,"11-20%",IF(K340&lt;=0.3,"21-30%","Above 30%"))))</f>
        <v>1-10%</v>
      </c>
      <c r="R340" s="39" t="n">
        <f aca="false">I340*J340*MAX(0,K340-DiscountCap)</f>
        <v>0</v>
      </c>
    </row>
    <row r="341" customFormat="false" ht="15" hidden="false" customHeight="false" outlineLevel="0" collapsed="false">
      <c r="A341" s="37" t="s">
        <v>485</v>
      </c>
      <c r="B341" s="38" t="n">
        <v>45788</v>
      </c>
      <c r="C341" s="37" t="n">
        <f aca="false">MONTH(B341)</f>
        <v>5</v>
      </c>
      <c r="D341" s="37" t="s">
        <v>166</v>
      </c>
      <c r="E341" s="37" t="s">
        <v>44</v>
      </c>
      <c r="F341" s="37" t="s">
        <v>97</v>
      </c>
      <c r="G341" s="37" t="s">
        <v>92</v>
      </c>
      <c r="H341" s="37" t="s">
        <v>112</v>
      </c>
      <c r="I341" s="37" t="n">
        <v>1</v>
      </c>
      <c r="J341" s="39" t="n">
        <v>3299</v>
      </c>
      <c r="K341" s="40" t="n">
        <v>0</v>
      </c>
      <c r="L341" s="39" t="n">
        <f aca="false">VLOOKUP(H341,'Product List'!$A$3:$D$18,4,FALSE())</f>
        <v>2250</v>
      </c>
      <c r="M341" s="39" t="n">
        <f aca="false">I341*J341*(1-K341)</f>
        <v>3299</v>
      </c>
      <c r="N341" s="39" t="n">
        <f aca="false">I341*L341</f>
        <v>2250</v>
      </c>
      <c r="O341" s="39" t="n">
        <f aca="false">M341-N341</f>
        <v>1049</v>
      </c>
      <c r="P341" s="41" t="n">
        <f aca="false">IF(M341=0,0,O341/M341)</f>
        <v>0.317975143983025</v>
      </c>
      <c r="Q341" s="37" t="str">
        <f aca="false">IF(K341=0,"No discount",IF(K341&lt;=0.1,"1-10%",IF(K341&lt;=0.2,"11-20%",IF(K341&lt;=0.3,"21-30%","Above 30%"))))</f>
        <v>No discount</v>
      </c>
      <c r="R341" s="39" t="n">
        <f aca="false">I341*J341*MAX(0,K341-DiscountCap)</f>
        <v>0</v>
      </c>
    </row>
    <row r="342" customFormat="false" ht="15" hidden="false" customHeight="false" outlineLevel="0" collapsed="false">
      <c r="A342" s="37" t="s">
        <v>486</v>
      </c>
      <c r="B342" s="38" t="n">
        <v>45779</v>
      </c>
      <c r="C342" s="37" t="n">
        <f aca="false">MONTH(B342)</f>
        <v>5</v>
      </c>
      <c r="D342" s="37" t="s">
        <v>136</v>
      </c>
      <c r="E342" s="37" t="s">
        <v>47</v>
      </c>
      <c r="F342" s="37" t="s">
        <v>97</v>
      </c>
      <c r="G342" s="37" t="s">
        <v>91</v>
      </c>
      <c r="H342" s="37" t="s">
        <v>117</v>
      </c>
      <c r="I342" s="37" t="n">
        <v>2</v>
      </c>
      <c r="J342" s="39" t="n">
        <v>1499</v>
      </c>
      <c r="K342" s="40" t="n">
        <v>0.1</v>
      </c>
      <c r="L342" s="39" t="n">
        <f aca="false">VLOOKUP(H342,'Product List'!$A$3:$D$18,4,FALSE())</f>
        <v>780</v>
      </c>
      <c r="M342" s="39" t="n">
        <f aca="false">I342*J342*(1-K342)</f>
        <v>2698.2</v>
      </c>
      <c r="N342" s="39" t="n">
        <f aca="false">I342*L342</f>
        <v>1560</v>
      </c>
      <c r="O342" s="39" t="n">
        <f aca="false">M342-N342</f>
        <v>1138.2</v>
      </c>
      <c r="P342" s="41" t="n">
        <f aca="false">IF(M342=0,0,O342/M342)</f>
        <v>0.421836780075606</v>
      </c>
      <c r="Q342" s="37" t="str">
        <f aca="false">IF(K342=0,"No discount",IF(K342&lt;=0.1,"1-10%",IF(K342&lt;=0.2,"11-20%",IF(K342&lt;=0.3,"21-30%","Above 30%"))))</f>
        <v>1-10%</v>
      </c>
      <c r="R342" s="39" t="n">
        <f aca="false">I342*J342*MAX(0,K342-DiscountCap)</f>
        <v>0</v>
      </c>
    </row>
    <row r="343" customFormat="false" ht="15" hidden="false" customHeight="false" outlineLevel="0" collapsed="false">
      <c r="A343" s="37" t="s">
        <v>487</v>
      </c>
      <c r="B343" s="38" t="n">
        <v>45787</v>
      </c>
      <c r="C343" s="37" t="n">
        <f aca="false">MONTH(B343)</f>
        <v>5</v>
      </c>
      <c r="D343" s="37" t="s">
        <v>136</v>
      </c>
      <c r="E343" s="37" t="s">
        <v>47</v>
      </c>
      <c r="F343" s="37" t="s">
        <v>96</v>
      </c>
      <c r="G343" s="37" t="s">
        <v>90</v>
      </c>
      <c r="H343" s="37" t="s">
        <v>109</v>
      </c>
      <c r="I343" s="37" t="n">
        <v>2</v>
      </c>
      <c r="J343" s="39" t="n">
        <v>3499</v>
      </c>
      <c r="K343" s="40" t="n">
        <v>0.15</v>
      </c>
      <c r="L343" s="39" t="n">
        <f aca="false">VLOOKUP(H343,'Product List'!$A$3:$D$18,4,FALSE())</f>
        <v>2750</v>
      </c>
      <c r="M343" s="39" t="n">
        <f aca="false">I343*J343*(1-K343)</f>
        <v>5948.3</v>
      </c>
      <c r="N343" s="39" t="n">
        <f aca="false">I343*L343</f>
        <v>5500</v>
      </c>
      <c r="O343" s="39" t="n">
        <f aca="false">M343-N343</f>
        <v>448.3</v>
      </c>
      <c r="P343" s="41" t="n">
        <f aca="false">IF(M343=0,0,O343/M343)</f>
        <v>0.0753660709782627</v>
      </c>
      <c r="Q343" s="37" t="str">
        <f aca="false">IF(K343=0,"No discount",IF(K343&lt;=0.1,"1-10%",IF(K343&lt;=0.2,"11-20%",IF(K343&lt;=0.3,"21-30%","Above 30%"))))</f>
        <v>11-20%</v>
      </c>
      <c r="R343" s="39" t="n">
        <f aca="false">I343*J343*MAX(0,K343-DiscountCap)</f>
        <v>0</v>
      </c>
    </row>
    <row r="344" customFormat="false" ht="15" hidden="false" customHeight="false" outlineLevel="0" collapsed="false">
      <c r="A344" s="37" t="s">
        <v>488</v>
      </c>
      <c r="B344" s="38" t="n">
        <v>45799</v>
      </c>
      <c r="C344" s="37" t="n">
        <f aca="false">MONTH(B344)</f>
        <v>5</v>
      </c>
      <c r="D344" s="37" t="s">
        <v>134</v>
      </c>
      <c r="E344" s="37" t="s">
        <v>45</v>
      </c>
      <c r="F344" s="37" t="s">
        <v>96</v>
      </c>
      <c r="G344" s="37" t="s">
        <v>93</v>
      </c>
      <c r="H344" s="37" t="s">
        <v>120</v>
      </c>
      <c r="I344" s="37" t="n">
        <v>1</v>
      </c>
      <c r="J344" s="39" t="n">
        <v>449</v>
      </c>
      <c r="K344" s="40" t="n">
        <v>0.15</v>
      </c>
      <c r="L344" s="39" t="n">
        <f aca="false">VLOOKUP(H344,'Product List'!$A$3:$D$18,4,FALSE())</f>
        <v>240</v>
      </c>
      <c r="M344" s="39" t="n">
        <f aca="false">I344*J344*(1-K344)</f>
        <v>381.65</v>
      </c>
      <c r="N344" s="39" t="n">
        <f aca="false">I344*L344</f>
        <v>240</v>
      </c>
      <c r="O344" s="39" t="n">
        <f aca="false">M344-N344</f>
        <v>141.65</v>
      </c>
      <c r="P344" s="41" t="n">
        <f aca="false">IF(M344=0,0,O344/M344)</f>
        <v>0.371151578671558</v>
      </c>
      <c r="Q344" s="37" t="str">
        <f aca="false">IF(K344=0,"No discount",IF(K344&lt;=0.1,"1-10%",IF(K344&lt;=0.2,"11-20%",IF(K344&lt;=0.3,"21-30%","Above 30%"))))</f>
        <v>11-20%</v>
      </c>
      <c r="R344" s="39" t="n">
        <f aca="false">I344*J344*MAX(0,K344-DiscountCap)</f>
        <v>0</v>
      </c>
    </row>
    <row r="345" customFormat="false" ht="15" hidden="false" customHeight="false" outlineLevel="0" collapsed="false">
      <c r="A345" s="37" t="s">
        <v>489</v>
      </c>
      <c r="B345" s="38" t="n">
        <v>45805</v>
      </c>
      <c r="C345" s="37" t="n">
        <f aca="false">MONTH(B345)</f>
        <v>5</v>
      </c>
      <c r="D345" s="37" t="s">
        <v>144</v>
      </c>
      <c r="E345" s="37" t="s">
        <v>45</v>
      </c>
      <c r="F345" s="37" t="s">
        <v>97</v>
      </c>
      <c r="G345" s="37" t="s">
        <v>90</v>
      </c>
      <c r="H345" s="37" t="s">
        <v>109</v>
      </c>
      <c r="I345" s="37" t="n">
        <v>1</v>
      </c>
      <c r="J345" s="39" t="n">
        <v>3499</v>
      </c>
      <c r="K345" s="40" t="n">
        <v>0.05</v>
      </c>
      <c r="L345" s="39" t="n">
        <f aca="false">VLOOKUP(H345,'Product List'!$A$3:$D$18,4,FALSE())</f>
        <v>2750</v>
      </c>
      <c r="M345" s="39" t="n">
        <f aca="false">I345*J345*(1-K345)</f>
        <v>3324.05</v>
      </c>
      <c r="N345" s="39" t="n">
        <f aca="false">I345*L345</f>
        <v>2750</v>
      </c>
      <c r="O345" s="39" t="n">
        <f aca="false">M345-N345</f>
        <v>574.05</v>
      </c>
      <c r="P345" s="41" t="n">
        <f aca="false">IF(M345=0,0,O345/M345)</f>
        <v>0.172695958243709</v>
      </c>
      <c r="Q345" s="37" t="str">
        <f aca="false">IF(K345=0,"No discount",IF(K345&lt;=0.1,"1-10%",IF(K345&lt;=0.2,"11-20%",IF(K345&lt;=0.3,"21-30%","Above 30%"))))</f>
        <v>1-10%</v>
      </c>
      <c r="R345" s="39" t="n">
        <f aca="false">I345*J345*MAX(0,K345-DiscountCap)</f>
        <v>0</v>
      </c>
    </row>
    <row r="346" customFormat="false" ht="15" hidden="false" customHeight="false" outlineLevel="0" collapsed="false">
      <c r="A346" s="37" t="s">
        <v>490</v>
      </c>
      <c r="B346" s="38" t="n">
        <v>45804</v>
      </c>
      <c r="C346" s="37" t="n">
        <f aca="false">MONTH(B346)</f>
        <v>5</v>
      </c>
      <c r="D346" s="37" t="s">
        <v>154</v>
      </c>
      <c r="E346" s="37" t="s">
        <v>47</v>
      </c>
      <c r="F346" s="37" t="s">
        <v>96</v>
      </c>
      <c r="G346" s="37" t="s">
        <v>90</v>
      </c>
      <c r="H346" s="37" t="s">
        <v>109</v>
      </c>
      <c r="I346" s="37" t="n">
        <v>1</v>
      </c>
      <c r="J346" s="39" t="n">
        <v>3499</v>
      </c>
      <c r="K346" s="40" t="n">
        <v>0.3</v>
      </c>
      <c r="L346" s="39" t="n">
        <f aca="false">VLOOKUP(H346,'Product List'!$A$3:$D$18,4,FALSE())</f>
        <v>2750</v>
      </c>
      <c r="M346" s="39" t="n">
        <f aca="false">I346*J346*(1-K346)</f>
        <v>2449.3</v>
      </c>
      <c r="N346" s="39" t="n">
        <f aca="false">I346*L346</f>
        <v>2750</v>
      </c>
      <c r="O346" s="39" t="n">
        <f aca="false">M346-N346</f>
        <v>-300.7</v>
      </c>
      <c r="P346" s="41" t="n">
        <f aca="false">IF(M346=0,0,O346/M346)</f>
        <v>-0.122769770954967</v>
      </c>
      <c r="Q346" s="37" t="str">
        <f aca="false">IF(K346=0,"No discount",IF(K346&lt;=0.1,"1-10%",IF(K346&lt;=0.2,"11-20%",IF(K346&lt;=0.3,"21-30%","Above 30%"))))</f>
        <v>21-30%</v>
      </c>
      <c r="R346" s="39" t="n">
        <f aca="false">I346*J346*MAX(0,K346-DiscountCap)</f>
        <v>349.9</v>
      </c>
    </row>
    <row r="347" customFormat="false" ht="15" hidden="false" customHeight="false" outlineLevel="0" collapsed="false">
      <c r="A347" s="37" t="s">
        <v>491</v>
      </c>
      <c r="B347" s="38" t="n">
        <v>45805</v>
      </c>
      <c r="C347" s="37" t="n">
        <f aca="false">MONTH(B347)</f>
        <v>5</v>
      </c>
      <c r="D347" s="37" t="s">
        <v>154</v>
      </c>
      <c r="E347" s="37" t="s">
        <v>47</v>
      </c>
      <c r="F347" s="37" t="s">
        <v>97</v>
      </c>
      <c r="G347" s="37" t="s">
        <v>90</v>
      </c>
      <c r="H347" s="37" t="s">
        <v>110</v>
      </c>
      <c r="I347" s="37" t="n">
        <v>2</v>
      </c>
      <c r="J347" s="39" t="n">
        <v>1299</v>
      </c>
      <c r="K347" s="40" t="n">
        <v>0.15</v>
      </c>
      <c r="L347" s="39" t="n">
        <f aca="false">VLOOKUP(H347,'Product List'!$A$3:$D$18,4,FALSE())</f>
        <v>1000</v>
      </c>
      <c r="M347" s="39" t="n">
        <f aca="false">I347*J347*(1-K347)</f>
        <v>2208.3</v>
      </c>
      <c r="N347" s="39" t="n">
        <f aca="false">I347*L347</f>
        <v>2000</v>
      </c>
      <c r="O347" s="39" t="n">
        <f aca="false">M347-N347</f>
        <v>208.3</v>
      </c>
      <c r="P347" s="41" t="n">
        <f aca="false">IF(M347=0,0,O347/M347)</f>
        <v>0.0943259520898428</v>
      </c>
      <c r="Q347" s="37" t="str">
        <f aca="false">IF(K347=0,"No discount",IF(K347&lt;=0.1,"1-10%",IF(K347&lt;=0.2,"11-20%",IF(K347&lt;=0.3,"21-30%","Above 30%"))))</f>
        <v>11-20%</v>
      </c>
      <c r="R347" s="39" t="n">
        <f aca="false">I347*J347*MAX(0,K347-DiscountCap)</f>
        <v>0</v>
      </c>
    </row>
    <row r="348" customFormat="false" ht="15" hidden="false" customHeight="false" outlineLevel="0" collapsed="false">
      <c r="A348" s="37" t="s">
        <v>492</v>
      </c>
      <c r="B348" s="38" t="n">
        <v>45788</v>
      </c>
      <c r="C348" s="37" t="n">
        <f aca="false">MONTH(B348)</f>
        <v>5</v>
      </c>
      <c r="D348" s="37" t="s">
        <v>142</v>
      </c>
      <c r="E348" s="37" t="s">
        <v>47</v>
      </c>
      <c r="F348" s="37" t="s">
        <v>97</v>
      </c>
      <c r="G348" s="37" t="s">
        <v>93</v>
      </c>
      <c r="H348" s="37" t="s">
        <v>120</v>
      </c>
      <c r="I348" s="37" t="n">
        <v>1</v>
      </c>
      <c r="J348" s="39" t="n">
        <v>449</v>
      </c>
      <c r="K348" s="40" t="n">
        <v>0.15</v>
      </c>
      <c r="L348" s="39" t="n">
        <f aca="false">VLOOKUP(H348,'Product List'!$A$3:$D$18,4,FALSE())</f>
        <v>240</v>
      </c>
      <c r="M348" s="39" t="n">
        <f aca="false">I348*J348*(1-K348)</f>
        <v>381.65</v>
      </c>
      <c r="N348" s="39" t="n">
        <f aca="false">I348*L348</f>
        <v>240</v>
      </c>
      <c r="O348" s="39" t="n">
        <f aca="false">M348-N348</f>
        <v>141.65</v>
      </c>
      <c r="P348" s="41" t="n">
        <f aca="false">IF(M348=0,0,O348/M348)</f>
        <v>0.371151578671558</v>
      </c>
      <c r="Q348" s="37" t="str">
        <f aca="false">IF(K348=0,"No discount",IF(K348&lt;=0.1,"1-10%",IF(K348&lt;=0.2,"11-20%",IF(K348&lt;=0.3,"21-30%","Above 30%"))))</f>
        <v>11-20%</v>
      </c>
      <c r="R348" s="39" t="n">
        <f aca="false">I348*J348*MAX(0,K348-DiscountCap)</f>
        <v>0</v>
      </c>
    </row>
    <row r="349" customFormat="false" ht="15" hidden="false" customHeight="false" outlineLevel="0" collapsed="false">
      <c r="A349" s="37" t="s">
        <v>493</v>
      </c>
      <c r="B349" s="38" t="n">
        <v>45789</v>
      </c>
      <c r="C349" s="37" t="n">
        <f aca="false">MONTH(B349)</f>
        <v>5</v>
      </c>
      <c r="D349" s="37" t="s">
        <v>144</v>
      </c>
      <c r="E349" s="37" t="s">
        <v>45</v>
      </c>
      <c r="F349" s="37" t="s">
        <v>96</v>
      </c>
      <c r="G349" s="37" t="s">
        <v>90</v>
      </c>
      <c r="H349" s="37" t="s">
        <v>111</v>
      </c>
      <c r="I349" s="37" t="n">
        <v>1</v>
      </c>
      <c r="J349" s="39" t="n">
        <v>2499</v>
      </c>
      <c r="K349" s="40" t="n">
        <v>0.25</v>
      </c>
      <c r="L349" s="39" t="n">
        <f aca="false">VLOOKUP(H349,'Product List'!$A$3:$D$18,4,FALSE())</f>
        <v>1950</v>
      </c>
      <c r="M349" s="39" t="n">
        <f aca="false">I349*J349*(1-K349)</f>
        <v>1874.25</v>
      </c>
      <c r="N349" s="39" t="n">
        <f aca="false">I349*L349</f>
        <v>1950</v>
      </c>
      <c r="O349" s="39" t="n">
        <f aca="false">M349-N349</f>
        <v>-75.75</v>
      </c>
      <c r="P349" s="41" t="n">
        <f aca="false">IF(M349=0,0,O349/M349)</f>
        <v>-0.0404161664665866</v>
      </c>
      <c r="Q349" s="37" t="str">
        <f aca="false">IF(K349=0,"No discount",IF(K349&lt;=0.1,"1-10%",IF(K349&lt;=0.2,"11-20%",IF(K349&lt;=0.3,"21-30%","Above 30%"))))</f>
        <v>21-30%</v>
      </c>
      <c r="R349" s="39" t="n">
        <f aca="false">I349*J349*MAX(0,K349-DiscountCap)</f>
        <v>124.95</v>
      </c>
    </row>
    <row r="350" customFormat="false" ht="15" hidden="false" customHeight="false" outlineLevel="0" collapsed="false">
      <c r="A350" s="37" t="s">
        <v>494</v>
      </c>
      <c r="B350" s="38" t="n">
        <v>45793</v>
      </c>
      <c r="C350" s="37" t="n">
        <f aca="false">MONTH(B350)</f>
        <v>5</v>
      </c>
      <c r="D350" s="37" t="s">
        <v>136</v>
      </c>
      <c r="E350" s="37" t="s">
        <v>47</v>
      </c>
      <c r="F350" s="37" t="s">
        <v>96</v>
      </c>
      <c r="G350" s="37" t="s">
        <v>90</v>
      </c>
      <c r="H350" s="37" t="s">
        <v>111</v>
      </c>
      <c r="I350" s="37" t="n">
        <v>3</v>
      </c>
      <c r="J350" s="39" t="n">
        <v>2499</v>
      </c>
      <c r="K350" s="40" t="n">
        <v>0.1</v>
      </c>
      <c r="L350" s="39" t="n">
        <f aca="false">VLOOKUP(H350,'Product List'!$A$3:$D$18,4,FALSE())</f>
        <v>1950</v>
      </c>
      <c r="M350" s="39" t="n">
        <f aca="false">I350*J350*(1-K350)</f>
        <v>6747.3</v>
      </c>
      <c r="N350" s="39" t="n">
        <f aca="false">I350*L350</f>
        <v>5850</v>
      </c>
      <c r="O350" s="39" t="n">
        <f aca="false">M350-N350</f>
        <v>897.3</v>
      </c>
      <c r="P350" s="41" t="n">
        <f aca="false">IF(M350=0,0,O350/M350)</f>
        <v>0.132986527944511</v>
      </c>
      <c r="Q350" s="37" t="str">
        <f aca="false">IF(K350=0,"No discount",IF(K350&lt;=0.1,"1-10%",IF(K350&lt;=0.2,"11-20%",IF(K350&lt;=0.3,"21-30%","Above 30%"))))</f>
        <v>1-10%</v>
      </c>
      <c r="R350" s="39" t="n">
        <f aca="false">I350*J350*MAX(0,K350-DiscountCap)</f>
        <v>0</v>
      </c>
    </row>
    <row r="351" customFormat="false" ht="15" hidden="false" customHeight="false" outlineLevel="0" collapsed="false">
      <c r="A351" s="37" t="s">
        <v>495</v>
      </c>
      <c r="B351" s="38" t="n">
        <v>45788</v>
      </c>
      <c r="C351" s="37" t="n">
        <f aca="false">MONTH(B351)</f>
        <v>5</v>
      </c>
      <c r="D351" s="37" t="s">
        <v>134</v>
      </c>
      <c r="E351" s="37" t="s">
        <v>45</v>
      </c>
      <c r="F351" s="37" t="s">
        <v>97</v>
      </c>
      <c r="G351" s="37" t="s">
        <v>91</v>
      </c>
      <c r="H351" s="37" t="s">
        <v>117</v>
      </c>
      <c r="I351" s="37" t="n">
        <v>1</v>
      </c>
      <c r="J351" s="39" t="n">
        <v>1499</v>
      </c>
      <c r="K351" s="40" t="n">
        <v>0.05</v>
      </c>
      <c r="L351" s="39" t="n">
        <f aca="false">VLOOKUP(H351,'Product List'!$A$3:$D$18,4,FALSE())</f>
        <v>780</v>
      </c>
      <c r="M351" s="39" t="n">
        <f aca="false">I351*J351*(1-K351)</f>
        <v>1424.05</v>
      </c>
      <c r="N351" s="39" t="n">
        <f aca="false">I351*L351</f>
        <v>780</v>
      </c>
      <c r="O351" s="39" t="n">
        <f aca="false">M351-N351</f>
        <v>644.05</v>
      </c>
      <c r="P351" s="41" t="n">
        <f aca="false">IF(M351=0,0,O351/M351)</f>
        <v>0.452266423229521</v>
      </c>
      <c r="Q351" s="37" t="str">
        <f aca="false">IF(K351=0,"No discount",IF(K351&lt;=0.1,"1-10%",IF(K351&lt;=0.2,"11-20%",IF(K351&lt;=0.3,"21-30%","Above 30%"))))</f>
        <v>1-10%</v>
      </c>
      <c r="R351" s="39" t="n">
        <f aca="false">I351*J351*MAX(0,K351-DiscountCap)</f>
        <v>0</v>
      </c>
    </row>
    <row r="352" customFormat="false" ht="15" hidden="false" customHeight="false" outlineLevel="0" collapsed="false">
      <c r="A352" s="37" t="s">
        <v>496</v>
      </c>
      <c r="B352" s="38" t="n">
        <v>45787</v>
      </c>
      <c r="C352" s="37" t="n">
        <f aca="false">MONTH(B352)</f>
        <v>5</v>
      </c>
      <c r="D352" s="37" t="s">
        <v>160</v>
      </c>
      <c r="E352" s="37" t="s">
        <v>46</v>
      </c>
      <c r="F352" s="37" t="s">
        <v>96</v>
      </c>
      <c r="G352" s="37" t="s">
        <v>90</v>
      </c>
      <c r="H352" s="37" t="s">
        <v>111</v>
      </c>
      <c r="I352" s="37" t="n">
        <v>1</v>
      </c>
      <c r="J352" s="39" t="n">
        <v>2499</v>
      </c>
      <c r="K352" s="40" t="n">
        <v>0.15</v>
      </c>
      <c r="L352" s="39" t="n">
        <f aca="false">VLOOKUP(H352,'Product List'!$A$3:$D$18,4,FALSE())</f>
        <v>1950</v>
      </c>
      <c r="M352" s="39" t="n">
        <f aca="false">I352*J352*(1-K352)</f>
        <v>2124.15</v>
      </c>
      <c r="N352" s="39" t="n">
        <f aca="false">I352*L352</f>
        <v>1950</v>
      </c>
      <c r="O352" s="39" t="n">
        <f aca="false">M352-N352</f>
        <v>174.15</v>
      </c>
      <c r="P352" s="41" t="n">
        <f aca="false">IF(M352=0,0,O352/M352)</f>
        <v>0.0819857354706589</v>
      </c>
      <c r="Q352" s="37" t="str">
        <f aca="false">IF(K352=0,"No discount",IF(K352&lt;=0.1,"1-10%",IF(K352&lt;=0.2,"11-20%",IF(K352&lt;=0.3,"21-30%","Above 30%"))))</f>
        <v>11-20%</v>
      </c>
      <c r="R352" s="39" t="n">
        <f aca="false">I352*J352*MAX(0,K352-DiscountCap)</f>
        <v>0</v>
      </c>
    </row>
    <row r="353" customFormat="false" ht="15" hidden="false" customHeight="false" outlineLevel="0" collapsed="false">
      <c r="A353" s="37" t="s">
        <v>497</v>
      </c>
      <c r="B353" s="38" t="n">
        <v>45793</v>
      </c>
      <c r="C353" s="37" t="n">
        <f aca="false">MONTH(B353)</f>
        <v>5</v>
      </c>
      <c r="D353" s="37" t="s">
        <v>142</v>
      </c>
      <c r="E353" s="37" t="s">
        <v>47</v>
      </c>
      <c r="F353" s="37" t="s">
        <v>96</v>
      </c>
      <c r="G353" s="37" t="s">
        <v>90</v>
      </c>
      <c r="H353" s="37" t="s">
        <v>109</v>
      </c>
      <c r="I353" s="37" t="n">
        <v>1</v>
      </c>
      <c r="J353" s="39" t="n">
        <v>3499</v>
      </c>
      <c r="K353" s="40" t="n">
        <v>0.1</v>
      </c>
      <c r="L353" s="39" t="n">
        <f aca="false">VLOOKUP(H353,'Product List'!$A$3:$D$18,4,FALSE())</f>
        <v>2750</v>
      </c>
      <c r="M353" s="39" t="n">
        <f aca="false">I353*J353*(1-K353)</f>
        <v>3149.1</v>
      </c>
      <c r="N353" s="39" t="n">
        <f aca="false">I353*L353</f>
        <v>2750</v>
      </c>
      <c r="O353" s="39" t="n">
        <f aca="false">M353-N353</f>
        <v>399.1</v>
      </c>
      <c r="P353" s="41" t="n">
        <f aca="false">IF(M353=0,0,O353/M353)</f>
        <v>0.126734622590581</v>
      </c>
      <c r="Q353" s="37" t="str">
        <f aca="false">IF(K353=0,"No discount",IF(K353&lt;=0.1,"1-10%",IF(K353&lt;=0.2,"11-20%",IF(K353&lt;=0.3,"21-30%","Above 30%"))))</f>
        <v>1-10%</v>
      </c>
      <c r="R353" s="39" t="n">
        <f aca="false">I353*J353*MAX(0,K353-DiscountCap)</f>
        <v>0</v>
      </c>
    </row>
    <row r="354" customFormat="false" ht="15" hidden="false" customHeight="false" outlineLevel="0" collapsed="false">
      <c r="A354" s="37" t="s">
        <v>498</v>
      </c>
      <c r="B354" s="38" t="n">
        <v>45810</v>
      </c>
      <c r="C354" s="37" t="n">
        <f aca="false">MONTH(B354)</f>
        <v>6</v>
      </c>
      <c r="D354" s="37" t="s">
        <v>169</v>
      </c>
      <c r="E354" s="37" t="s">
        <v>44</v>
      </c>
      <c r="F354" s="37" t="s">
        <v>96</v>
      </c>
      <c r="G354" s="37" t="s">
        <v>90</v>
      </c>
      <c r="H354" s="37" t="s">
        <v>111</v>
      </c>
      <c r="I354" s="37" t="n">
        <v>2</v>
      </c>
      <c r="J354" s="39" t="n">
        <v>2499</v>
      </c>
      <c r="K354" s="40" t="n">
        <v>0.15</v>
      </c>
      <c r="L354" s="39" t="n">
        <f aca="false">VLOOKUP(H354,'Product List'!$A$3:$D$18,4,FALSE())</f>
        <v>1950</v>
      </c>
      <c r="M354" s="39" t="n">
        <f aca="false">I354*J354*(1-K354)</f>
        <v>4248.3</v>
      </c>
      <c r="N354" s="39" t="n">
        <f aca="false">I354*L354</f>
        <v>3900</v>
      </c>
      <c r="O354" s="39" t="n">
        <f aca="false">M354-N354</f>
        <v>348.3</v>
      </c>
      <c r="P354" s="41" t="n">
        <f aca="false">IF(M354=0,0,O354/M354)</f>
        <v>0.0819857354706589</v>
      </c>
      <c r="Q354" s="37" t="str">
        <f aca="false">IF(K354=0,"No discount",IF(K354&lt;=0.1,"1-10%",IF(K354&lt;=0.2,"11-20%",IF(K354&lt;=0.3,"21-30%","Above 30%"))))</f>
        <v>11-20%</v>
      </c>
      <c r="R354" s="39" t="n">
        <f aca="false">I354*J354*MAX(0,K354-DiscountCap)</f>
        <v>0</v>
      </c>
    </row>
    <row r="355" customFormat="false" ht="15" hidden="false" customHeight="false" outlineLevel="0" collapsed="false">
      <c r="A355" s="37" t="s">
        <v>499</v>
      </c>
      <c r="B355" s="38" t="n">
        <v>45833</v>
      </c>
      <c r="C355" s="37" t="n">
        <f aca="false">MONTH(B355)</f>
        <v>6</v>
      </c>
      <c r="D355" s="37" t="s">
        <v>140</v>
      </c>
      <c r="E355" s="37" t="s">
        <v>44</v>
      </c>
      <c r="F355" s="37" t="s">
        <v>96</v>
      </c>
      <c r="G355" s="37" t="s">
        <v>91</v>
      </c>
      <c r="H355" s="37" t="s">
        <v>118</v>
      </c>
      <c r="I355" s="37" t="n">
        <v>5</v>
      </c>
      <c r="J355" s="39" t="n">
        <v>2299</v>
      </c>
      <c r="K355" s="40" t="n">
        <v>0</v>
      </c>
      <c r="L355" s="39" t="n">
        <f aca="false">VLOOKUP(H355,'Product List'!$A$3:$D$18,4,FALSE())</f>
        <v>1300</v>
      </c>
      <c r="M355" s="39" t="n">
        <f aca="false">I355*J355*(1-K355)</f>
        <v>11495</v>
      </c>
      <c r="N355" s="39" t="n">
        <f aca="false">I355*L355</f>
        <v>6500</v>
      </c>
      <c r="O355" s="39" t="n">
        <f aca="false">M355-N355</f>
        <v>4995</v>
      </c>
      <c r="P355" s="41" t="n">
        <f aca="false">IF(M355=0,0,O355/M355)</f>
        <v>0.434536755110918</v>
      </c>
      <c r="Q355" s="37" t="str">
        <f aca="false">IF(K355=0,"No discount",IF(K355&lt;=0.1,"1-10%",IF(K355&lt;=0.2,"11-20%",IF(K355&lt;=0.3,"21-30%","Above 30%"))))</f>
        <v>No discount</v>
      </c>
      <c r="R355" s="39" t="n">
        <f aca="false">I355*J355*MAX(0,K355-DiscountCap)</f>
        <v>0</v>
      </c>
    </row>
    <row r="356" customFormat="false" ht="15" hidden="false" customHeight="false" outlineLevel="0" collapsed="false">
      <c r="A356" s="37" t="s">
        <v>500</v>
      </c>
      <c r="B356" s="38" t="n">
        <v>45821</v>
      </c>
      <c r="C356" s="37" t="n">
        <f aca="false">MONTH(B356)</f>
        <v>6</v>
      </c>
      <c r="D356" s="37" t="s">
        <v>134</v>
      </c>
      <c r="E356" s="37" t="s">
        <v>45</v>
      </c>
      <c r="F356" s="37" t="s">
        <v>97</v>
      </c>
      <c r="G356" s="37" t="s">
        <v>91</v>
      </c>
      <c r="H356" s="37" t="s">
        <v>117</v>
      </c>
      <c r="I356" s="37" t="n">
        <v>4</v>
      </c>
      <c r="J356" s="39" t="n">
        <v>1499</v>
      </c>
      <c r="K356" s="40" t="n">
        <v>0</v>
      </c>
      <c r="L356" s="39" t="n">
        <f aca="false">VLOOKUP(H356,'Product List'!$A$3:$D$18,4,FALSE())</f>
        <v>780</v>
      </c>
      <c r="M356" s="39" t="n">
        <f aca="false">I356*J356*(1-K356)</f>
        <v>5996</v>
      </c>
      <c r="N356" s="39" t="n">
        <f aca="false">I356*L356</f>
        <v>3120</v>
      </c>
      <c r="O356" s="39" t="n">
        <f aca="false">M356-N356</f>
        <v>2876</v>
      </c>
      <c r="P356" s="41" t="n">
        <f aca="false">IF(M356=0,0,O356/M356)</f>
        <v>0.479653102068045</v>
      </c>
      <c r="Q356" s="37" t="str">
        <f aca="false">IF(K356=0,"No discount",IF(K356&lt;=0.1,"1-10%",IF(K356&lt;=0.2,"11-20%",IF(K356&lt;=0.3,"21-30%","Above 30%"))))</f>
        <v>No discount</v>
      </c>
      <c r="R356" s="39" t="n">
        <f aca="false">I356*J356*MAX(0,K356-DiscountCap)</f>
        <v>0</v>
      </c>
    </row>
    <row r="357" customFormat="false" ht="15" hidden="false" customHeight="false" outlineLevel="0" collapsed="false">
      <c r="A357" s="37" t="s">
        <v>501</v>
      </c>
      <c r="B357" s="38" t="n">
        <v>45826</v>
      </c>
      <c r="C357" s="37" t="n">
        <f aca="false">MONTH(B357)</f>
        <v>6</v>
      </c>
      <c r="D357" s="37" t="s">
        <v>142</v>
      </c>
      <c r="E357" s="37" t="s">
        <v>47</v>
      </c>
      <c r="F357" s="37" t="s">
        <v>96</v>
      </c>
      <c r="G357" s="37" t="s">
        <v>90</v>
      </c>
      <c r="H357" s="37" t="s">
        <v>110</v>
      </c>
      <c r="I357" s="37" t="n">
        <v>1</v>
      </c>
      <c r="J357" s="39" t="n">
        <v>1299</v>
      </c>
      <c r="K357" s="40" t="n">
        <v>0.3</v>
      </c>
      <c r="L357" s="39" t="n">
        <f aca="false">VLOOKUP(H357,'Product List'!$A$3:$D$18,4,FALSE())</f>
        <v>1000</v>
      </c>
      <c r="M357" s="39" t="n">
        <f aca="false">I357*J357*(1-K357)</f>
        <v>909.3</v>
      </c>
      <c r="N357" s="39" t="n">
        <f aca="false">I357*L357</f>
        <v>1000</v>
      </c>
      <c r="O357" s="39" t="n">
        <f aca="false">M357-N357</f>
        <v>-90.7000000000001</v>
      </c>
      <c r="P357" s="41" t="n">
        <f aca="false">IF(M357=0,0,O357/M357)</f>
        <v>-0.0997470581766194</v>
      </c>
      <c r="Q357" s="37" t="str">
        <f aca="false">IF(K357=0,"No discount",IF(K357&lt;=0.1,"1-10%",IF(K357&lt;=0.2,"11-20%",IF(K357&lt;=0.3,"21-30%","Above 30%"))))</f>
        <v>21-30%</v>
      </c>
      <c r="R357" s="39" t="n">
        <f aca="false">I357*J357*MAX(0,K357-DiscountCap)</f>
        <v>129.9</v>
      </c>
    </row>
    <row r="358" customFormat="false" ht="15" hidden="false" customHeight="false" outlineLevel="0" collapsed="false">
      <c r="A358" s="37" t="s">
        <v>502</v>
      </c>
      <c r="B358" s="38" t="n">
        <v>45834</v>
      </c>
      <c r="C358" s="37" t="n">
        <f aca="false">MONTH(B358)</f>
        <v>6</v>
      </c>
      <c r="D358" s="37" t="s">
        <v>140</v>
      </c>
      <c r="E358" s="37" t="s">
        <v>44</v>
      </c>
      <c r="F358" s="37" t="s">
        <v>96</v>
      </c>
      <c r="G358" s="37" t="s">
        <v>90</v>
      </c>
      <c r="H358" s="37" t="s">
        <v>108</v>
      </c>
      <c r="I358" s="37" t="n">
        <v>1</v>
      </c>
      <c r="J358" s="39" t="n">
        <v>1999</v>
      </c>
      <c r="K358" s="40" t="n">
        <v>0.05</v>
      </c>
      <c r="L358" s="39" t="n">
        <f aca="false">VLOOKUP(H358,'Product List'!$A$3:$D$18,4,FALSE())</f>
        <v>1560</v>
      </c>
      <c r="M358" s="39" t="n">
        <f aca="false">I358*J358*(1-K358)</f>
        <v>1899.05</v>
      </c>
      <c r="N358" s="39" t="n">
        <f aca="false">I358*L358</f>
        <v>1560</v>
      </c>
      <c r="O358" s="39" t="n">
        <f aca="false">M358-N358</f>
        <v>339.05</v>
      </c>
      <c r="P358" s="41" t="n">
        <f aca="false">IF(M358=0,0,O358/M358)</f>
        <v>0.178536636739422</v>
      </c>
      <c r="Q358" s="37" t="str">
        <f aca="false">IF(K358=0,"No discount",IF(K358&lt;=0.1,"1-10%",IF(K358&lt;=0.2,"11-20%",IF(K358&lt;=0.3,"21-30%","Above 30%"))))</f>
        <v>1-10%</v>
      </c>
      <c r="R358" s="39" t="n">
        <f aca="false">I358*J358*MAX(0,K358-DiscountCap)</f>
        <v>0</v>
      </c>
    </row>
    <row r="359" customFormat="false" ht="15" hidden="false" customHeight="false" outlineLevel="0" collapsed="false">
      <c r="A359" s="37" t="s">
        <v>503</v>
      </c>
      <c r="B359" s="38" t="n">
        <v>45810</v>
      </c>
      <c r="C359" s="37" t="n">
        <f aca="false">MONTH(B359)</f>
        <v>6</v>
      </c>
      <c r="D359" s="37" t="s">
        <v>166</v>
      </c>
      <c r="E359" s="37" t="s">
        <v>44</v>
      </c>
      <c r="F359" s="37" t="s">
        <v>97</v>
      </c>
      <c r="G359" s="37" t="s">
        <v>90</v>
      </c>
      <c r="H359" s="37" t="s">
        <v>109</v>
      </c>
      <c r="I359" s="37" t="n">
        <v>5</v>
      </c>
      <c r="J359" s="39" t="n">
        <v>3499</v>
      </c>
      <c r="K359" s="40" t="n">
        <v>0.05</v>
      </c>
      <c r="L359" s="39" t="n">
        <f aca="false">VLOOKUP(H359,'Product List'!$A$3:$D$18,4,FALSE())</f>
        <v>2750</v>
      </c>
      <c r="M359" s="39" t="n">
        <f aca="false">I359*J359*(1-K359)</f>
        <v>16620.25</v>
      </c>
      <c r="N359" s="39" t="n">
        <f aca="false">I359*L359</f>
        <v>13750</v>
      </c>
      <c r="O359" s="39" t="n">
        <f aca="false">M359-N359</f>
        <v>2870.25</v>
      </c>
      <c r="P359" s="41" t="n">
        <f aca="false">IF(M359=0,0,O359/M359)</f>
        <v>0.172695958243709</v>
      </c>
      <c r="Q359" s="37" t="str">
        <f aca="false">IF(K359=0,"No discount",IF(K359&lt;=0.1,"1-10%",IF(K359&lt;=0.2,"11-20%",IF(K359&lt;=0.3,"21-30%","Above 30%"))))</f>
        <v>1-10%</v>
      </c>
      <c r="R359" s="39" t="n">
        <f aca="false">I359*J359*MAX(0,K359-DiscountCap)</f>
        <v>0</v>
      </c>
    </row>
    <row r="360" customFormat="false" ht="15" hidden="false" customHeight="false" outlineLevel="0" collapsed="false">
      <c r="A360" s="37" t="s">
        <v>504</v>
      </c>
      <c r="B360" s="38" t="n">
        <v>45824</v>
      </c>
      <c r="C360" s="37" t="n">
        <f aca="false">MONTH(B360)</f>
        <v>6</v>
      </c>
      <c r="D360" s="37" t="s">
        <v>160</v>
      </c>
      <c r="E360" s="37" t="s">
        <v>46</v>
      </c>
      <c r="F360" s="37" t="s">
        <v>96</v>
      </c>
      <c r="G360" s="37" t="s">
        <v>91</v>
      </c>
      <c r="H360" s="37" t="s">
        <v>118</v>
      </c>
      <c r="I360" s="37" t="n">
        <v>1</v>
      </c>
      <c r="J360" s="39" t="n">
        <v>2299</v>
      </c>
      <c r="K360" s="40" t="n">
        <v>0.1</v>
      </c>
      <c r="L360" s="39" t="n">
        <f aca="false">VLOOKUP(H360,'Product List'!$A$3:$D$18,4,FALSE())</f>
        <v>1300</v>
      </c>
      <c r="M360" s="39" t="n">
        <f aca="false">I360*J360*(1-K360)</f>
        <v>2069.1</v>
      </c>
      <c r="N360" s="39" t="n">
        <f aca="false">I360*L360</f>
        <v>1300</v>
      </c>
      <c r="O360" s="39" t="n">
        <f aca="false">M360-N360</f>
        <v>769.1</v>
      </c>
      <c r="P360" s="41" t="n">
        <f aca="false">IF(M360=0,0,O360/M360)</f>
        <v>0.371707505678798</v>
      </c>
      <c r="Q360" s="37" t="str">
        <f aca="false">IF(K360=0,"No discount",IF(K360&lt;=0.1,"1-10%",IF(K360&lt;=0.2,"11-20%",IF(K360&lt;=0.3,"21-30%","Above 30%"))))</f>
        <v>1-10%</v>
      </c>
      <c r="R360" s="39" t="n">
        <f aca="false">I360*J360*MAX(0,K360-DiscountCap)</f>
        <v>0</v>
      </c>
    </row>
    <row r="361" customFormat="false" ht="15" hidden="false" customHeight="false" outlineLevel="0" collapsed="false">
      <c r="A361" s="37" t="s">
        <v>505</v>
      </c>
      <c r="B361" s="38" t="n">
        <v>45838</v>
      </c>
      <c r="C361" s="37" t="n">
        <f aca="false">MONTH(B361)</f>
        <v>6</v>
      </c>
      <c r="D361" s="37" t="s">
        <v>136</v>
      </c>
      <c r="E361" s="37" t="s">
        <v>47</v>
      </c>
      <c r="F361" s="37" t="s">
        <v>96</v>
      </c>
      <c r="G361" s="37" t="s">
        <v>93</v>
      </c>
      <c r="H361" s="37" t="s">
        <v>122</v>
      </c>
      <c r="I361" s="37" t="n">
        <v>2</v>
      </c>
      <c r="J361" s="39" t="n">
        <v>1799</v>
      </c>
      <c r="K361" s="40" t="n">
        <v>0.1</v>
      </c>
      <c r="L361" s="39" t="n">
        <f aca="false">VLOOKUP(H361,'Product List'!$A$3:$D$18,4,FALSE())</f>
        <v>1250</v>
      </c>
      <c r="M361" s="39" t="n">
        <f aca="false">I361*J361*(1-K361)</f>
        <v>3238.2</v>
      </c>
      <c r="N361" s="39" t="n">
        <f aca="false">I361*L361</f>
        <v>2500</v>
      </c>
      <c r="O361" s="39" t="n">
        <f aca="false">M361-N361</f>
        <v>738.2</v>
      </c>
      <c r="P361" s="41" t="n">
        <f aca="false">IF(M361=0,0,O361/M361)</f>
        <v>0.227966154036193</v>
      </c>
      <c r="Q361" s="37" t="str">
        <f aca="false">IF(K361=0,"No discount",IF(K361&lt;=0.1,"1-10%",IF(K361&lt;=0.2,"11-20%",IF(K361&lt;=0.3,"21-30%","Above 30%"))))</f>
        <v>1-10%</v>
      </c>
      <c r="R361" s="39" t="n">
        <f aca="false">I361*J361*MAX(0,K361-DiscountCap)</f>
        <v>0</v>
      </c>
    </row>
    <row r="362" customFormat="false" ht="15" hidden="false" customHeight="false" outlineLevel="0" collapsed="false">
      <c r="A362" s="37" t="s">
        <v>506</v>
      </c>
      <c r="B362" s="38" t="n">
        <v>45832</v>
      </c>
      <c r="C362" s="37" t="n">
        <f aca="false">MONTH(B362)</f>
        <v>6</v>
      </c>
      <c r="D362" s="37" t="s">
        <v>136</v>
      </c>
      <c r="E362" s="37" t="s">
        <v>47</v>
      </c>
      <c r="F362" s="37" t="s">
        <v>96</v>
      </c>
      <c r="G362" s="37" t="s">
        <v>91</v>
      </c>
      <c r="H362" s="37" t="s">
        <v>118</v>
      </c>
      <c r="I362" s="37" t="n">
        <v>2</v>
      </c>
      <c r="J362" s="39" t="n">
        <v>2299</v>
      </c>
      <c r="K362" s="40" t="n">
        <v>0.15</v>
      </c>
      <c r="L362" s="39" t="n">
        <f aca="false">VLOOKUP(H362,'Product List'!$A$3:$D$18,4,FALSE())</f>
        <v>1300</v>
      </c>
      <c r="M362" s="39" t="n">
        <f aca="false">I362*J362*(1-K362)</f>
        <v>3908.3</v>
      </c>
      <c r="N362" s="39" t="n">
        <f aca="false">I362*L362</f>
        <v>2600</v>
      </c>
      <c r="O362" s="39" t="n">
        <f aca="false">M362-N362</f>
        <v>1308.3</v>
      </c>
      <c r="P362" s="41" t="n">
        <f aca="false">IF(M362=0,0,O362/M362)</f>
        <v>0.334749123659903</v>
      </c>
      <c r="Q362" s="37" t="str">
        <f aca="false">IF(K362=0,"No discount",IF(K362&lt;=0.1,"1-10%",IF(K362&lt;=0.2,"11-20%",IF(K362&lt;=0.3,"21-30%","Above 30%"))))</f>
        <v>11-20%</v>
      </c>
      <c r="R362" s="39" t="n">
        <f aca="false">I362*J362*MAX(0,K362-DiscountCap)</f>
        <v>0</v>
      </c>
    </row>
    <row r="363" customFormat="false" ht="15" hidden="false" customHeight="false" outlineLevel="0" collapsed="false">
      <c r="A363" s="37" t="s">
        <v>507</v>
      </c>
      <c r="B363" s="38" t="n">
        <v>45836</v>
      </c>
      <c r="C363" s="37" t="n">
        <f aca="false">MONTH(B363)</f>
        <v>6</v>
      </c>
      <c r="D363" s="37" t="s">
        <v>134</v>
      </c>
      <c r="E363" s="37" t="s">
        <v>45</v>
      </c>
      <c r="F363" s="37" t="s">
        <v>97</v>
      </c>
      <c r="G363" s="37" t="s">
        <v>92</v>
      </c>
      <c r="H363" s="37" t="s">
        <v>115</v>
      </c>
      <c r="I363" s="37" t="n">
        <v>1</v>
      </c>
      <c r="J363" s="39" t="n">
        <v>1799</v>
      </c>
      <c r="K363" s="40" t="n">
        <v>0.15</v>
      </c>
      <c r="L363" s="39" t="n">
        <f aca="false">VLOOKUP(H363,'Product List'!$A$3:$D$18,4,FALSE())</f>
        <v>1150</v>
      </c>
      <c r="M363" s="39" t="n">
        <f aca="false">I363*J363*(1-K363)</f>
        <v>1529.15</v>
      </c>
      <c r="N363" s="39" t="n">
        <f aca="false">I363*L363</f>
        <v>1150</v>
      </c>
      <c r="O363" s="39" t="n">
        <f aca="false">M363-N363</f>
        <v>379.15</v>
      </c>
      <c r="P363" s="41" t="n">
        <f aca="false">IF(M363=0,0,O363/M363)</f>
        <v>0.247948206519962</v>
      </c>
      <c r="Q363" s="37" t="str">
        <f aca="false">IF(K363=0,"No discount",IF(K363&lt;=0.1,"1-10%",IF(K363&lt;=0.2,"11-20%",IF(K363&lt;=0.3,"21-30%","Above 30%"))))</f>
        <v>11-20%</v>
      </c>
      <c r="R363" s="39" t="n">
        <f aca="false">I363*J363*MAX(0,K363-DiscountCap)</f>
        <v>0</v>
      </c>
    </row>
    <row r="364" customFormat="false" ht="15" hidden="false" customHeight="false" outlineLevel="0" collapsed="false">
      <c r="A364" s="37" t="s">
        <v>508</v>
      </c>
      <c r="B364" s="38" t="n">
        <v>45836</v>
      </c>
      <c r="C364" s="37" t="n">
        <f aca="false">MONTH(B364)</f>
        <v>6</v>
      </c>
      <c r="D364" s="37" t="s">
        <v>140</v>
      </c>
      <c r="E364" s="37" t="s">
        <v>44</v>
      </c>
      <c r="F364" s="37" t="s">
        <v>96</v>
      </c>
      <c r="G364" s="37" t="s">
        <v>91</v>
      </c>
      <c r="H364" s="37" t="s">
        <v>118</v>
      </c>
      <c r="I364" s="37" t="n">
        <v>2</v>
      </c>
      <c r="J364" s="39" t="n">
        <v>2299</v>
      </c>
      <c r="K364" s="40" t="n">
        <v>0.15</v>
      </c>
      <c r="L364" s="39" t="n">
        <f aca="false">VLOOKUP(H364,'Product List'!$A$3:$D$18,4,FALSE())</f>
        <v>1300</v>
      </c>
      <c r="M364" s="39" t="n">
        <f aca="false">I364*J364*(1-K364)</f>
        <v>3908.3</v>
      </c>
      <c r="N364" s="39" t="n">
        <f aca="false">I364*L364</f>
        <v>2600</v>
      </c>
      <c r="O364" s="39" t="n">
        <f aca="false">M364-N364</f>
        <v>1308.3</v>
      </c>
      <c r="P364" s="41" t="n">
        <f aca="false">IF(M364=0,0,O364/M364)</f>
        <v>0.334749123659903</v>
      </c>
      <c r="Q364" s="37" t="str">
        <f aca="false">IF(K364=0,"No discount",IF(K364&lt;=0.1,"1-10%",IF(K364&lt;=0.2,"11-20%",IF(K364&lt;=0.3,"21-30%","Above 30%"))))</f>
        <v>11-20%</v>
      </c>
      <c r="R364" s="39" t="n">
        <f aca="false">I364*J364*MAX(0,K364-DiscountCap)</f>
        <v>0</v>
      </c>
    </row>
    <row r="365" customFormat="false" ht="15" hidden="false" customHeight="false" outlineLevel="0" collapsed="false">
      <c r="A365" s="37" t="s">
        <v>509</v>
      </c>
      <c r="B365" s="38" t="n">
        <v>45836</v>
      </c>
      <c r="C365" s="37" t="n">
        <f aca="false">MONTH(B365)</f>
        <v>6</v>
      </c>
      <c r="D365" s="37" t="s">
        <v>136</v>
      </c>
      <c r="E365" s="37" t="s">
        <v>47</v>
      </c>
      <c r="F365" s="37" t="s">
        <v>97</v>
      </c>
      <c r="G365" s="37" t="s">
        <v>92</v>
      </c>
      <c r="H365" s="37" t="s">
        <v>113</v>
      </c>
      <c r="I365" s="37" t="n">
        <v>1</v>
      </c>
      <c r="J365" s="39" t="n">
        <v>2199</v>
      </c>
      <c r="K365" s="40" t="n">
        <v>0.15</v>
      </c>
      <c r="L365" s="39" t="n">
        <f aca="false">VLOOKUP(H365,'Product List'!$A$3:$D$18,4,FALSE())</f>
        <v>1400</v>
      </c>
      <c r="M365" s="39" t="n">
        <f aca="false">I365*J365*(1-K365)</f>
        <v>1869.15</v>
      </c>
      <c r="N365" s="39" t="n">
        <f aca="false">I365*L365</f>
        <v>1400</v>
      </c>
      <c r="O365" s="39" t="n">
        <f aca="false">M365-N365</f>
        <v>469.15</v>
      </c>
      <c r="P365" s="41" t="n">
        <f aca="false">IF(M365=0,0,O365/M365)</f>
        <v>0.250996442233101</v>
      </c>
      <c r="Q365" s="37" t="str">
        <f aca="false">IF(K365=0,"No discount",IF(K365&lt;=0.1,"1-10%",IF(K365&lt;=0.2,"11-20%",IF(K365&lt;=0.3,"21-30%","Above 30%"))))</f>
        <v>11-20%</v>
      </c>
      <c r="R365" s="39" t="n">
        <f aca="false">I365*J365*MAX(0,K365-DiscountCap)</f>
        <v>0</v>
      </c>
    </row>
    <row r="366" customFormat="false" ht="15" hidden="false" customHeight="false" outlineLevel="0" collapsed="false">
      <c r="A366" s="37" t="s">
        <v>510</v>
      </c>
      <c r="B366" s="38" t="n">
        <v>45823</v>
      </c>
      <c r="C366" s="37" t="n">
        <f aca="false">MONTH(B366)</f>
        <v>6</v>
      </c>
      <c r="D366" s="37" t="s">
        <v>144</v>
      </c>
      <c r="E366" s="37" t="s">
        <v>45</v>
      </c>
      <c r="F366" s="37" t="s">
        <v>96</v>
      </c>
      <c r="G366" s="37" t="s">
        <v>90</v>
      </c>
      <c r="H366" s="37" t="s">
        <v>108</v>
      </c>
      <c r="I366" s="37" t="n">
        <v>1</v>
      </c>
      <c r="J366" s="39" t="n">
        <v>1999</v>
      </c>
      <c r="K366" s="40" t="n">
        <v>0</v>
      </c>
      <c r="L366" s="39" t="n">
        <f aca="false">VLOOKUP(H366,'Product List'!$A$3:$D$18,4,FALSE())</f>
        <v>1560</v>
      </c>
      <c r="M366" s="39" t="n">
        <f aca="false">I366*J366*(1-K366)</f>
        <v>1999</v>
      </c>
      <c r="N366" s="39" t="n">
        <f aca="false">I366*L366</f>
        <v>1560</v>
      </c>
      <c r="O366" s="39" t="n">
        <f aca="false">M366-N366</f>
        <v>439</v>
      </c>
      <c r="P366" s="41" t="n">
        <f aca="false">IF(M366=0,0,O366/M366)</f>
        <v>0.219609804902451</v>
      </c>
      <c r="Q366" s="37" t="str">
        <f aca="false">IF(K366=0,"No discount",IF(K366&lt;=0.1,"1-10%",IF(K366&lt;=0.2,"11-20%",IF(K366&lt;=0.3,"21-30%","Above 30%"))))</f>
        <v>No discount</v>
      </c>
      <c r="R366" s="39" t="n">
        <f aca="false">I366*J366*MAX(0,K366-DiscountCap)</f>
        <v>0</v>
      </c>
    </row>
    <row r="367" customFormat="false" ht="15" hidden="false" customHeight="false" outlineLevel="0" collapsed="false">
      <c r="A367" s="37" t="s">
        <v>511</v>
      </c>
      <c r="B367" s="38" t="n">
        <v>45826</v>
      </c>
      <c r="C367" s="37" t="n">
        <f aca="false">MONTH(B367)</f>
        <v>6</v>
      </c>
      <c r="D367" s="37" t="s">
        <v>140</v>
      </c>
      <c r="E367" s="37" t="s">
        <v>44</v>
      </c>
      <c r="F367" s="37" t="s">
        <v>96</v>
      </c>
      <c r="G367" s="37" t="s">
        <v>90</v>
      </c>
      <c r="H367" s="37" t="s">
        <v>110</v>
      </c>
      <c r="I367" s="37" t="n">
        <v>4</v>
      </c>
      <c r="J367" s="39" t="n">
        <v>1299</v>
      </c>
      <c r="K367" s="40" t="n">
        <v>0.2</v>
      </c>
      <c r="L367" s="39" t="n">
        <f aca="false">VLOOKUP(H367,'Product List'!$A$3:$D$18,4,FALSE())</f>
        <v>1000</v>
      </c>
      <c r="M367" s="39" t="n">
        <f aca="false">I367*J367*(1-K367)</f>
        <v>4156.8</v>
      </c>
      <c r="N367" s="39" t="n">
        <f aca="false">I367*L367</f>
        <v>4000</v>
      </c>
      <c r="O367" s="39" t="n">
        <f aca="false">M367-N367</f>
        <v>156.8</v>
      </c>
      <c r="P367" s="41" t="n">
        <f aca="false">IF(M367=0,0,O367/M367)</f>
        <v>0.0377213240954581</v>
      </c>
      <c r="Q367" s="37" t="str">
        <f aca="false">IF(K367=0,"No discount",IF(K367&lt;=0.1,"1-10%",IF(K367&lt;=0.2,"11-20%",IF(K367&lt;=0.3,"21-30%","Above 30%"))))</f>
        <v>11-20%</v>
      </c>
      <c r="R367" s="39" t="n">
        <f aca="false">I367*J367*MAX(0,K367-DiscountCap)</f>
        <v>0</v>
      </c>
    </row>
    <row r="368" customFormat="false" ht="15" hidden="false" customHeight="false" outlineLevel="0" collapsed="false">
      <c r="A368" s="37" t="s">
        <v>512</v>
      </c>
      <c r="B368" s="38" t="n">
        <v>45827</v>
      </c>
      <c r="C368" s="37" t="n">
        <f aca="false">MONTH(B368)</f>
        <v>6</v>
      </c>
      <c r="D368" s="37" t="s">
        <v>166</v>
      </c>
      <c r="E368" s="37" t="s">
        <v>44</v>
      </c>
      <c r="F368" s="37" t="s">
        <v>96</v>
      </c>
      <c r="G368" s="37" t="s">
        <v>93</v>
      </c>
      <c r="H368" s="37" t="s">
        <v>121</v>
      </c>
      <c r="I368" s="37" t="n">
        <v>2</v>
      </c>
      <c r="J368" s="39" t="n">
        <v>999</v>
      </c>
      <c r="K368" s="40" t="n">
        <v>0.1</v>
      </c>
      <c r="L368" s="39" t="n">
        <f aca="false">VLOOKUP(H368,'Product List'!$A$3:$D$18,4,FALSE())</f>
        <v>500</v>
      </c>
      <c r="M368" s="39" t="n">
        <f aca="false">I368*J368*(1-K368)</f>
        <v>1798.2</v>
      </c>
      <c r="N368" s="39" t="n">
        <f aca="false">I368*L368</f>
        <v>1000</v>
      </c>
      <c r="O368" s="39" t="n">
        <f aca="false">M368-N368</f>
        <v>798.2</v>
      </c>
      <c r="P368" s="41" t="n">
        <f aca="false">IF(M368=0,0,O368/M368)</f>
        <v>0.443888332777222</v>
      </c>
      <c r="Q368" s="37" t="str">
        <f aca="false">IF(K368=0,"No discount",IF(K368&lt;=0.1,"1-10%",IF(K368&lt;=0.2,"11-20%",IF(K368&lt;=0.3,"21-30%","Above 30%"))))</f>
        <v>1-10%</v>
      </c>
      <c r="R368" s="39" t="n">
        <f aca="false">I368*J368*MAX(0,K368-DiscountCap)</f>
        <v>0</v>
      </c>
    </row>
    <row r="369" customFormat="false" ht="15" hidden="false" customHeight="false" outlineLevel="0" collapsed="false">
      <c r="A369" s="37" t="s">
        <v>513</v>
      </c>
      <c r="B369" s="38" t="n">
        <v>45820</v>
      </c>
      <c r="C369" s="37" t="n">
        <f aca="false">MONTH(B369)</f>
        <v>6</v>
      </c>
      <c r="D369" s="37" t="s">
        <v>140</v>
      </c>
      <c r="E369" s="37" t="s">
        <v>44</v>
      </c>
      <c r="F369" s="37" t="s">
        <v>97</v>
      </c>
      <c r="G369" s="37" t="s">
        <v>91</v>
      </c>
      <c r="H369" s="37" t="s">
        <v>117</v>
      </c>
      <c r="I369" s="37" t="n">
        <v>3</v>
      </c>
      <c r="J369" s="39" t="n">
        <v>1499</v>
      </c>
      <c r="K369" s="40" t="n">
        <v>0</v>
      </c>
      <c r="L369" s="39" t="n">
        <f aca="false">VLOOKUP(H369,'Product List'!$A$3:$D$18,4,FALSE())</f>
        <v>780</v>
      </c>
      <c r="M369" s="39" t="n">
        <f aca="false">I369*J369*(1-K369)</f>
        <v>4497</v>
      </c>
      <c r="N369" s="39" t="n">
        <f aca="false">I369*L369</f>
        <v>2340</v>
      </c>
      <c r="O369" s="39" t="n">
        <f aca="false">M369-N369</f>
        <v>2157</v>
      </c>
      <c r="P369" s="41" t="n">
        <f aca="false">IF(M369=0,0,O369/M369)</f>
        <v>0.479653102068045</v>
      </c>
      <c r="Q369" s="37" t="str">
        <f aca="false">IF(K369=0,"No discount",IF(K369&lt;=0.1,"1-10%",IF(K369&lt;=0.2,"11-20%",IF(K369&lt;=0.3,"21-30%","Above 30%"))))</f>
        <v>No discount</v>
      </c>
      <c r="R369" s="39" t="n">
        <f aca="false">I369*J369*MAX(0,K369-DiscountCap)</f>
        <v>0</v>
      </c>
    </row>
    <row r="370" customFormat="false" ht="15" hidden="false" customHeight="false" outlineLevel="0" collapsed="false">
      <c r="A370" s="37" t="s">
        <v>514</v>
      </c>
      <c r="B370" s="38" t="n">
        <v>45815</v>
      </c>
      <c r="C370" s="37" t="n">
        <f aca="false">MONTH(B370)</f>
        <v>6</v>
      </c>
      <c r="D370" s="37" t="s">
        <v>166</v>
      </c>
      <c r="E370" s="37" t="s">
        <v>44</v>
      </c>
      <c r="F370" s="37" t="s">
        <v>97</v>
      </c>
      <c r="G370" s="37" t="s">
        <v>91</v>
      </c>
      <c r="H370" s="37" t="s">
        <v>116</v>
      </c>
      <c r="I370" s="37" t="n">
        <v>1</v>
      </c>
      <c r="J370" s="39" t="n">
        <v>899</v>
      </c>
      <c r="K370" s="40" t="n">
        <v>0.1</v>
      </c>
      <c r="L370" s="39" t="n">
        <f aca="false">VLOOKUP(H370,'Product List'!$A$3:$D$18,4,FALSE())</f>
        <v>430</v>
      </c>
      <c r="M370" s="39" t="n">
        <f aca="false">I370*J370*(1-K370)</f>
        <v>809.1</v>
      </c>
      <c r="N370" s="39" t="n">
        <f aca="false">I370*L370</f>
        <v>430</v>
      </c>
      <c r="O370" s="39" t="n">
        <f aca="false">M370-N370</f>
        <v>379.1</v>
      </c>
      <c r="P370" s="41" t="n">
        <f aca="false">IF(M370=0,0,O370/M370)</f>
        <v>0.468545297243851</v>
      </c>
      <c r="Q370" s="37" t="str">
        <f aca="false">IF(K370=0,"No discount",IF(K370&lt;=0.1,"1-10%",IF(K370&lt;=0.2,"11-20%",IF(K370&lt;=0.3,"21-30%","Above 30%"))))</f>
        <v>1-10%</v>
      </c>
      <c r="R370" s="39" t="n">
        <f aca="false">I370*J370*MAX(0,K370-DiscountCap)</f>
        <v>0</v>
      </c>
    </row>
    <row r="371" customFormat="false" ht="15" hidden="false" customHeight="false" outlineLevel="0" collapsed="false">
      <c r="A371" s="37" t="s">
        <v>515</v>
      </c>
      <c r="B371" s="38" t="n">
        <v>45819</v>
      </c>
      <c r="C371" s="37" t="n">
        <f aca="false">MONTH(B371)</f>
        <v>6</v>
      </c>
      <c r="D371" s="37" t="s">
        <v>142</v>
      </c>
      <c r="E371" s="37" t="s">
        <v>47</v>
      </c>
      <c r="F371" s="37" t="s">
        <v>97</v>
      </c>
      <c r="G371" s="37" t="s">
        <v>91</v>
      </c>
      <c r="H371" s="37" t="s">
        <v>116</v>
      </c>
      <c r="I371" s="37" t="n">
        <v>1</v>
      </c>
      <c r="J371" s="39" t="n">
        <v>899</v>
      </c>
      <c r="K371" s="40" t="n">
        <v>0.1</v>
      </c>
      <c r="L371" s="39" t="n">
        <f aca="false">VLOOKUP(H371,'Product List'!$A$3:$D$18,4,FALSE())</f>
        <v>430</v>
      </c>
      <c r="M371" s="39" t="n">
        <f aca="false">I371*J371*(1-K371)</f>
        <v>809.1</v>
      </c>
      <c r="N371" s="39" t="n">
        <f aca="false">I371*L371</f>
        <v>430</v>
      </c>
      <c r="O371" s="39" t="n">
        <f aca="false">M371-N371</f>
        <v>379.1</v>
      </c>
      <c r="P371" s="41" t="n">
        <f aca="false">IF(M371=0,0,O371/M371)</f>
        <v>0.468545297243851</v>
      </c>
      <c r="Q371" s="37" t="str">
        <f aca="false">IF(K371=0,"No discount",IF(K371&lt;=0.1,"1-10%",IF(K371&lt;=0.2,"11-20%",IF(K371&lt;=0.3,"21-30%","Above 30%"))))</f>
        <v>1-10%</v>
      </c>
      <c r="R371" s="39" t="n">
        <f aca="false">I371*J371*MAX(0,K371-DiscountCap)</f>
        <v>0</v>
      </c>
    </row>
    <row r="372" customFormat="false" ht="15" hidden="false" customHeight="false" outlineLevel="0" collapsed="false">
      <c r="A372" s="37" t="s">
        <v>516</v>
      </c>
      <c r="B372" s="38" t="n">
        <v>45829</v>
      </c>
      <c r="C372" s="37" t="n">
        <f aca="false">MONTH(B372)</f>
        <v>6</v>
      </c>
      <c r="D372" s="37" t="s">
        <v>142</v>
      </c>
      <c r="E372" s="37" t="s">
        <v>47</v>
      </c>
      <c r="F372" s="37" t="s">
        <v>96</v>
      </c>
      <c r="G372" s="37" t="s">
        <v>90</v>
      </c>
      <c r="H372" s="37" t="s">
        <v>109</v>
      </c>
      <c r="I372" s="37" t="n">
        <v>3</v>
      </c>
      <c r="J372" s="39" t="n">
        <v>3499</v>
      </c>
      <c r="K372" s="40" t="n">
        <v>0.25</v>
      </c>
      <c r="L372" s="39" t="n">
        <f aca="false">VLOOKUP(H372,'Product List'!$A$3:$D$18,4,FALSE())</f>
        <v>2750</v>
      </c>
      <c r="M372" s="39" t="n">
        <f aca="false">I372*J372*(1-K372)</f>
        <v>7872.75</v>
      </c>
      <c r="N372" s="39" t="n">
        <f aca="false">I372*L372</f>
        <v>8250</v>
      </c>
      <c r="O372" s="39" t="n">
        <f aca="false">M372-N372</f>
        <v>-377.25</v>
      </c>
      <c r="P372" s="41" t="n">
        <f aca="false">IF(M372=0,0,O372/M372)</f>
        <v>-0.0479184528913023</v>
      </c>
      <c r="Q372" s="37" t="str">
        <f aca="false">IF(K372=0,"No discount",IF(K372&lt;=0.1,"1-10%",IF(K372&lt;=0.2,"11-20%",IF(K372&lt;=0.3,"21-30%","Above 30%"))))</f>
        <v>21-30%</v>
      </c>
      <c r="R372" s="39" t="n">
        <f aca="false">I372*J372*MAX(0,K372-DiscountCap)</f>
        <v>524.85</v>
      </c>
    </row>
    <row r="373" customFormat="false" ht="15" hidden="false" customHeight="false" outlineLevel="0" collapsed="false">
      <c r="A373" s="37" t="s">
        <v>517</v>
      </c>
      <c r="B373" s="38" t="n">
        <v>45838</v>
      </c>
      <c r="C373" s="37" t="n">
        <f aca="false">MONTH(B373)</f>
        <v>6</v>
      </c>
      <c r="D373" s="37" t="s">
        <v>138</v>
      </c>
      <c r="E373" s="37" t="s">
        <v>46</v>
      </c>
      <c r="F373" s="37" t="s">
        <v>97</v>
      </c>
      <c r="G373" s="37" t="s">
        <v>90</v>
      </c>
      <c r="H373" s="37" t="s">
        <v>110</v>
      </c>
      <c r="I373" s="37" t="n">
        <v>2</v>
      </c>
      <c r="J373" s="39" t="n">
        <v>1299</v>
      </c>
      <c r="K373" s="40" t="n">
        <v>0.25</v>
      </c>
      <c r="L373" s="39" t="n">
        <f aca="false">VLOOKUP(H373,'Product List'!$A$3:$D$18,4,FALSE())</f>
        <v>1000</v>
      </c>
      <c r="M373" s="39" t="n">
        <f aca="false">I373*J373*(1-K373)</f>
        <v>1948.5</v>
      </c>
      <c r="N373" s="39" t="n">
        <f aca="false">I373*L373</f>
        <v>2000</v>
      </c>
      <c r="O373" s="39" t="n">
        <f aca="false">M373-N373</f>
        <v>-51.5</v>
      </c>
      <c r="P373" s="41" t="n">
        <f aca="false">IF(M373=0,0,O373/M373)</f>
        <v>-0.0264305876315114</v>
      </c>
      <c r="Q373" s="37" t="str">
        <f aca="false">IF(K373=0,"No discount",IF(K373&lt;=0.1,"1-10%",IF(K373&lt;=0.2,"11-20%",IF(K373&lt;=0.3,"21-30%","Above 30%"))))</f>
        <v>21-30%</v>
      </c>
      <c r="R373" s="39" t="n">
        <f aca="false">I373*J373*MAX(0,K373-DiscountCap)</f>
        <v>129.9</v>
      </c>
    </row>
    <row r="374" customFormat="false" ht="15" hidden="false" customHeight="false" outlineLevel="0" collapsed="false">
      <c r="A374" s="37" t="s">
        <v>518</v>
      </c>
      <c r="B374" s="38" t="n">
        <v>45813</v>
      </c>
      <c r="C374" s="37" t="n">
        <f aca="false">MONTH(B374)</f>
        <v>6</v>
      </c>
      <c r="D374" s="37" t="s">
        <v>154</v>
      </c>
      <c r="E374" s="37" t="s">
        <v>47</v>
      </c>
      <c r="F374" s="37" t="s">
        <v>97</v>
      </c>
      <c r="G374" s="37" t="s">
        <v>90</v>
      </c>
      <c r="H374" s="37" t="s">
        <v>108</v>
      </c>
      <c r="I374" s="37" t="n">
        <v>2</v>
      </c>
      <c r="J374" s="39" t="n">
        <v>1999</v>
      </c>
      <c r="K374" s="40" t="n">
        <v>0.1</v>
      </c>
      <c r="L374" s="39" t="n">
        <f aca="false">VLOOKUP(H374,'Product List'!$A$3:$D$18,4,FALSE())</f>
        <v>1560</v>
      </c>
      <c r="M374" s="39" t="n">
        <f aca="false">I374*J374*(1-K374)</f>
        <v>3598.2</v>
      </c>
      <c r="N374" s="39" t="n">
        <f aca="false">I374*L374</f>
        <v>3120</v>
      </c>
      <c r="O374" s="39" t="n">
        <f aca="false">M374-N374</f>
        <v>478.2</v>
      </c>
      <c r="P374" s="41" t="n">
        <f aca="false">IF(M374=0,0,O374/M374)</f>
        <v>0.132899783224946</v>
      </c>
      <c r="Q374" s="37" t="str">
        <f aca="false">IF(K374=0,"No discount",IF(K374&lt;=0.1,"1-10%",IF(K374&lt;=0.2,"11-20%",IF(K374&lt;=0.3,"21-30%","Above 30%"))))</f>
        <v>1-10%</v>
      </c>
      <c r="R374" s="39" t="n">
        <f aca="false">I374*J374*MAX(0,K374-DiscountCap)</f>
        <v>0</v>
      </c>
    </row>
    <row r="375" customFormat="false" ht="15" hidden="false" customHeight="false" outlineLevel="0" collapsed="false">
      <c r="A375" s="37" t="s">
        <v>519</v>
      </c>
      <c r="B375" s="38" t="n">
        <v>45811</v>
      </c>
      <c r="C375" s="37" t="n">
        <f aca="false">MONTH(B375)</f>
        <v>6</v>
      </c>
      <c r="D375" s="37" t="s">
        <v>142</v>
      </c>
      <c r="E375" s="37" t="s">
        <v>47</v>
      </c>
      <c r="F375" s="37" t="s">
        <v>97</v>
      </c>
      <c r="G375" s="37" t="s">
        <v>91</v>
      </c>
      <c r="H375" s="37" t="s">
        <v>116</v>
      </c>
      <c r="I375" s="37" t="n">
        <v>1</v>
      </c>
      <c r="J375" s="39" t="n">
        <v>899</v>
      </c>
      <c r="K375" s="40" t="n">
        <v>0</v>
      </c>
      <c r="L375" s="39" t="n">
        <f aca="false">VLOOKUP(H375,'Product List'!$A$3:$D$18,4,FALSE())</f>
        <v>430</v>
      </c>
      <c r="M375" s="39" t="n">
        <f aca="false">I375*J375*(1-K375)</f>
        <v>899</v>
      </c>
      <c r="N375" s="39" t="n">
        <f aca="false">I375*L375</f>
        <v>430</v>
      </c>
      <c r="O375" s="39" t="n">
        <f aca="false">M375-N375</f>
        <v>469</v>
      </c>
      <c r="P375" s="41" t="n">
        <f aca="false">IF(M375=0,0,O375/M375)</f>
        <v>0.521690767519466</v>
      </c>
      <c r="Q375" s="37" t="str">
        <f aca="false">IF(K375=0,"No discount",IF(K375&lt;=0.1,"1-10%",IF(K375&lt;=0.2,"11-20%",IF(K375&lt;=0.3,"21-30%","Above 30%"))))</f>
        <v>No discount</v>
      </c>
      <c r="R375" s="39" t="n">
        <f aca="false">I375*J375*MAX(0,K375-DiscountCap)</f>
        <v>0</v>
      </c>
    </row>
    <row r="376" customFormat="false" ht="15" hidden="false" customHeight="false" outlineLevel="0" collapsed="false">
      <c r="A376" s="37" t="s">
        <v>520</v>
      </c>
      <c r="B376" s="38" t="n">
        <v>45822</v>
      </c>
      <c r="C376" s="37" t="n">
        <f aca="false">MONTH(B376)</f>
        <v>6</v>
      </c>
      <c r="D376" s="37" t="s">
        <v>144</v>
      </c>
      <c r="E376" s="37" t="s">
        <v>45</v>
      </c>
      <c r="F376" s="37" t="s">
        <v>96</v>
      </c>
      <c r="G376" s="37" t="s">
        <v>92</v>
      </c>
      <c r="H376" s="37" t="s">
        <v>112</v>
      </c>
      <c r="I376" s="37" t="n">
        <v>3</v>
      </c>
      <c r="J376" s="39" t="n">
        <v>3299</v>
      </c>
      <c r="K376" s="40" t="n">
        <v>0.1</v>
      </c>
      <c r="L376" s="39" t="n">
        <f aca="false">VLOOKUP(H376,'Product List'!$A$3:$D$18,4,FALSE())</f>
        <v>2250</v>
      </c>
      <c r="M376" s="39" t="n">
        <f aca="false">I376*J376*(1-K376)</f>
        <v>8907.3</v>
      </c>
      <c r="N376" s="39" t="n">
        <f aca="false">I376*L376</f>
        <v>6750</v>
      </c>
      <c r="O376" s="39" t="n">
        <f aca="false">M376-N376</f>
        <v>2157.3</v>
      </c>
      <c r="P376" s="41" t="n">
        <f aca="false">IF(M376=0,0,O376/M376)</f>
        <v>0.242194604425584</v>
      </c>
      <c r="Q376" s="37" t="str">
        <f aca="false">IF(K376=0,"No discount",IF(K376&lt;=0.1,"1-10%",IF(K376&lt;=0.2,"11-20%",IF(K376&lt;=0.3,"21-30%","Above 30%"))))</f>
        <v>1-10%</v>
      </c>
      <c r="R376" s="39" t="n">
        <f aca="false">I376*J376*MAX(0,K376-DiscountCap)</f>
        <v>0</v>
      </c>
    </row>
    <row r="377" customFormat="false" ht="15" hidden="false" customHeight="false" outlineLevel="0" collapsed="false">
      <c r="A377" s="37" t="s">
        <v>521</v>
      </c>
      <c r="B377" s="38" t="n">
        <v>45823</v>
      </c>
      <c r="C377" s="37" t="n">
        <f aca="false">MONTH(B377)</f>
        <v>6</v>
      </c>
      <c r="D377" s="37" t="s">
        <v>134</v>
      </c>
      <c r="E377" s="37" t="s">
        <v>45</v>
      </c>
      <c r="F377" s="37" t="s">
        <v>97</v>
      </c>
      <c r="G377" s="37" t="s">
        <v>91</v>
      </c>
      <c r="H377" s="37" t="s">
        <v>116</v>
      </c>
      <c r="I377" s="37" t="n">
        <v>1</v>
      </c>
      <c r="J377" s="39" t="n">
        <v>899</v>
      </c>
      <c r="K377" s="40" t="n">
        <v>0.1</v>
      </c>
      <c r="L377" s="39" t="n">
        <f aca="false">VLOOKUP(H377,'Product List'!$A$3:$D$18,4,FALSE())</f>
        <v>430</v>
      </c>
      <c r="M377" s="39" t="n">
        <f aca="false">I377*J377*(1-K377)</f>
        <v>809.1</v>
      </c>
      <c r="N377" s="39" t="n">
        <f aca="false">I377*L377</f>
        <v>430</v>
      </c>
      <c r="O377" s="39" t="n">
        <f aca="false">M377-N377</f>
        <v>379.1</v>
      </c>
      <c r="P377" s="41" t="n">
        <f aca="false">IF(M377=0,0,O377/M377)</f>
        <v>0.468545297243851</v>
      </c>
      <c r="Q377" s="37" t="str">
        <f aca="false">IF(K377=0,"No discount",IF(K377&lt;=0.1,"1-10%",IF(K377&lt;=0.2,"11-20%",IF(K377&lt;=0.3,"21-30%","Above 30%"))))</f>
        <v>1-10%</v>
      </c>
      <c r="R377" s="39" t="n">
        <f aca="false">I377*J377*MAX(0,K377-DiscountCap)</f>
        <v>0</v>
      </c>
    </row>
    <row r="378" customFormat="false" ht="15" hidden="false" customHeight="false" outlineLevel="0" collapsed="false">
      <c r="A378" s="37" t="s">
        <v>522</v>
      </c>
      <c r="B378" s="38" t="n">
        <v>45836</v>
      </c>
      <c r="C378" s="37" t="n">
        <f aca="false">MONTH(B378)</f>
        <v>6</v>
      </c>
      <c r="D378" s="37" t="s">
        <v>169</v>
      </c>
      <c r="E378" s="37" t="s">
        <v>44</v>
      </c>
      <c r="F378" s="37" t="s">
        <v>96</v>
      </c>
      <c r="G378" s="37" t="s">
        <v>93</v>
      </c>
      <c r="H378" s="37" t="s">
        <v>123</v>
      </c>
      <c r="I378" s="37" t="n">
        <v>1</v>
      </c>
      <c r="J378" s="39" t="n">
        <v>1299</v>
      </c>
      <c r="K378" s="40" t="n">
        <v>0.15</v>
      </c>
      <c r="L378" s="39" t="n">
        <f aca="false">VLOOKUP(H378,'Product List'!$A$3:$D$18,4,FALSE())</f>
        <v>700</v>
      </c>
      <c r="M378" s="39" t="n">
        <f aca="false">I378*J378*(1-K378)</f>
        <v>1104.15</v>
      </c>
      <c r="N378" s="39" t="n">
        <f aca="false">I378*L378</f>
        <v>700</v>
      </c>
      <c r="O378" s="39" t="n">
        <f aca="false">M378-N378</f>
        <v>404.15</v>
      </c>
      <c r="P378" s="41" t="n">
        <f aca="false">IF(M378=0,0,O378/M378)</f>
        <v>0.36602816646289</v>
      </c>
      <c r="Q378" s="37" t="str">
        <f aca="false">IF(K378=0,"No discount",IF(K378&lt;=0.1,"1-10%",IF(K378&lt;=0.2,"11-20%",IF(K378&lt;=0.3,"21-30%","Above 30%"))))</f>
        <v>11-20%</v>
      </c>
      <c r="R378" s="39" t="n">
        <f aca="false">I378*J378*MAX(0,K378-DiscountCap)</f>
        <v>0</v>
      </c>
    </row>
    <row r="379" customFormat="false" ht="15" hidden="false" customHeight="false" outlineLevel="0" collapsed="false">
      <c r="A379" s="37" t="s">
        <v>523</v>
      </c>
      <c r="B379" s="38" t="n">
        <v>45812</v>
      </c>
      <c r="C379" s="37" t="n">
        <f aca="false">MONTH(B379)</f>
        <v>6</v>
      </c>
      <c r="D379" s="37" t="s">
        <v>134</v>
      </c>
      <c r="E379" s="37" t="s">
        <v>45</v>
      </c>
      <c r="F379" s="37" t="s">
        <v>96</v>
      </c>
      <c r="G379" s="37" t="s">
        <v>92</v>
      </c>
      <c r="H379" s="37" t="s">
        <v>112</v>
      </c>
      <c r="I379" s="37" t="n">
        <v>1</v>
      </c>
      <c r="J379" s="39" t="n">
        <v>3299</v>
      </c>
      <c r="K379" s="40" t="n">
        <v>0.05</v>
      </c>
      <c r="L379" s="39" t="n">
        <f aca="false">VLOOKUP(H379,'Product List'!$A$3:$D$18,4,FALSE())</f>
        <v>2250</v>
      </c>
      <c r="M379" s="39" t="n">
        <f aca="false">I379*J379*(1-K379)</f>
        <v>3134.05</v>
      </c>
      <c r="N379" s="39" t="n">
        <f aca="false">I379*L379</f>
        <v>2250</v>
      </c>
      <c r="O379" s="39" t="n">
        <f aca="false">M379-N379</f>
        <v>884.05</v>
      </c>
      <c r="P379" s="41" t="n">
        <f aca="false">IF(M379=0,0,O379/M379)</f>
        <v>0.2820790989295</v>
      </c>
      <c r="Q379" s="37" t="str">
        <f aca="false">IF(K379=0,"No discount",IF(K379&lt;=0.1,"1-10%",IF(K379&lt;=0.2,"11-20%",IF(K379&lt;=0.3,"21-30%","Above 30%"))))</f>
        <v>1-10%</v>
      </c>
      <c r="R379" s="39" t="n">
        <f aca="false">I379*J379*MAX(0,K379-DiscountCap)</f>
        <v>0</v>
      </c>
    </row>
    <row r="380" customFormat="false" ht="15" hidden="false" customHeight="false" outlineLevel="0" collapsed="false">
      <c r="A380" s="37" t="s">
        <v>524</v>
      </c>
      <c r="B380" s="38" t="n">
        <v>45812</v>
      </c>
      <c r="C380" s="37" t="n">
        <f aca="false">MONTH(B380)</f>
        <v>6</v>
      </c>
      <c r="D380" s="37" t="s">
        <v>144</v>
      </c>
      <c r="E380" s="37" t="s">
        <v>45</v>
      </c>
      <c r="F380" s="37" t="s">
        <v>96</v>
      </c>
      <c r="G380" s="37" t="s">
        <v>90</v>
      </c>
      <c r="H380" s="37" t="s">
        <v>111</v>
      </c>
      <c r="I380" s="37" t="n">
        <v>1</v>
      </c>
      <c r="J380" s="39" t="n">
        <v>2499</v>
      </c>
      <c r="K380" s="40" t="n">
        <v>0.05</v>
      </c>
      <c r="L380" s="39" t="n">
        <f aca="false">VLOOKUP(H380,'Product List'!$A$3:$D$18,4,FALSE())</f>
        <v>1950</v>
      </c>
      <c r="M380" s="39" t="n">
        <f aca="false">I380*J380*(1-K380)</f>
        <v>2374.05</v>
      </c>
      <c r="N380" s="39" t="n">
        <f aca="false">I380*L380</f>
        <v>1950</v>
      </c>
      <c r="O380" s="39" t="n">
        <f aca="false">M380-N380</f>
        <v>424.05</v>
      </c>
      <c r="P380" s="41" t="n">
        <f aca="false">IF(M380=0,0,O380/M380)</f>
        <v>0.178618815947432</v>
      </c>
      <c r="Q380" s="37" t="str">
        <f aca="false">IF(K380=0,"No discount",IF(K380&lt;=0.1,"1-10%",IF(K380&lt;=0.2,"11-20%",IF(K380&lt;=0.3,"21-30%","Above 30%"))))</f>
        <v>1-10%</v>
      </c>
      <c r="R380" s="39" t="n">
        <f aca="false">I380*J380*MAX(0,K380-DiscountCap)</f>
        <v>0</v>
      </c>
    </row>
    <row r="381" customFormat="false" ht="15" hidden="false" customHeight="false" outlineLevel="0" collapsed="false">
      <c r="A381" s="37" t="s">
        <v>525</v>
      </c>
      <c r="B381" s="38" t="n">
        <v>45817</v>
      </c>
      <c r="C381" s="37" t="n">
        <f aca="false">MONTH(B381)</f>
        <v>6</v>
      </c>
      <c r="D381" s="37" t="s">
        <v>142</v>
      </c>
      <c r="E381" s="37" t="s">
        <v>47</v>
      </c>
      <c r="F381" s="37" t="s">
        <v>97</v>
      </c>
      <c r="G381" s="37" t="s">
        <v>91</v>
      </c>
      <c r="H381" s="37" t="s">
        <v>119</v>
      </c>
      <c r="I381" s="37" t="n">
        <v>1</v>
      </c>
      <c r="J381" s="39" t="n">
        <v>1099</v>
      </c>
      <c r="K381" s="40" t="n">
        <v>0</v>
      </c>
      <c r="L381" s="39" t="n">
        <f aca="false">VLOOKUP(H381,'Product List'!$A$3:$D$18,4,FALSE())</f>
        <v>560</v>
      </c>
      <c r="M381" s="39" t="n">
        <f aca="false">I381*J381*(1-K381)</f>
        <v>1099</v>
      </c>
      <c r="N381" s="39" t="n">
        <f aca="false">I381*L381</f>
        <v>560</v>
      </c>
      <c r="O381" s="39" t="n">
        <f aca="false">M381-N381</f>
        <v>539</v>
      </c>
      <c r="P381" s="41" t="n">
        <f aca="false">IF(M381=0,0,O381/M381)</f>
        <v>0.490445859872611</v>
      </c>
      <c r="Q381" s="37" t="str">
        <f aca="false">IF(K381=0,"No discount",IF(K381&lt;=0.1,"1-10%",IF(K381&lt;=0.2,"11-20%",IF(K381&lt;=0.3,"21-30%","Above 30%"))))</f>
        <v>No discount</v>
      </c>
      <c r="R381" s="39" t="n">
        <f aca="false">I381*J381*MAX(0,K381-DiscountCap)</f>
        <v>0</v>
      </c>
    </row>
    <row r="382" customFormat="false" ht="15" hidden="false" customHeight="false" outlineLevel="0" collapsed="false">
      <c r="A382" s="37" t="s">
        <v>526</v>
      </c>
      <c r="B382" s="38" t="n">
        <v>45825</v>
      </c>
      <c r="C382" s="37" t="n">
        <f aca="false">MONTH(B382)</f>
        <v>6</v>
      </c>
      <c r="D382" s="37" t="s">
        <v>160</v>
      </c>
      <c r="E382" s="37" t="s">
        <v>46</v>
      </c>
      <c r="F382" s="37" t="s">
        <v>97</v>
      </c>
      <c r="G382" s="37" t="s">
        <v>91</v>
      </c>
      <c r="H382" s="37" t="s">
        <v>118</v>
      </c>
      <c r="I382" s="37" t="n">
        <v>1</v>
      </c>
      <c r="J382" s="39" t="n">
        <v>2299</v>
      </c>
      <c r="K382" s="40" t="n">
        <v>0.15</v>
      </c>
      <c r="L382" s="39" t="n">
        <f aca="false">VLOOKUP(H382,'Product List'!$A$3:$D$18,4,FALSE())</f>
        <v>1300</v>
      </c>
      <c r="M382" s="39" t="n">
        <f aca="false">I382*J382*(1-K382)</f>
        <v>1954.15</v>
      </c>
      <c r="N382" s="39" t="n">
        <f aca="false">I382*L382</f>
        <v>1300</v>
      </c>
      <c r="O382" s="39" t="n">
        <f aca="false">M382-N382</f>
        <v>654.15</v>
      </c>
      <c r="P382" s="41" t="n">
        <f aca="false">IF(M382=0,0,O382/M382)</f>
        <v>0.334749123659903</v>
      </c>
      <c r="Q382" s="37" t="str">
        <f aca="false">IF(K382=0,"No discount",IF(K382&lt;=0.1,"1-10%",IF(K382&lt;=0.2,"11-20%",IF(K382&lt;=0.3,"21-30%","Above 30%"))))</f>
        <v>11-20%</v>
      </c>
      <c r="R382" s="39" t="n">
        <f aca="false">I382*J382*MAX(0,K382-DiscountCap)</f>
        <v>0</v>
      </c>
    </row>
    <row r="383" customFormat="false" ht="15" hidden="false" customHeight="false" outlineLevel="0" collapsed="false">
      <c r="A383" s="37" t="s">
        <v>527</v>
      </c>
      <c r="B383" s="38" t="n">
        <v>45827</v>
      </c>
      <c r="C383" s="37" t="n">
        <f aca="false">MONTH(B383)</f>
        <v>6</v>
      </c>
      <c r="D383" s="37" t="s">
        <v>146</v>
      </c>
      <c r="E383" s="37" t="s">
        <v>45</v>
      </c>
      <c r="F383" s="37" t="s">
        <v>97</v>
      </c>
      <c r="G383" s="37" t="s">
        <v>93</v>
      </c>
      <c r="H383" s="37" t="s">
        <v>122</v>
      </c>
      <c r="I383" s="37" t="n">
        <v>1</v>
      </c>
      <c r="J383" s="39" t="n">
        <v>1799</v>
      </c>
      <c r="K383" s="40" t="n">
        <v>0.05</v>
      </c>
      <c r="L383" s="39" t="n">
        <f aca="false">VLOOKUP(H383,'Product List'!$A$3:$D$18,4,FALSE())</f>
        <v>1250</v>
      </c>
      <c r="M383" s="39" t="n">
        <f aca="false">I383*J383*(1-K383)</f>
        <v>1709.05</v>
      </c>
      <c r="N383" s="39" t="n">
        <f aca="false">I383*L383</f>
        <v>1250</v>
      </c>
      <c r="O383" s="39" t="n">
        <f aca="false">M383-N383</f>
        <v>459.05</v>
      </c>
      <c r="P383" s="41" t="n">
        <f aca="false">IF(M383=0,0,O383/M383)</f>
        <v>0.268599514350078</v>
      </c>
      <c r="Q383" s="37" t="str">
        <f aca="false">IF(K383=0,"No discount",IF(K383&lt;=0.1,"1-10%",IF(K383&lt;=0.2,"11-20%",IF(K383&lt;=0.3,"21-30%","Above 30%"))))</f>
        <v>1-10%</v>
      </c>
      <c r="R383" s="39" t="n">
        <f aca="false">I383*J383*MAX(0,K383-DiscountCap)</f>
        <v>0</v>
      </c>
    </row>
    <row r="384" customFormat="false" ht="15" hidden="false" customHeight="false" outlineLevel="0" collapsed="false">
      <c r="A384" s="37" t="s">
        <v>528</v>
      </c>
      <c r="B384" s="38" t="n">
        <v>45835</v>
      </c>
      <c r="C384" s="37" t="n">
        <f aca="false">MONTH(B384)</f>
        <v>6</v>
      </c>
      <c r="D384" s="37" t="s">
        <v>142</v>
      </c>
      <c r="E384" s="37" t="s">
        <v>47</v>
      </c>
      <c r="F384" s="37" t="s">
        <v>96</v>
      </c>
      <c r="G384" s="37" t="s">
        <v>93</v>
      </c>
      <c r="H384" s="37" t="s">
        <v>120</v>
      </c>
      <c r="I384" s="37" t="n">
        <v>2</v>
      </c>
      <c r="J384" s="39" t="n">
        <v>449</v>
      </c>
      <c r="K384" s="40" t="n">
        <v>0.1</v>
      </c>
      <c r="L384" s="39" t="n">
        <f aca="false">VLOOKUP(H384,'Product List'!$A$3:$D$18,4,FALSE())</f>
        <v>240</v>
      </c>
      <c r="M384" s="39" t="n">
        <f aca="false">I384*J384*(1-K384)</f>
        <v>808.2</v>
      </c>
      <c r="N384" s="39" t="n">
        <f aca="false">I384*L384</f>
        <v>480</v>
      </c>
      <c r="O384" s="39" t="n">
        <f aca="false">M384-N384</f>
        <v>328.2</v>
      </c>
      <c r="P384" s="41" t="n">
        <f aca="false">IF(M384=0,0,O384/M384)</f>
        <v>0.406087602078693</v>
      </c>
      <c r="Q384" s="37" t="str">
        <f aca="false">IF(K384=0,"No discount",IF(K384&lt;=0.1,"1-10%",IF(K384&lt;=0.2,"11-20%",IF(K384&lt;=0.3,"21-30%","Above 30%"))))</f>
        <v>1-10%</v>
      </c>
      <c r="R384" s="39" t="n">
        <f aca="false">I384*J384*MAX(0,K384-DiscountCap)</f>
        <v>0</v>
      </c>
    </row>
    <row r="385" customFormat="false" ht="15" hidden="false" customHeight="false" outlineLevel="0" collapsed="false">
      <c r="A385" s="37" t="s">
        <v>529</v>
      </c>
      <c r="B385" s="38" t="n">
        <v>45827</v>
      </c>
      <c r="C385" s="37" t="n">
        <f aca="false">MONTH(B385)</f>
        <v>6</v>
      </c>
      <c r="D385" s="37" t="s">
        <v>146</v>
      </c>
      <c r="E385" s="37" t="s">
        <v>45</v>
      </c>
      <c r="F385" s="37" t="s">
        <v>96</v>
      </c>
      <c r="G385" s="37" t="s">
        <v>90</v>
      </c>
      <c r="H385" s="37" t="s">
        <v>109</v>
      </c>
      <c r="I385" s="37" t="n">
        <v>2</v>
      </c>
      <c r="J385" s="39" t="n">
        <v>3499</v>
      </c>
      <c r="K385" s="40" t="n">
        <v>0.15</v>
      </c>
      <c r="L385" s="39" t="n">
        <f aca="false">VLOOKUP(H385,'Product List'!$A$3:$D$18,4,FALSE())</f>
        <v>2750</v>
      </c>
      <c r="M385" s="39" t="n">
        <f aca="false">I385*J385*(1-K385)</f>
        <v>5948.3</v>
      </c>
      <c r="N385" s="39" t="n">
        <f aca="false">I385*L385</f>
        <v>5500</v>
      </c>
      <c r="O385" s="39" t="n">
        <f aca="false">M385-N385</f>
        <v>448.3</v>
      </c>
      <c r="P385" s="41" t="n">
        <f aca="false">IF(M385=0,0,O385/M385)</f>
        <v>0.0753660709782627</v>
      </c>
      <c r="Q385" s="37" t="str">
        <f aca="false">IF(K385=0,"No discount",IF(K385&lt;=0.1,"1-10%",IF(K385&lt;=0.2,"11-20%",IF(K385&lt;=0.3,"21-30%","Above 30%"))))</f>
        <v>11-20%</v>
      </c>
      <c r="R385" s="39" t="n">
        <f aca="false">I385*J385*MAX(0,K385-DiscountCap)</f>
        <v>0</v>
      </c>
    </row>
    <row r="386" customFormat="false" ht="15" hidden="false" customHeight="false" outlineLevel="0" collapsed="false">
      <c r="A386" s="37" t="s">
        <v>530</v>
      </c>
      <c r="B386" s="38" t="n">
        <v>45831</v>
      </c>
      <c r="C386" s="37" t="n">
        <f aca="false">MONTH(B386)</f>
        <v>6</v>
      </c>
      <c r="D386" s="37" t="s">
        <v>142</v>
      </c>
      <c r="E386" s="37" t="s">
        <v>47</v>
      </c>
      <c r="F386" s="37" t="s">
        <v>96</v>
      </c>
      <c r="G386" s="37" t="s">
        <v>91</v>
      </c>
      <c r="H386" s="37" t="s">
        <v>116</v>
      </c>
      <c r="I386" s="37" t="n">
        <v>1</v>
      </c>
      <c r="J386" s="39" t="n">
        <v>899</v>
      </c>
      <c r="K386" s="40" t="n">
        <v>0.2</v>
      </c>
      <c r="L386" s="39" t="n">
        <f aca="false">VLOOKUP(H386,'Product List'!$A$3:$D$18,4,FALSE())</f>
        <v>430</v>
      </c>
      <c r="M386" s="39" t="n">
        <f aca="false">I386*J386*(1-K386)</f>
        <v>719.2</v>
      </c>
      <c r="N386" s="39" t="n">
        <f aca="false">I386*L386</f>
        <v>430</v>
      </c>
      <c r="O386" s="39" t="n">
        <f aca="false">M386-N386</f>
        <v>289.2</v>
      </c>
      <c r="P386" s="41" t="n">
        <f aca="false">IF(M386=0,0,O386/M386)</f>
        <v>0.402113459399333</v>
      </c>
      <c r="Q386" s="37" t="str">
        <f aca="false">IF(K386=0,"No discount",IF(K386&lt;=0.1,"1-10%",IF(K386&lt;=0.2,"11-20%",IF(K386&lt;=0.3,"21-30%","Above 30%"))))</f>
        <v>11-20%</v>
      </c>
      <c r="R386" s="39" t="n">
        <f aca="false">I386*J386*MAX(0,K386-DiscountCap)</f>
        <v>0</v>
      </c>
    </row>
    <row r="387" customFormat="false" ht="15" hidden="false" customHeight="false" outlineLevel="0" collapsed="false">
      <c r="A387" s="37" t="s">
        <v>531</v>
      </c>
      <c r="B387" s="38" t="n">
        <v>45820</v>
      </c>
      <c r="C387" s="37" t="n">
        <f aca="false">MONTH(B387)</f>
        <v>6</v>
      </c>
      <c r="D387" s="37" t="s">
        <v>142</v>
      </c>
      <c r="E387" s="37" t="s">
        <v>47</v>
      </c>
      <c r="F387" s="37" t="s">
        <v>96</v>
      </c>
      <c r="G387" s="37" t="s">
        <v>90</v>
      </c>
      <c r="H387" s="37" t="s">
        <v>109</v>
      </c>
      <c r="I387" s="37" t="n">
        <v>2</v>
      </c>
      <c r="J387" s="39" t="n">
        <v>3499</v>
      </c>
      <c r="K387" s="40" t="n">
        <v>0.05</v>
      </c>
      <c r="L387" s="39" t="n">
        <f aca="false">VLOOKUP(H387,'Product List'!$A$3:$D$18,4,FALSE())</f>
        <v>2750</v>
      </c>
      <c r="M387" s="39" t="n">
        <f aca="false">I387*J387*(1-K387)</f>
        <v>6648.1</v>
      </c>
      <c r="N387" s="39" t="n">
        <f aca="false">I387*L387</f>
        <v>5500</v>
      </c>
      <c r="O387" s="39" t="n">
        <f aca="false">M387-N387</f>
        <v>1148.1</v>
      </c>
      <c r="P387" s="41" t="n">
        <f aca="false">IF(M387=0,0,O387/M387)</f>
        <v>0.172695958243709</v>
      </c>
      <c r="Q387" s="37" t="str">
        <f aca="false">IF(K387=0,"No discount",IF(K387&lt;=0.1,"1-10%",IF(K387&lt;=0.2,"11-20%",IF(K387&lt;=0.3,"21-30%","Above 30%"))))</f>
        <v>1-10%</v>
      </c>
      <c r="R387" s="39" t="n">
        <f aca="false">I387*J387*MAX(0,K387-DiscountCap)</f>
        <v>0</v>
      </c>
    </row>
    <row r="388" customFormat="false" ht="15" hidden="false" customHeight="false" outlineLevel="0" collapsed="false">
      <c r="A388" s="37" t="s">
        <v>532</v>
      </c>
      <c r="B388" s="38" t="n">
        <v>45834</v>
      </c>
      <c r="C388" s="37" t="n">
        <f aca="false">MONTH(B388)</f>
        <v>6</v>
      </c>
      <c r="D388" s="37" t="s">
        <v>140</v>
      </c>
      <c r="E388" s="37" t="s">
        <v>44</v>
      </c>
      <c r="F388" s="37" t="s">
        <v>97</v>
      </c>
      <c r="G388" s="37" t="s">
        <v>92</v>
      </c>
      <c r="H388" s="37" t="s">
        <v>112</v>
      </c>
      <c r="I388" s="37" t="n">
        <v>1</v>
      </c>
      <c r="J388" s="39" t="n">
        <v>3299</v>
      </c>
      <c r="K388" s="40" t="n">
        <v>0</v>
      </c>
      <c r="L388" s="39" t="n">
        <f aca="false">VLOOKUP(H388,'Product List'!$A$3:$D$18,4,FALSE())</f>
        <v>2250</v>
      </c>
      <c r="M388" s="39" t="n">
        <f aca="false">I388*J388*(1-K388)</f>
        <v>3299</v>
      </c>
      <c r="N388" s="39" t="n">
        <f aca="false">I388*L388</f>
        <v>2250</v>
      </c>
      <c r="O388" s="39" t="n">
        <f aca="false">M388-N388</f>
        <v>1049</v>
      </c>
      <c r="P388" s="41" t="n">
        <f aca="false">IF(M388=0,0,O388/M388)</f>
        <v>0.317975143983025</v>
      </c>
      <c r="Q388" s="37" t="str">
        <f aca="false">IF(K388=0,"No discount",IF(K388&lt;=0.1,"1-10%",IF(K388&lt;=0.2,"11-20%",IF(K388&lt;=0.3,"21-30%","Above 30%"))))</f>
        <v>No discount</v>
      </c>
      <c r="R388" s="39" t="n">
        <f aca="false">I388*J388*MAX(0,K388-DiscountCap)</f>
        <v>0</v>
      </c>
    </row>
    <row r="389" customFormat="false" ht="15" hidden="false" customHeight="false" outlineLevel="0" collapsed="false">
      <c r="A389" s="37" t="s">
        <v>533</v>
      </c>
      <c r="B389" s="38" t="n">
        <v>45811</v>
      </c>
      <c r="C389" s="37" t="n">
        <f aca="false">MONTH(B389)</f>
        <v>6</v>
      </c>
      <c r="D389" s="37" t="s">
        <v>169</v>
      </c>
      <c r="E389" s="37" t="s">
        <v>44</v>
      </c>
      <c r="F389" s="37" t="s">
        <v>96</v>
      </c>
      <c r="G389" s="37" t="s">
        <v>90</v>
      </c>
      <c r="H389" s="37" t="s">
        <v>109</v>
      </c>
      <c r="I389" s="37" t="n">
        <v>2</v>
      </c>
      <c r="J389" s="39" t="n">
        <v>3499</v>
      </c>
      <c r="K389" s="40" t="n">
        <v>0.1</v>
      </c>
      <c r="L389" s="39" t="n">
        <f aca="false">VLOOKUP(H389,'Product List'!$A$3:$D$18,4,FALSE())</f>
        <v>2750</v>
      </c>
      <c r="M389" s="39" t="n">
        <f aca="false">I389*J389*(1-K389)</f>
        <v>6298.2</v>
      </c>
      <c r="N389" s="39" t="n">
        <f aca="false">I389*L389</f>
        <v>5500</v>
      </c>
      <c r="O389" s="39" t="n">
        <f aca="false">M389-N389</f>
        <v>798.2</v>
      </c>
      <c r="P389" s="41" t="n">
        <f aca="false">IF(M389=0,0,O389/M389)</f>
        <v>0.126734622590581</v>
      </c>
      <c r="Q389" s="37" t="str">
        <f aca="false">IF(K389=0,"No discount",IF(K389&lt;=0.1,"1-10%",IF(K389&lt;=0.2,"11-20%",IF(K389&lt;=0.3,"21-30%","Above 30%"))))</f>
        <v>1-10%</v>
      </c>
      <c r="R389" s="39" t="n">
        <f aca="false">I389*J389*MAX(0,K389-DiscountCap)</f>
        <v>0</v>
      </c>
    </row>
    <row r="390" customFormat="false" ht="15" hidden="false" customHeight="false" outlineLevel="0" collapsed="false">
      <c r="A390" s="37" t="s">
        <v>534</v>
      </c>
      <c r="B390" s="38" t="n">
        <v>45829</v>
      </c>
      <c r="C390" s="37" t="n">
        <f aca="false">MONTH(B390)</f>
        <v>6</v>
      </c>
      <c r="D390" s="37" t="s">
        <v>154</v>
      </c>
      <c r="E390" s="37" t="s">
        <v>47</v>
      </c>
      <c r="F390" s="37" t="s">
        <v>96</v>
      </c>
      <c r="G390" s="37" t="s">
        <v>90</v>
      </c>
      <c r="H390" s="37" t="s">
        <v>108</v>
      </c>
      <c r="I390" s="37" t="n">
        <v>1</v>
      </c>
      <c r="J390" s="39" t="n">
        <v>1999</v>
      </c>
      <c r="K390" s="40" t="n">
        <v>0.3</v>
      </c>
      <c r="L390" s="39" t="n">
        <f aca="false">VLOOKUP(H390,'Product List'!$A$3:$D$18,4,FALSE())</f>
        <v>1560</v>
      </c>
      <c r="M390" s="39" t="n">
        <f aca="false">I390*J390*(1-K390)</f>
        <v>1399.3</v>
      </c>
      <c r="N390" s="39" t="n">
        <f aca="false">I390*L390</f>
        <v>1560</v>
      </c>
      <c r="O390" s="39" t="n">
        <f aca="false">M390-N390</f>
        <v>-160.7</v>
      </c>
      <c r="P390" s="41" t="n">
        <f aca="false">IF(M390=0,0,O390/M390)</f>
        <v>-0.114843135853641</v>
      </c>
      <c r="Q390" s="37" t="str">
        <f aca="false">IF(K390=0,"No discount",IF(K390&lt;=0.1,"1-10%",IF(K390&lt;=0.2,"11-20%",IF(K390&lt;=0.3,"21-30%","Above 30%"))))</f>
        <v>21-30%</v>
      </c>
      <c r="R390" s="39" t="n">
        <f aca="false">I390*J390*MAX(0,K390-DiscountCap)</f>
        <v>199.9</v>
      </c>
    </row>
    <row r="391" customFormat="false" ht="15" hidden="false" customHeight="false" outlineLevel="0" collapsed="false">
      <c r="A391" s="37" t="s">
        <v>535</v>
      </c>
      <c r="B391" s="38" t="n">
        <v>45814</v>
      </c>
      <c r="C391" s="37" t="n">
        <f aca="false">MONTH(B391)</f>
        <v>6</v>
      </c>
      <c r="D391" s="37" t="s">
        <v>166</v>
      </c>
      <c r="E391" s="37" t="s">
        <v>44</v>
      </c>
      <c r="F391" s="37" t="s">
        <v>96</v>
      </c>
      <c r="G391" s="37" t="s">
        <v>90</v>
      </c>
      <c r="H391" s="37" t="s">
        <v>111</v>
      </c>
      <c r="I391" s="37" t="n">
        <v>2</v>
      </c>
      <c r="J391" s="39" t="n">
        <v>2499</v>
      </c>
      <c r="K391" s="40" t="n">
        <v>0.05</v>
      </c>
      <c r="L391" s="39" t="n">
        <f aca="false">VLOOKUP(H391,'Product List'!$A$3:$D$18,4,FALSE())</f>
        <v>1950</v>
      </c>
      <c r="M391" s="39" t="n">
        <f aca="false">I391*J391*(1-K391)</f>
        <v>4748.1</v>
      </c>
      <c r="N391" s="39" t="n">
        <f aca="false">I391*L391</f>
        <v>3900</v>
      </c>
      <c r="O391" s="39" t="n">
        <f aca="false">M391-N391</f>
        <v>848.1</v>
      </c>
      <c r="P391" s="41" t="n">
        <f aca="false">IF(M391=0,0,O391/M391)</f>
        <v>0.178618815947432</v>
      </c>
      <c r="Q391" s="37" t="str">
        <f aca="false">IF(K391=0,"No discount",IF(K391&lt;=0.1,"1-10%",IF(K391&lt;=0.2,"11-20%",IF(K391&lt;=0.3,"21-30%","Above 30%"))))</f>
        <v>1-10%</v>
      </c>
      <c r="R391" s="39" t="n">
        <f aca="false">I391*J391*MAX(0,K391-DiscountCap)</f>
        <v>0</v>
      </c>
    </row>
    <row r="392" customFormat="false" ht="15" hidden="false" customHeight="false" outlineLevel="0" collapsed="false">
      <c r="A392" s="37" t="s">
        <v>536</v>
      </c>
      <c r="B392" s="38" t="n">
        <v>45815</v>
      </c>
      <c r="C392" s="37" t="n">
        <f aca="false">MONTH(B392)</f>
        <v>6</v>
      </c>
      <c r="D392" s="37" t="s">
        <v>136</v>
      </c>
      <c r="E392" s="37" t="s">
        <v>47</v>
      </c>
      <c r="F392" s="37" t="s">
        <v>97</v>
      </c>
      <c r="G392" s="37" t="s">
        <v>91</v>
      </c>
      <c r="H392" s="37" t="s">
        <v>116</v>
      </c>
      <c r="I392" s="37" t="n">
        <v>3</v>
      </c>
      <c r="J392" s="39" t="n">
        <v>899</v>
      </c>
      <c r="K392" s="40" t="n">
        <v>0.05</v>
      </c>
      <c r="L392" s="39" t="n">
        <f aca="false">VLOOKUP(H392,'Product List'!$A$3:$D$18,4,FALSE())</f>
        <v>430</v>
      </c>
      <c r="M392" s="39" t="n">
        <f aca="false">I392*J392*(1-K392)</f>
        <v>2562.15</v>
      </c>
      <c r="N392" s="39" t="n">
        <f aca="false">I392*L392</f>
        <v>1290</v>
      </c>
      <c r="O392" s="39" t="n">
        <f aca="false">M392-N392</f>
        <v>1272.15</v>
      </c>
      <c r="P392" s="41" t="n">
        <f aca="false">IF(M392=0,0,O392/M392)</f>
        <v>0.496516597388912</v>
      </c>
      <c r="Q392" s="37" t="str">
        <f aca="false">IF(K392=0,"No discount",IF(K392&lt;=0.1,"1-10%",IF(K392&lt;=0.2,"11-20%",IF(K392&lt;=0.3,"21-30%","Above 30%"))))</f>
        <v>1-10%</v>
      </c>
      <c r="R392" s="39" t="n">
        <f aca="false">I392*J392*MAX(0,K392-DiscountCap)</f>
        <v>0</v>
      </c>
    </row>
    <row r="393" customFormat="false" ht="15" hidden="false" customHeight="false" outlineLevel="0" collapsed="false">
      <c r="A393" s="37" t="s">
        <v>537</v>
      </c>
      <c r="B393" s="38" t="n">
        <v>45827</v>
      </c>
      <c r="C393" s="37" t="n">
        <f aca="false">MONTH(B393)</f>
        <v>6</v>
      </c>
      <c r="D393" s="37" t="s">
        <v>142</v>
      </c>
      <c r="E393" s="37" t="s">
        <v>47</v>
      </c>
      <c r="F393" s="37" t="s">
        <v>97</v>
      </c>
      <c r="G393" s="37" t="s">
        <v>90</v>
      </c>
      <c r="H393" s="37" t="s">
        <v>109</v>
      </c>
      <c r="I393" s="37" t="n">
        <v>1</v>
      </c>
      <c r="J393" s="39" t="n">
        <v>3499</v>
      </c>
      <c r="K393" s="40" t="n">
        <v>0</v>
      </c>
      <c r="L393" s="39" t="n">
        <f aca="false">VLOOKUP(H393,'Product List'!$A$3:$D$18,4,FALSE())</f>
        <v>2750</v>
      </c>
      <c r="M393" s="39" t="n">
        <f aca="false">I393*J393*(1-K393)</f>
        <v>3499</v>
      </c>
      <c r="N393" s="39" t="n">
        <f aca="false">I393*L393</f>
        <v>2750</v>
      </c>
      <c r="O393" s="39" t="n">
        <f aca="false">M393-N393</f>
        <v>749</v>
      </c>
      <c r="P393" s="41" t="n">
        <f aca="false">IF(M393=0,0,O393/M393)</f>
        <v>0.214061160331523</v>
      </c>
      <c r="Q393" s="37" t="str">
        <f aca="false">IF(K393=0,"No discount",IF(K393&lt;=0.1,"1-10%",IF(K393&lt;=0.2,"11-20%",IF(K393&lt;=0.3,"21-30%","Above 30%"))))</f>
        <v>No discount</v>
      </c>
      <c r="R393" s="39" t="n">
        <f aca="false">I393*J393*MAX(0,K393-DiscountCap)</f>
        <v>0</v>
      </c>
    </row>
    <row r="394" customFormat="false" ht="15" hidden="false" customHeight="false" outlineLevel="0" collapsed="false">
      <c r="A394" s="37" t="s">
        <v>538</v>
      </c>
      <c r="B394" s="38" t="n">
        <v>45833</v>
      </c>
      <c r="C394" s="37" t="n">
        <f aca="false">MONTH(B394)</f>
        <v>6</v>
      </c>
      <c r="D394" s="37" t="s">
        <v>142</v>
      </c>
      <c r="E394" s="37" t="s">
        <v>47</v>
      </c>
      <c r="F394" s="37" t="s">
        <v>97</v>
      </c>
      <c r="G394" s="37" t="s">
        <v>90</v>
      </c>
      <c r="H394" s="37" t="s">
        <v>108</v>
      </c>
      <c r="I394" s="37" t="n">
        <v>1</v>
      </c>
      <c r="J394" s="39" t="n">
        <v>1999</v>
      </c>
      <c r="K394" s="40" t="n">
        <v>0.05</v>
      </c>
      <c r="L394" s="39" t="n">
        <f aca="false">VLOOKUP(H394,'Product List'!$A$3:$D$18,4,FALSE())</f>
        <v>1560</v>
      </c>
      <c r="M394" s="39" t="n">
        <f aca="false">I394*J394*(1-K394)</f>
        <v>1899.05</v>
      </c>
      <c r="N394" s="39" t="n">
        <f aca="false">I394*L394</f>
        <v>1560</v>
      </c>
      <c r="O394" s="39" t="n">
        <f aca="false">M394-N394</f>
        <v>339.05</v>
      </c>
      <c r="P394" s="41" t="n">
        <f aca="false">IF(M394=0,0,O394/M394)</f>
        <v>0.178536636739422</v>
      </c>
      <c r="Q394" s="37" t="str">
        <f aca="false">IF(K394=0,"No discount",IF(K394&lt;=0.1,"1-10%",IF(K394&lt;=0.2,"11-20%",IF(K394&lt;=0.3,"21-30%","Above 30%"))))</f>
        <v>1-10%</v>
      </c>
      <c r="R394" s="39" t="n">
        <f aca="false">I394*J394*MAX(0,K394-DiscountCap)</f>
        <v>0</v>
      </c>
    </row>
    <row r="395" customFormat="false" ht="15" hidden="false" customHeight="false" outlineLevel="0" collapsed="false">
      <c r="A395" s="37" t="s">
        <v>539</v>
      </c>
      <c r="B395" s="38" t="n">
        <v>45821</v>
      </c>
      <c r="C395" s="37" t="n">
        <f aca="false">MONTH(B395)</f>
        <v>6</v>
      </c>
      <c r="D395" s="37" t="s">
        <v>146</v>
      </c>
      <c r="E395" s="37" t="s">
        <v>45</v>
      </c>
      <c r="F395" s="37" t="s">
        <v>96</v>
      </c>
      <c r="G395" s="37" t="s">
        <v>93</v>
      </c>
      <c r="H395" s="37" t="s">
        <v>123</v>
      </c>
      <c r="I395" s="37" t="n">
        <v>2</v>
      </c>
      <c r="J395" s="39" t="n">
        <v>1299</v>
      </c>
      <c r="K395" s="40" t="n">
        <v>0.05</v>
      </c>
      <c r="L395" s="39" t="n">
        <f aca="false">VLOOKUP(H395,'Product List'!$A$3:$D$18,4,FALSE())</f>
        <v>700</v>
      </c>
      <c r="M395" s="39" t="n">
        <f aca="false">I395*J395*(1-K395)</f>
        <v>2468.1</v>
      </c>
      <c r="N395" s="39" t="n">
        <f aca="false">I395*L395</f>
        <v>1400</v>
      </c>
      <c r="O395" s="39" t="n">
        <f aca="false">M395-N395</f>
        <v>1068.1</v>
      </c>
      <c r="P395" s="41" t="n">
        <f aca="false">IF(M395=0,0,O395/M395)</f>
        <v>0.432762043677323</v>
      </c>
      <c r="Q395" s="37" t="str">
        <f aca="false">IF(K395=0,"No discount",IF(K395&lt;=0.1,"1-10%",IF(K395&lt;=0.2,"11-20%",IF(K395&lt;=0.3,"21-30%","Above 30%"))))</f>
        <v>1-10%</v>
      </c>
      <c r="R395" s="39" t="n">
        <f aca="false">I395*J395*MAX(0,K395-DiscountCap)</f>
        <v>0</v>
      </c>
    </row>
    <row r="396" customFormat="false" ht="15" hidden="false" customHeight="false" outlineLevel="0" collapsed="false">
      <c r="A396" s="37" t="s">
        <v>540</v>
      </c>
      <c r="B396" s="38" t="n">
        <v>45836</v>
      </c>
      <c r="C396" s="37" t="n">
        <f aca="false">MONTH(B396)</f>
        <v>6</v>
      </c>
      <c r="D396" s="37" t="s">
        <v>154</v>
      </c>
      <c r="E396" s="37" t="s">
        <v>47</v>
      </c>
      <c r="F396" s="37" t="s">
        <v>96</v>
      </c>
      <c r="G396" s="37" t="s">
        <v>90</v>
      </c>
      <c r="H396" s="37" t="s">
        <v>110</v>
      </c>
      <c r="I396" s="37" t="n">
        <v>1</v>
      </c>
      <c r="J396" s="39" t="n">
        <v>1299</v>
      </c>
      <c r="K396" s="40" t="n">
        <v>0</v>
      </c>
      <c r="L396" s="39" t="n">
        <f aca="false">VLOOKUP(H396,'Product List'!$A$3:$D$18,4,FALSE())</f>
        <v>1000</v>
      </c>
      <c r="M396" s="39" t="n">
        <f aca="false">I396*J396*(1-K396)</f>
        <v>1299</v>
      </c>
      <c r="N396" s="39" t="n">
        <f aca="false">I396*L396</f>
        <v>1000</v>
      </c>
      <c r="O396" s="39" t="n">
        <f aca="false">M396-N396</f>
        <v>299</v>
      </c>
      <c r="P396" s="41" t="n">
        <f aca="false">IF(M396=0,0,O396/M396)</f>
        <v>0.230177059276366</v>
      </c>
      <c r="Q396" s="37" t="str">
        <f aca="false">IF(K396=0,"No discount",IF(K396&lt;=0.1,"1-10%",IF(K396&lt;=0.2,"11-20%",IF(K396&lt;=0.3,"21-30%","Above 30%"))))</f>
        <v>No discount</v>
      </c>
      <c r="R396" s="39" t="n">
        <f aca="false">I396*J396*MAX(0,K396-DiscountCap)</f>
        <v>0</v>
      </c>
    </row>
    <row r="397" customFormat="false" ht="15" hidden="false" customHeight="false" outlineLevel="0" collapsed="false">
      <c r="A397" s="37" t="s">
        <v>541</v>
      </c>
      <c r="B397" s="38" t="n">
        <v>45825</v>
      </c>
      <c r="C397" s="37" t="n">
        <f aca="false">MONTH(B397)</f>
        <v>6</v>
      </c>
      <c r="D397" s="37" t="s">
        <v>142</v>
      </c>
      <c r="E397" s="37" t="s">
        <v>47</v>
      </c>
      <c r="F397" s="37" t="s">
        <v>97</v>
      </c>
      <c r="G397" s="37" t="s">
        <v>93</v>
      </c>
      <c r="H397" s="37" t="s">
        <v>121</v>
      </c>
      <c r="I397" s="37" t="n">
        <v>4</v>
      </c>
      <c r="J397" s="39" t="n">
        <v>999</v>
      </c>
      <c r="K397" s="40" t="n">
        <v>0</v>
      </c>
      <c r="L397" s="39" t="n">
        <f aca="false">VLOOKUP(H397,'Product List'!$A$3:$D$18,4,FALSE())</f>
        <v>500</v>
      </c>
      <c r="M397" s="39" t="n">
        <f aca="false">I397*J397*(1-K397)</f>
        <v>3996</v>
      </c>
      <c r="N397" s="39" t="n">
        <f aca="false">I397*L397</f>
        <v>2000</v>
      </c>
      <c r="O397" s="39" t="n">
        <f aca="false">M397-N397</f>
        <v>1996</v>
      </c>
      <c r="P397" s="41" t="n">
        <f aca="false">IF(M397=0,0,O397/M397)</f>
        <v>0.4994994994995</v>
      </c>
      <c r="Q397" s="37" t="str">
        <f aca="false">IF(K397=0,"No discount",IF(K397&lt;=0.1,"1-10%",IF(K397&lt;=0.2,"11-20%",IF(K397&lt;=0.3,"21-30%","Above 30%"))))</f>
        <v>No discount</v>
      </c>
      <c r="R397" s="39" t="n">
        <f aca="false">I397*J397*MAX(0,K397-DiscountCap)</f>
        <v>0</v>
      </c>
    </row>
    <row r="398" customFormat="false" ht="15" hidden="false" customHeight="false" outlineLevel="0" collapsed="false">
      <c r="A398" s="37" t="s">
        <v>542</v>
      </c>
      <c r="B398" s="38" t="n">
        <v>45827</v>
      </c>
      <c r="C398" s="37" t="n">
        <f aca="false">MONTH(B398)</f>
        <v>6</v>
      </c>
      <c r="D398" s="37" t="s">
        <v>134</v>
      </c>
      <c r="E398" s="37" t="s">
        <v>45</v>
      </c>
      <c r="F398" s="37" t="s">
        <v>96</v>
      </c>
      <c r="G398" s="37" t="s">
        <v>90</v>
      </c>
      <c r="H398" s="37" t="s">
        <v>111</v>
      </c>
      <c r="I398" s="37" t="n">
        <v>2</v>
      </c>
      <c r="J398" s="39" t="n">
        <v>2499</v>
      </c>
      <c r="K398" s="40" t="n">
        <v>0.3</v>
      </c>
      <c r="L398" s="39" t="n">
        <f aca="false">VLOOKUP(H398,'Product List'!$A$3:$D$18,4,FALSE())</f>
        <v>1950</v>
      </c>
      <c r="M398" s="39" t="n">
        <f aca="false">I398*J398*(1-K398)</f>
        <v>3498.6</v>
      </c>
      <c r="N398" s="39" t="n">
        <f aca="false">I398*L398</f>
        <v>3900</v>
      </c>
      <c r="O398" s="39" t="n">
        <f aca="false">M398-N398</f>
        <v>-401.4</v>
      </c>
      <c r="P398" s="41" t="n">
        <f aca="false">IF(M398=0,0,O398/M398)</f>
        <v>-0.114731606928486</v>
      </c>
      <c r="Q398" s="37" t="str">
        <f aca="false">IF(K398=0,"No discount",IF(K398&lt;=0.1,"1-10%",IF(K398&lt;=0.2,"11-20%",IF(K398&lt;=0.3,"21-30%","Above 30%"))))</f>
        <v>21-30%</v>
      </c>
      <c r="R398" s="39" t="n">
        <f aca="false">I398*J398*MAX(0,K398-DiscountCap)</f>
        <v>499.8</v>
      </c>
    </row>
    <row r="399" customFormat="false" ht="15" hidden="false" customHeight="false" outlineLevel="0" collapsed="false">
      <c r="A399" s="37" t="s">
        <v>543</v>
      </c>
      <c r="B399" s="38" t="n">
        <v>45821</v>
      </c>
      <c r="C399" s="37" t="n">
        <f aca="false">MONTH(B399)</f>
        <v>6</v>
      </c>
      <c r="D399" s="37" t="s">
        <v>154</v>
      </c>
      <c r="E399" s="37" t="s">
        <v>47</v>
      </c>
      <c r="F399" s="37" t="s">
        <v>96</v>
      </c>
      <c r="G399" s="37" t="s">
        <v>93</v>
      </c>
      <c r="H399" s="37" t="s">
        <v>123</v>
      </c>
      <c r="I399" s="37" t="n">
        <v>1</v>
      </c>
      <c r="J399" s="39" t="n">
        <v>1299</v>
      </c>
      <c r="K399" s="40" t="n">
        <v>0.05</v>
      </c>
      <c r="L399" s="39" t="n">
        <f aca="false">VLOOKUP(H399,'Product List'!$A$3:$D$18,4,FALSE())</f>
        <v>700</v>
      </c>
      <c r="M399" s="39" t="n">
        <f aca="false">I399*J399*(1-K399)</f>
        <v>1234.05</v>
      </c>
      <c r="N399" s="39" t="n">
        <f aca="false">I399*L399</f>
        <v>700</v>
      </c>
      <c r="O399" s="39" t="n">
        <f aca="false">M399-N399</f>
        <v>534.05</v>
      </c>
      <c r="P399" s="41" t="n">
        <f aca="false">IF(M399=0,0,O399/M399)</f>
        <v>0.432762043677323</v>
      </c>
      <c r="Q399" s="37" t="str">
        <f aca="false">IF(K399=0,"No discount",IF(K399&lt;=0.1,"1-10%",IF(K399&lt;=0.2,"11-20%",IF(K399&lt;=0.3,"21-30%","Above 30%"))))</f>
        <v>1-10%</v>
      </c>
      <c r="R399" s="39" t="n">
        <f aca="false">I399*J399*MAX(0,K399-DiscountCap)</f>
        <v>0</v>
      </c>
    </row>
    <row r="400" customFormat="false" ht="15" hidden="false" customHeight="false" outlineLevel="0" collapsed="false">
      <c r="A400" s="37" t="s">
        <v>544</v>
      </c>
      <c r="B400" s="38" t="n">
        <v>45835</v>
      </c>
      <c r="C400" s="37" t="n">
        <f aca="false">MONTH(B400)</f>
        <v>6</v>
      </c>
      <c r="D400" s="37" t="s">
        <v>144</v>
      </c>
      <c r="E400" s="37" t="s">
        <v>45</v>
      </c>
      <c r="F400" s="37" t="s">
        <v>97</v>
      </c>
      <c r="G400" s="37" t="s">
        <v>90</v>
      </c>
      <c r="H400" s="37" t="s">
        <v>109</v>
      </c>
      <c r="I400" s="37" t="n">
        <v>1</v>
      </c>
      <c r="J400" s="39" t="n">
        <v>3499</v>
      </c>
      <c r="K400" s="40" t="n">
        <v>0.1</v>
      </c>
      <c r="L400" s="39" t="n">
        <f aca="false">VLOOKUP(H400,'Product List'!$A$3:$D$18,4,FALSE())</f>
        <v>2750</v>
      </c>
      <c r="M400" s="39" t="n">
        <f aca="false">I400*J400*(1-K400)</f>
        <v>3149.1</v>
      </c>
      <c r="N400" s="39" t="n">
        <f aca="false">I400*L400</f>
        <v>2750</v>
      </c>
      <c r="O400" s="39" t="n">
        <f aca="false">M400-N400</f>
        <v>399.1</v>
      </c>
      <c r="P400" s="41" t="n">
        <f aca="false">IF(M400=0,0,O400/M400)</f>
        <v>0.126734622590581</v>
      </c>
      <c r="Q400" s="37" t="str">
        <f aca="false">IF(K400=0,"No discount",IF(K400&lt;=0.1,"1-10%",IF(K400&lt;=0.2,"11-20%",IF(K400&lt;=0.3,"21-30%","Above 30%"))))</f>
        <v>1-10%</v>
      </c>
      <c r="R400" s="39" t="n">
        <f aca="false">I400*J400*MAX(0,K400-DiscountCap)</f>
        <v>0</v>
      </c>
    </row>
    <row r="401" customFormat="false" ht="15" hidden="false" customHeight="false" outlineLevel="0" collapsed="false">
      <c r="A401" s="37" t="s">
        <v>545</v>
      </c>
      <c r="B401" s="38" t="n">
        <v>45835</v>
      </c>
      <c r="C401" s="37" t="n">
        <f aca="false">MONTH(B401)</f>
        <v>6</v>
      </c>
      <c r="D401" s="37" t="s">
        <v>172</v>
      </c>
      <c r="E401" s="37" t="s">
        <v>46</v>
      </c>
      <c r="F401" s="37" t="s">
        <v>96</v>
      </c>
      <c r="G401" s="37" t="s">
        <v>92</v>
      </c>
      <c r="H401" s="37" t="s">
        <v>115</v>
      </c>
      <c r="I401" s="37" t="n">
        <v>5</v>
      </c>
      <c r="J401" s="39" t="n">
        <v>1799</v>
      </c>
      <c r="K401" s="40" t="n">
        <v>0.1</v>
      </c>
      <c r="L401" s="39" t="n">
        <f aca="false">VLOOKUP(H401,'Product List'!$A$3:$D$18,4,FALSE())</f>
        <v>1150</v>
      </c>
      <c r="M401" s="39" t="n">
        <f aca="false">I401*J401*(1-K401)</f>
        <v>8095.5</v>
      </c>
      <c r="N401" s="39" t="n">
        <f aca="false">I401*L401</f>
        <v>5750</v>
      </c>
      <c r="O401" s="39" t="n">
        <f aca="false">M401-N401</f>
        <v>2345.5</v>
      </c>
      <c r="P401" s="41" t="n">
        <f aca="false">IF(M401=0,0,O401/M401)</f>
        <v>0.289728861713298</v>
      </c>
      <c r="Q401" s="37" t="str">
        <f aca="false">IF(K401=0,"No discount",IF(K401&lt;=0.1,"1-10%",IF(K401&lt;=0.2,"11-20%",IF(K401&lt;=0.3,"21-30%","Above 30%"))))</f>
        <v>1-10%</v>
      </c>
      <c r="R401" s="39" t="n">
        <f aca="false">I401*J401*MAX(0,K401-DiscountCap)</f>
        <v>0</v>
      </c>
    </row>
    <row r="402" customFormat="false" ht="15" hidden="false" customHeight="false" outlineLevel="0" collapsed="false">
      <c r="A402" s="37" t="s">
        <v>546</v>
      </c>
      <c r="B402" s="38" t="n">
        <v>45826</v>
      </c>
      <c r="C402" s="37" t="n">
        <f aca="false">MONTH(B402)</f>
        <v>6</v>
      </c>
      <c r="D402" s="37" t="s">
        <v>169</v>
      </c>
      <c r="E402" s="37" t="s">
        <v>44</v>
      </c>
      <c r="F402" s="37" t="s">
        <v>96</v>
      </c>
      <c r="G402" s="37" t="s">
        <v>92</v>
      </c>
      <c r="H402" s="37" t="s">
        <v>113</v>
      </c>
      <c r="I402" s="37" t="n">
        <v>1</v>
      </c>
      <c r="J402" s="39" t="n">
        <v>2199</v>
      </c>
      <c r="K402" s="40" t="n">
        <v>0.15</v>
      </c>
      <c r="L402" s="39" t="n">
        <f aca="false">VLOOKUP(H402,'Product List'!$A$3:$D$18,4,FALSE())</f>
        <v>1400</v>
      </c>
      <c r="M402" s="39" t="n">
        <f aca="false">I402*J402*(1-K402)</f>
        <v>1869.15</v>
      </c>
      <c r="N402" s="39" t="n">
        <f aca="false">I402*L402</f>
        <v>1400</v>
      </c>
      <c r="O402" s="39" t="n">
        <f aca="false">M402-N402</f>
        <v>469.15</v>
      </c>
      <c r="P402" s="41" t="n">
        <f aca="false">IF(M402=0,0,O402/M402)</f>
        <v>0.250996442233101</v>
      </c>
      <c r="Q402" s="37" t="str">
        <f aca="false">IF(K402=0,"No discount",IF(K402&lt;=0.1,"1-10%",IF(K402&lt;=0.2,"11-20%",IF(K402&lt;=0.3,"21-30%","Above 30%"))))</f>
        <v>11-20%</v>
      </c>
      <c r="R402" s="39" t="n">
        <f aca="false">I402*J402*MAX(0,K402-DiscountCap)</f>
        <v>0</v>
      </c>
    </row>
    <row r="403" customFormat="false" ht="15" hidden="false" customHeight="false" outlineLevel="0" collapsed="false">
      <c r="A403" s="37" t="s">
        <v>547</v>
      </c>
      <c r="B403" s="38" t="n">
        <v>45826</v>
      </c>
      <c r="C403" s="37" t="n">
        <f aca="false">MONTH(B403)</f>
        <v>6</v>
      </c>
      <c r="D403" s="37" t="s">
        <v>169</v>
      </c>
      <c r="E403" s="37" t="s">
        <v>44</v>
      </c>
      <c r="F403" s="37" t="s">
        <v>96</v>
      </c>
      <c r="G403" s="37" t="s">
        <v>91</v>
      </c>
      <c r="H403" s="37" t="s">
        <v>117</v>
      </c>
      <c r="I403" s="37" t="n">
        <v>2</v>
      </c>
      <c r="J403" s="39" t="n">
        <v>1499</v>
      </c>
      <c r="K403" s="40" t="n">
        <v>0.05</v>
      </c>
      <c r="L403" s="39" t="n">
        <f aca="false">VLOOKUP(H403,'Product List'!$A$3:$D$18,4,FALSE())</f>
        <v>780</v>
      </c>
      <c r="M403" s="39" t="n">
        <f aca="false">I403*J403*(1-K403)</f>
        <v>2848.1</v>
      </c>
      <c r="N403" s="39" t="n">
        <f aca="false">I403*L403</f>
        <v>1560</v>
      </c>
      <c r="O403" s="39" t="n">
        <f aca="false">M403-N403</f>
        <v>1288.1</v>
      </c>
      <c r="P403" s="41" t="n">
        <f aca="false">IF(M403=0,0,O403/M403)</f>
        <v>0.452266423229521</v>
      </c>
      <c r="Q403" s="37" t="str">
        <f aca="false">IF(K403=0,"No discount",IF(K403&lt;=0.1,"1-10%",IF(K403&lt;=0.2,"11-20%",IF(K403&lt;=0.3,"21-30%","Above 30%"))))</f>
        <v>1-10%</v>
      </c>
      <c r="R403" s="39" t="n">
        <f aca="false">I403*J403*MAX(0,K403-DiscountCap)</f>
        <v>0</v>
      </c>
    </row>
    <row r="404" customFormat="false" ht="15" hidden="false" customHeight="false" outlineLevel="0" collapsed="false">
      <c r="A404" s="37" t="s">
        <v>548</v>
      </c>
      <c r="B404" s="38" t="n">
        <v>45817</v>
      </c>
      <c r="C404" s="37" t="n">
        <f aca="false">MONTH(B404)</f>
        <v>6</v>
      </c>
      <c r="D404" s="37" t="s">
        <v>138</v>
      </c>
      <c r="E404" s="37" t="s">
        <v>46</v>
      </c>
      <c r="F404" s="37" t="s">
        <v>96</v>
      </c>
      <c r="G404" s="37" t="s">
        <v>90</v>
      </c>
      <c r="H404" s="37" t="s">
        <v>111</v>
      </c>
      <c r="I404" s="37" t="n">
        <v>1</v>
      </c>
      <c r="J404" s="39" t="n">
        <v>2499</v>
      </c>
      <c r="K404" s="40" t="n">
        <v>0.1</v>
      </c>
      <c r="L404" s="39" t="n">
        <f aca="false">VLOOKUP(H404,'Product List'!$A$3:$D$18,4,FALSE())</f>
        <v>1950</v>
      </c>
      <c r="M404" s="39" t="n">
        <f aca="false">I404*J404*(1-K404)</f>
        <v>2249.1</v>
      </c>
      <c r="N404" s="39" t="n">
        <f aca="false">I404*L404</f>
        <v>1950</v>
      </c>
      <c r="O404" s="39" t="n">
        <f aca="false">M404-N404</f>
        <v>299.1</v>
      </c>
      <c r="P404" s="41" t="n">
        <f aca="false">IF(M404=0,0,O404/M404)</f>
        <v>0.132986527944511</v>
      </c>
      <c r="Q404" s="37" t="str">
        <f aca="false">IF(K404=0,"No discount",IF(K404&lt;=0.1,"1-10%",IF(K404&lt;=0.2,"11-20%",IF(K404&lt;=0.3,"21-30%","Above 30%"))))</f>
        <v>1-10%</v>
      </c>
      <c r="R404" s="39" t="n">
        <f aca="false">I404*J404*MAX(0,K404-DiscountCap)</f>
        <v>0</v>
      </c>
    </row>
    <row r="405" customFormat="false" ht="15" hidden="false" customHeight="false" outlineLevel="0" collapsed="false">
      <c r="A405" s="37" t="s">
        <v>549</v>
      </c>
      <c r="B405" s="38" t="n">
        <v>45813</v>
      </c>
      <c r="C405" s="37" t="n">
        <f aca="false">MONTH(B405)</f>
        <v>6</v>
      </c>
      <c r="D405" s="37" t="s">
        <v>142</v>
      </c>
      <c r="E405" s="37" t="s">
        <v>47</v>
      </c>
      <c r="F405" s="37" t="s">
        <v>97</v>
      </c>
      <c r="G405" s="37" t="s">
        <v>91</v>
      </c>
      <c r="H405" s="37" t="s">
        <v>116</v>
      </c>
      <c r="I405" s="37" t="n">
        <v>1</v>
      </c>
      <c r="J405" s="39" t="n">
        <v>899</v>
      </c>
      <c r="K405" s="40" t="n">
        <v>0.05</v>
      </c>
      <c r="L405" s="39" t="n">
        <f aca="false">VLOOKUP(H405,'Product List'!$A$3:$D$18,4,FALSE())</f>
        <v>430</v>
      </c>
      <c r="M405" s="39" t="n">
        <f aca="false">I405*J405*(1-K405)</f>
        <v>854.05</v>
      </c>
      <c r="N405" s="39" t="n">
        <f aca="false">I405*L405</f>
        <v>430</v>
      </c>
      <c r="O405" s="39" t="n">
        <f aca="false">M405-N405</f>
        <v>424.05</v>
      </c>
      <c r="P405" s="41" t="n">
        <f aca="false">IF(M405=0,0,O405/M405)</f>
        <v>0.496516597388912</v>
      </c>
      <c r="Q405" s="37" t="str">
        <f aca="false">IF(K405=0,"No discount",IF(K405&lt;=0.1,"1-10%",IF(K405&lt;=0.2,"11-20%",IF(K405&lt;=0.3,"21-30%","Above 30%"))))</f>
        <v>1-10%</v>
      </c>
      <c r="R405" s="39" t="n">
        <f aca="false">I405*J405*MAX(0,K405-DiscountCap)</f>
        <v>0</v>
      </c>
    </row>
    <row r="406" customFormat="false" ht="15" hidden="false" customHeight="false" outlineLevel="0" collapsed="false">
      <c r="A406" s="37" t="s">
        <v>550</v>
      </c>
      <c r="B406" s="38" t="n">
        <v>45819</v>
      </c>
      <c r="C406" s="37" t="n">
        <f aca="false">MONTH(B406)</f>
        <v>6</v>
      </c>
      <c r="D406" s="37" t="s">
        <v>144</v>
      </c>
      <c r="E406" s="37" t="s">
        <v>45</v>
      </c>
      <c r="F406" s="37" t="s">
        <v>97</v>
      </c>
      <c r="G406" s="37" t="s">
        <v>93</v>
      </c>
      <c r="H406" s="37" t="s">
        <v>120</v>
      </c>
      <c r="I406" s="37" t="n">
        <v>2</v>
      </c>
      <c r="J406" s="39" t="n">
        <v>449</v>
      </c>
      <c r="K406" s="40" t="n">
        <v>0.1</v>
      </c>
      <c r="L406" s="39" t="n">
        <f aca="false">VLOOKUP(H406,'Product List'!$A$3:$D$18,4,FALSE())</f>
        <v>240</v>
      </c>
      <c r="M406" s="39" t="n">
        <f aca="false">I406*J406*(1-K406)</f>
        <v>808.2</v>
      </c>
      <c r="N406" s="39" t="n">
        <f aca="false">I406*L406</f>
        <v>480</v>
      </c>
      <c r="O406" s="39" t="n">
        <f aca="false">M406-N406</f>
        <v>328.2</v>
      </c>
      <c r="P406" s="41" t="n">
        <f aca="false">IF(M406=0,0,O406/M406)</f>
        <v>0.406087602078693</v>
      </c>
      <c r="Q406" s="37" t="str">
        <f aca="false">IF(K406=0,"No discount",IF(K406&lt;=0.1,"1-10%",IF(K406&lt;=0.2,"11-20%",IF(K406&lt;=0.3,"21-30%","Above 30%"))))</f>
        <v>1-10%</v>
      </c>
      <c r="R406" s="39" t="n">
        <f aca="false">I406*J406*MAX(0,K406-DiscountCap)</f>
        <v>0</v>
      </c>
    </row>
    <row r="407" customFormat="false" ht="15" hidden="false" customHeight="false" outlineLevel="0" collapsed="false">
      <c r="A407" s="37" t="s">
        <v>551</v>
      </c>
      <c r="B407" s="38" t="n">
        <v>45821</v>
      </c>
      <c r="C407" s="37" t="n">
        <f aca="false">MONTH(B407)</f>
        <v>6</v>
      </c>
      <c r="D407" s="37" t="s">
        <v>146</v>
      </c>
      <c r="E407" s="37" t="s">
        <v>45</v>
      </c>
      <c r="F407" s="37" t="s">
        <v>96</v>
      </c>
      <c r="G407" s="37" t="s">
        <v>91</v>
      </c>
      <c r="H407" s="37" t="s">
        <v>116</v>
      </c>
      <c r="I407" s="37" t="n">
        <v>2</v>
      </c>
      <c r="J407" s="39" t="n">
        <v>899</v>
      </c>
      <c r="K407" s="40" t="n">
        <v>0.2</v>
      </c>
      <c r="L407" s="39" t="n">
        <f aca="false">VLOOKUP(H407,'Product List'!$A$3:$D$18,4,FALSE())</f>
        <v>430</v>
      </c>
      <c r="M407" s="39" t="n">
        <f aca="false">I407*J407*(1-K407)</f>
        <v>1438.4</v>
      </c>
      <c r="N407" s="39" t="n">
        <f aca="false">I407*L407</f>
        <v>860</v>
      </c>
      <c r="O407" s="39" t="n">
        <f aca="false">M407-N407</f>
        <v>578.4</v>
      </c>
      <c r="P407" s="41" t="n">
        <f aca="false">IF(M407=0,0,O407/M407)</f>
        <v>0.402113459399333</v>
      </c>
      <c r="Q407" s="37" t="str">
        <f aca="false">IF(K407=0,"No discount",IF(K407&lt;=0.1,"1-10%",IF(K407&lt;=0.2,"11-20%",IF(K407&lt;=0.3,"21-30%","Above 30%"))))</f>
        <v>11-20%</v>
      </c>
      <c r="R407" s="39" t="n">
        <f aca="false">I407*J407*MAX(0,K407-DiscountCap)</f>
        <v>0</v>
      </c>
    </row>
    <row r="408" customFormat="false" ht="15" hidden="false" customHeight="false" outlineLevel="0" collapsed="false">
      <c r="A408" s="37" t="s">
        <v>552</v>
      </c>
      <c r="B408" s="38" t="n">
        <v>45813</v>
      </c>
      <c r="C408" s="37" t="n">
        <f aca="false">MONTH(B408)</f>
        <v>6</v>
      </c>
      <c r="D408" s="37" t="s">
        <v>140</v>
      </c>
      <c r="E408" s="37" t="s">
        <v>44</v>
      </c>
      <c r="F408" s="37" t="s">
        <v>96</v>
      </c>
      <c r="G408" s="37" t="s">
        <v>91</v>
      </c>
      <c r="H408" s="37" t="s">
        <v>117</v>
      </c>
      <c r="I408" s="37" t="n">
        <v>1</v>
      </c>
      <c r="J408" s="39" t="n">
        <v>1499</v>
      </c>
      <c r="K408" s="40" t="n">
        <v>0</v>
      </c>
      <c r="L408" s="39" t="n">
        <f aca="false">VLOOKUP(H408,'Product List'!$A$3:$D$18,4,FALSE())</f>
        <v>780</v>
      </c>
      <c r="M408" s="39" t="n">
        <f aca="false">I408*J408*(1-K408)</f>
        <v>1499</v>
      </c>
      <c r="N408" s="39" t="n">
        <f aca="false">I408*L408</f>
        <v>780</v>
      </c>
      <c r="O408" s="39" t="n">
        <f aca="false">M408-N408</f>
        <v>719</v>
      </c>
      <c r="P408" s="41" t="n">
        <f aca="false">IF(M408=0,0,O408/M408)</f>
        <v>0.479653102068045</v>
      </c>
      <c r="Q408" s="37" t="str">
        <f aca="false">IF(K408=0,"No discount",IF(K408&lt;=0.1,"1-10%",IF(K408&lt;=0.2,"11-20%",IF(K408&lt;=0.3,"21-30%","Above 30%"))))</f>
        <v>No discount</v>
      </c>
      <c r="R408" s="39" t="n">
        <f aca="false">I408*J408*MAX(0,K408-DiscountCap)</f>
        <v>0</v>
      </c>
    </row>
    <row r="409" customFormat="false" ht="15" hidden="false" customHeight="false" outlineLevel="0" collapsed="false">
      <c r="A409" s="37" t="s">
        <v>553</v>
      </c>
      <c r="B409" s="38" t="n">
        <v>45822</v>
      </c>
      <c r="C409" s="37" t="n">
        <f aca="false">MONTH(B409)</f>
        <v>6</v>
      </c>
      <c r="D409" s="37" t="s">
        <v>154</v>
      </c>
      <c r="E409" s="37" t="s">
        <v>47</v>
      </c>
      <c r="F409" s="37" t="s">
        <v>97</v>
      </c>
      <c r="G409" s="37" t="s">
        <v>90</v>
      </c>
      <c r="H409" s="37" t="s">
        <v>109</v>
      </c>
      <c r="I409" s="37" t="n">
        <v>1</v>
      </c>
      <c r="J409" s="39" t="n">
        <v>3499</v>
      </c>
      <c r="K409" s="40" t="n">
        <v>0.05</v>
      </c>
      <c r="L409" s="39" t="n">
        <f aca="false">VLOOKUP(H409,'Product List'!$A$3:$D$18,4,FALSE())</f>
        <v>2750</v>
      </c>
      <c r="M409" s="39" t="n">
        <f aca="false">I409*J409*(1-K409)</f>
        <v>3324.05</v>
      </c>
      <c r="N409" s="39" t="n">
        <f aca="false">I409*L409</f>
        <v>2750</v>
      </c>
      <c r="O409" s="39" t="n">
        <f aca="false">M409-N409</f>
        <v>574.05</v>
      </c>
      <c r="P409" s="41" t="n">
        <f aca="false">IF(M409=0,0,O409/M409)</f>
        <v>0.172695958243709</v>
      </c>
      <c r="Q409" s="37" t="str">
        <f aca="false">IF(K409=0,"No discount",IF(K409&lt;=0.1,"1-10%",IF(K409&lt;=0.2,"11-20%",IF(K409&lt;=0.3,"21-30%","Above 30%"))))</f>
        <v>1-10%</v>
      </c>
      <c r="R409" s="39" t="n">
        <f aca="false">I409*J409*MAX(0,K409-DiscountCap)</f>
        <v>0</v>
      </c>
    </row>
    <row r="410" customFormat="false" ht="15" hidden="false" customHeight="false" outlineLevel="0" collapsed="false">
      <c r="A410" s="37" t="s">
        <v>554</v>
      </c>
      <c r="B410" s="38" t="n">
        <v>45819</v>
      </c>
      <c r="C410" s="37" t="n">
        <f aca="false">MONTH(B410)</f>
        <v>6</v>
      </c>
      <c r="D410" s="37" t="s">
        <v>134</v>
      </c>
      <c r="E410" s="37" t="s">
        <v>45</v>
      </c>
      <c r="F410" s="37" t="s">
        <v>97</v>
      </c>
      <c r="G410" s="37" t="s">
        <v>92</v>
      </c>
      <c r="H410" s="37" t="s">
        <v>112</v>
      </c>
      <c r="I410" s="37" t="n">
        <v>1</v>
      </c>
      <c r="J410" s="39" t="n">
        <v>3299</v>
      </c>
      <c r="K410" s="40" t="n">
        <v>0.1</v>
      </c>
      <c r="L410" s="39" t="n">
        <f aca="false">VLOOKUP(H410,'Product List'!$A$3:$D$18,4,FALSE())</f>
        <v>2250</v>
      </c>
      <c r="M410" s="39" t="n">
        <f aca="false">I410*J410*(1-K410)</f>
        <v>2969.1</v>
      </c>
      <c r="N410" s="39" t="n">
        <f aca="false">I410*L410</f>
        <v>2250</v>
      </c>
      <c r="O410" s="39" t="n">
        <f aca="false">M410-N410</f>
        <v>719.1</v>
      </c>
      <c r="P410" s="41" t="n">
        <f aca="false">IF(M410=0,0,O410/M410)</f>
        <v>0.242194604425584</v>
      </c>
      <c r="Q410" s="37" t="str">
        <f aca="false">IF(K410=0,"No discount",IF(K410&lt;=0.1,"1-10%",IF(K410&lt;=0.2,"11-20%",IF(K410&lt;=0.3,"21-30%","Above 30%"))))</f>
        <v>1-10%</v>
      </c>
      <c r="R410" s="39" t="n">
        <f aca="false">I410*J410*MAX(0,K410-DiscountCap)</f>
        <v>0</v>
      </c>
    </row>
    <row r="411" customFormat="false" ht="15" hidden="false" customHeight="false" outlineLevel="0" collapsed="false">
      <c r="A411" s="37" t="s">
        <v>555</v>
      </c>
      <c r="B411" s="38" t="n">
        <v>45820</v>
      </c>
      <c r="C411" s="37" t="n">
        <f aca="false">MONTH(B411)</f>
        <v>6</v>
      </c>
      <c r="D411" s="37" t="s">
        <v>140</v>
      </c>
      <c r="E411" s="37" t="s">
        <v>44</v>
      </c>
      <c r="F411" s="37" t="s">
        <v>97</v>
      </c>
      <c r="G411" s="37" t="s">
        <v>91</v>
      </c>
      <c r="H411" s="37" t="s">
        <v>117</v>
      </c>
      <c r="I411" s="37" t="n">
        <v>2</v>
      </c>
      <c r="J411" s="39" t="n">
        <v>1499</v>
      </c>
      <c r="K411" s="40" t="n">
        <v>0</v>
      </c>
      <c r="L411" s="39" t="n">
        <f aca="false">VLOOKUP(H411,'Product List'!$A$3:$D$18,4,FALSE())</f>
        <v>780</v>
      </c>
      <c r="M411" s="39" t="n">
        <f aca="false">I411*J411*(1-K411)</f>
        <v>2998</v>
      </c>
      <c r="N411" s="39" t="n">
        <f aca="false">I411*L411</f>
        <v>1560</v>
      </c>
      <c r="O411" s="39" t="n">
        <f aca="false">M411-N411</f>
        <v>1438</v>
      </c>
      <c r="P411" s="41" t="n">
        <f aca="false">IF(M411=0,0,O411/M411)</f>
        <v>0.479653102068045</v>
      </c>
      <c r="Q411" s="37" t="str">
        <f aca="false">IF(K411=0,"No discount",IF(K411&lt;=0.1,"1-10%",IF(K411&lt;=0.2,"11-20%",IF(K411&lt;=0.3,"21-30%","Above 30%"))))</f>
        <v>No discount</v>
      </c>
      <c r="R411" s="39" t="n">
        <f aca="false">I411*J411*MAX(0,K411-DiscountCap)</f>
        <v>0</v>
      </c>
    </row>
    <row r="412" customFormat="false" ht="15" hidden="false" customHeight="false" outlineLevel="0" collapsed="false">
      <c r="A412" s="37" t="s">
        <v>556</v>
      </c>
      <c r="B412" s="38" t="n">
        <v>45819</v>
      </c>
      <c r="C412" s="37" t="n">
        <f aca="false">MONTH(B412)</f>
        <v>6</v>
      </c>
      <c r="D412" s="37" t="s">
        <v>136</v>
      </c>
      <c r="E412" s="37" t="s">
        <v>47</v>
      </c>
      <c r="F412" s="37" t="s">
        <v>96</v>
      </c>
      <c r="G412" s="37" t="s">
        <v>92</v>
      </c>
      <c r="H412" s="37" t="s">
        <v>113</v>
      </c>
      <c r="I412" s="37" t="n">
        <v>2</v>
      </c>
      <c r="J412" s="39" t="n">
        <v>2199</v>
      </c>
      <c r="K412" s="40" t="n">
        <v>0.2</v>
      </c>
      <c r="L412" s="39" t="n">
        <f aca="false">VLOOKUP(H412,'Product List'!$A$3:$D$18,4,FALSE())</f>
        <v>1400</v>
      </c>
      <c r="M412" s="39" t="n">
        <f aca="false">I412*J412*(1-K412)</f>
        <v>3518.4</v>
      </c>
      <c r="N412" s="39" t="n">
        <f aca="false">I412*L412</f>
        <v>2800</v>
      </c>
      <c r="O412" s="39" t="n">
        <f aca="false">M412-N412</f>
        <v>718.4</v>
      </c>
      <c r="P412" s="41" t="n">
        <f aca="false">IF(M412=0,0,O412/M412)</f>
        <v>0.204183719872669</v>
      </c>
      <c r="Q412" s="37" t="str">
        <f aca="false">IF(K412=0,"No discount",IF(K412&lt;=0.1,"1-10%",IF(K412&lt;=0.2,"11-20%",IF(K412&lt;=0.3,"21-30%","Above 30%"))))</f>
        <v>11-20%</v>
      </c>
      <c r="R412" s="39" t="n">
        <f aca="false">I412*J412*MAX(0,K412-DiscountCap)</f>
        <v>0</v>
      </c>
    </row>
    <row r="413" customFormat="false" ht="15" hidden="false" customHeight="false" outlineLevel="0" collapsed="false">
      <c r="A413" s="37" t="s">
        <v>557</v>
      </c>
      <c r="B413" s="38" t="n">
        <v>45827</v>
      </c>
      <c r="C413" s="37" t="n">
        <f aca="false">MONTH(B413)</f>
        <v>6</v>
      </c>
      <c r="D413" s="37" t="s">
        <v>146</v>
      </c>
      <c r="E413" s="37" t="s">
        <v>45</v>
      </c>
      <c r="F413" s="37" t="s">
        <v>96</v>
      </c>
      <c r="G413" s="37" t="s">
        <v>92</v>
      </c>
      <c r="H413" s="37" t="s">
        <v>114</v>
      </c>
      <c r="I413" s="37" t="n">
        <v>2</v>
      </c>
      <c r="J413" s="39" t="n">
        <v>1199</v>
      </c>
      <c r="K413" s="40" t="n">
        <v>0.1</v>
      </c>
      <c r="L413" s="39" t="n">
        <f aca="false">VLOOKUP(H413,'Product List'!$A$3:$D$18,4,FALSE())</f>
        <v>780</v>
      </c>
      <c r="M413" s="39" t="n">
        <f aca="false">I413*J413*(1-K413)</f>
        <v>2158.2</v>
      </c>
      <c r="N413" s="39" t="n">
        <f aca="false">I413*L413</f>
        <v>1560</v>
      </c>
      <c r="O413" s="39" t="n">
        <f aca="false">M413-N413</f>
        <v>598.2</v>
      </c>
      <c r="P413" s="41" t="n">
        <f aca="false">IF(M413=0,0,O413/M413)</f>
        <v>0.277175423964415</v>
      </c>
      <c r="Q413" s="37" t="str">
        <f aca="false">IF(K413=0,"No discount",IF(K413&lt;=0.1,"1-10%",IF(K413&lt;=0.2,"11-20%",IF(K413&lt;=0.3,"21-30%","Above 30%"))))</f>
        <v>1-10%</v>
      </c>
      <c r="R413" s="39" t="n">
        <f aca="false">I413*J413*MAX(0,K413-DiscountCap)</f>
        <v>0</v>
      </c>
    </row>
    <row r="414" customFormat="false" ht="15" hidden="false" customHeight="false" outlineLevel="0" collapsed="false">
      <c r="A414" s="37" t="s">
        <v>558</v>
      </c>
      <c r="B414" s="38" t="n">
        <v>45811</v>
      </c>
      <c r="C414" s="37" t="n">
        <f aca="false">MONTH(B414)</f>
        <v>6</v>
      </c>
      <c r="D414" s="37" t="s">
        <v>136</v>
      </c>
      <c r="E414" s="37" t="s">
        <v>47</v>
      </c>
      <c r="F414" s="37" t="s">
        <v>97</v>
      </c>
      <c r="G414" s="37" t="s">
        <v>91</v>
      </c>
      <c r="H414" s="37" t="s">
        <v>119</v>
      </c>
      <c r="I414" s="37" t="n">
        <v>1</v>
      </c>
      <c r="J414" s="39" t="n">
        <v>1099</v>
      </c>
      <c r="K414" s="40" t="n">
        <v>0.15</v>
      </c>
      <c r="L414" s="39" t="n">
        <f aca="false">VLOOKUP(H414,'Product List'!$A$3:$D$18,4,FALSE())</f>
        <v>560</v>
      </c>
      <c r="M414" s="39" t="n">
        <f aca="false">I414*J414*(1-K414)</f>
        <v>934.15</v>
      </c>
      <c r="N414" s="39" t="n">
        <f aca="false">I414*L414</f>
        <v>560</v>
      </c>
      <c r="O414" s="39" t="n">
        <f aca="false">M414-N414</f>
        <v>374.15</v>
      </c>
      <c r="P414" s="41" t="n">
        <f aca="false">IF(M414=0,0,O414/M414)</f>
        <v>0.400524541026602</v>
      </c>
      <c r="Q414" s="37" t="str">
        <f aca="false">IF(K414=0,"No discount",IF(K414&lt;=0.1,"1-10%",IF(K414&lt;=0.2,"11-20%",IF(K414&lt;=0.3,"21-30%","Above 30%"))))</f>
        <v>11-20%</v>
      </c>
      <c r="R414" s="39" t="n">
        <f aca="false">I414*J414*MAX(0,K414-DiscountCap)</f>
        <v>0</v>
      </c>
    </row>
    <row r="415" customFormat="false" ht="15" hidden="false" customHeight="false" outlineLevel="0" collapsed="false">
      <c r="A415" s="37" t="s">
        <v>559</v>
      </c>
      <c r="B415" s="38" t="n">
        <v>45814</v>
      </c>
      <c r="C415" s="37" t="n">
        <f aca="false">MONTH(B415)</f>
        <v>6</v>
      </c>
      <c r="D415" s="37" t="s">
        <v>144</v>
      </c>
      <c r="E415" s="37" t="s">
        <v>45</v>
      </c>
      <c r="F415" s="37" t="s">
        <v>96</v>
      </c>
      <c r="G415" s="37" t="s">
        <v>91</v>
      </c>
      <c r="H415" s="37" t="s">
        <v>116</v>
      </c>
      <c r="I415" s="37" t="n">
        <v>1</v>
      </c>
      <c r="J415" s="39" t="n">
        <v>899</v>
      </c>
      <c r="K415" s="40" t="n">
        <v>0</v>
      </c>
      <c r="L415" s="39" t="n">
        <f aca="false">VLOOKUP(H415,'Product List'!$A$3:$D$18,4,FALSE())</f>
        <v>430</v>
      </c>
      <c r="M415" s="39" t="n">
        <f aca="false">I415*J415*(1-K415)</f>
        <v>899</v>
      </c>
      <c r="N415" s="39" t="n">
        <f aca="false">I415*L415</f>
        <v>430</v>
      </c>
      <c r="O415" s="39" t="n">
        <f aca="false">M415-N415</f>
        <v>469</v>
      </c>
      <c r="P415" s="41" t="n">
        <f aca="false">IF(M415=0,0,O415/M415)</f>
        <v>0.521690767519466</v>
      </c>
      <c r="Q415" s="37" t="str">
        <f aca="false">IF(K415=0,"No discount",IF(K415&lt;=0.1,"1-10%",IF(K415&lt;=0.2,"11-20%",IF(K415&lt;=0.3,"21-30%","Above 30%"))))</f>
        <v>No discount</v>
      </c>
      <c r="R415" s="39" t="n">
        <f aca="false">I415*J415*MAX(0,K415-DiscountCap)</f>
        <v>0</v>
      </c>
    </row>
    <row r="416" customFormat="false" ht="15" hidden="false" customHeight="false" outlineLevel="0" collapsed="false">
      <c r="A416" s="37" t="s">
        <v>560</v>
      </c>
      <c r="B416" s="38" t="n">
        <v>45819</v>
      </c>
      <c r="C416" s="37" t="n">
        <f aca="false">MONTH(B416)</f>
        <v>6</v>
      </c>
      <c r="D416" s="37" t="s">
        <v>146</v>
      </c>
      <c r="E416" s="37" t="s">
        <v>45</v>
      </c>
      <c r="F416" s="37" t="s">
        <v>97</v>
      </c>
      <c r="G416" s="37" t="s">
        <v>92</v>
      </c>
      <c r="H416" s="37" t="s">
        <v>113</v>
      </c>
      <c r="I416" s="37" t="n">
        <v>2</v>
      </c>
      <c r="J416" s="39" t="n">
        <v>2199</v>
      </c>
      <c r="K416" s="40" t="n">
        <v>0.05</v>
      </c>
      <c r="L416" s="39" t="n">
        <f aca="false">VLOOKUP(H416,'Product List'!$A$3:$D$18,4,FALSE())</f>
        <v>1400</v>
      </c>
      <c r="M416" s="39" t="n">
        <f aca="false">I416*J416*(1-K416)</f>
        <v>4178.1</v>
      </c>
      <c r="N416" s="39" t="n">
        <f aca="false">I416*L416</f>
        <v>2800</v>
      </c>
      <c r="O416" s="39" t="n">
        <f aca="false">M416-N416</f>
        <v>1378.1</v>
      </c>
      <c r="P416" s="41" t="n">
        <f aca="false">IF(M416=0,0,O416/M416)</f>
        <v>0.329838921998037</v>
      </c>
      <c r="Q416" s="37" t="str">
        <f aca="false">IF(K416=0,"No discount",IF(K416&lt;=0.1,"1-10%",IF(K416&lt;=0.2,"11-20%",IF(K416&lt;=0.3,"21-30%","Above 30%"))))</f>
        <v>1-10%</v>
      </c>
      <c r="R416" s="39" t="n">
        <f aca="false">I416*J416*MAX(0,K416-DiscountCap)</f>
        <v>0</v>
      </c>
    </row>
    <row r="417" customFormat="false" ht="15" hidden="false" customHeight="false" outlineLevel="0" collapsed="false">
      <c r="A417" s="37" t="s">
        <v>561</v>
      </c>
      <c r="B417" s="38" t="n">
        <v>45837</v>
      </c>
      <c r="C417" s="37" t="n">
        <f aca="false">MONTH(B417)</f>
        <v>6</v>
      </c>
      <c r="D417" s="37" t="s">
        <v>136</v>
      </c>
      <c r="E417" s="37" t="s">
        <v>47</v>
      </c>
      <c r="F417" s="37" t="s">
        <v>96</v>
      </c>
      <c r="G417" s="37" t="s">
        <v>92</v>
      </c>
      <c r="H417" s="37" t="s">
        <v>113</v>
      </c>
      <c r="I417" s="37" t="n">
        <v>3</v>
      </c>
      <c r="J417" s="39" t="n">
        <v>2199</v>
      </c>
      <c r="K417" s="40" t="n">
        <v>0.1</v>
      </c>
      <c r="L417" s="39" t="n">
        <f aca="false">VLOOKUP(H417,'Product List'!$A$3:$D$18,4,FALSE())</f>
        <v>1400</v>
      </c>
      <c r="M417" s="39" t="n">
        <f aca="false">I417*J417*(1-K417)</f>
        <v>5937.3</v>
      </c>
      <c r="N417" s="39" t="n">
        <f aca="false">I417*L417</f>
        <v>4200</v>
      </c>
      <c r="O417" s="39" t="n">
        <f aca="false">M417-N417</f>
        <v>1737.3</v>
      </c>
      <c r="P417" s="41" t="n">
        <f aca="false">IF(M417=0,0,O417/M417)</f>
        <v>0.292607750997928</v>
      </c>
      <c r="Q417" s="37" t="str">
        <f aca="false">IF(K417=0,"No discount",IF(K417&lt;=0.1,"1-10%",IF(K417&lt;=0.2,"11-20%",IF(K417&lt;=0.3,"21-30%","Above 30%"))))</f>
        <v>1-10%</v>
      </c>
      <c r="R417" s="39" t="n">
        <f aca="false">I417*J417*MAX(0,K417-DiscountCap)</f>
        <v>0</v>
      </c>
    </row>
    <row r="418" customFormat="false" ht="15" hidden="false" customHeight="false" outlineLevel="0" collapsed="false">
      <c r="A418" s="37" t="s">
        <v>562</v>
      </c>
      <c r="B418" s="38" t="n">
        <v>45832</v>
      </c>
      <c r="C418" s="37" t="n">
        <f aca="false">MONTH(B418)</f>
        <v>6</v>
      </c>
      <c r="D418" s="37" t="s">
        <v>172</v>
      </c>
      <c r="E418" s="37" t="s">
        <v>46</v>
      </c>
      <c r="F418" s="37" t="s">
        <v>96</v>
      </c>
      <c r="G418" s="37" t="s">
        <v>92</v>
      </c>
      <c r="H418" s="37" t="s">
        <v>114</v>
      </c>
      <c r="I418" s="37" t="n">
        <v>1</v>
      </c>
      <c r="J418" s="39" t="n">
        <v>1199</v>
      </c>
      <c r="K418" s="40" t="n">
        <v>0.1</v>
      </c>
      <c r="L418" s="39" t="n">
        <f aca="false">VLOOKUP(H418,'Product List'!$A$3:$D$18,4,FALSE())</f>
        <v>780</v>
      </c>
      <c r="M418" s="39" t="n">
        <f aca="false">I418*J418*(1-K418)</f>
        <v>1079.1</v>
      </c>
      <c r="N418" s="39" t="n">
        <f aca="false">I418*L418</f>
        <v>780</v>
      </c>
      <c r="O418" s="39" t="n">
        <f aca="false">M418-N418</f>
        <v>299.1</v>
      </c>
      <c r="P418" s="41" t="n">
        <f aca="false">IF(M418=0,0,O418/M418)</f>
        <v>0.277175423964415</v>
      </c>
      <c r="Q418" s="37" t="str">
        <f aca="false">IF(K418=0,"No discount",IF(K418&lt;=0.1,"1-10%",IF(K418&lt;=0.2,"11-20%",IF(K418&lt;=0.3,"21-30%","Above 30%"))))</f>
        <v>1-10%</v>
      </c>
      <c r="R418" s="39" t="n">
        <f aca="false">I418*J418*MAX(0,K418-DiscountCap)</f>
        <v>0</v>
      </c>
    </row>
    <row r="419" customFormat="false" ht="15" hidden="false" customHeight="false" outlineLevel="0" collapsed="false">
      <c r="A419" s="37" t="s">
        <v>563</v>
      </c>
      <c r="B419" s="38" t="n">
        <v>45837</v>
      </c>
      <c r="C419" s="37" t="n">
        <f aca="false">MONTH(B419)</f>
        <v>6</v>
      </c>
      <c r="D419" s="37" t="s">
        <v>140</v>
      </c>
      <c r="E419" s="37" t="s">
        <v>44</v>
      </c>
      <c r="F419" s="37" t="s">
        <v>96</v>
      </c>
      <c r="G419" s="37" t="s">
        <v>91</v>
      </c>
      <c r="H419" s="37" t="s">
        <v>116</v>
      </c>
      <c r="I419" s="37" t="n">
        <v>1</v>
      </c>
      <c r="J419" s="39" t="n">
        <v>899</v>
      </c>
      <c r="K419" s="40" t="n">
        <v>0</v>
      </c>
      <c r="L419" s="39" t="n">
        <f aca="false">VLOOKUP(H419,'Product List'!$A$3:$D$18,4,FALSE())</f>
        <v>430</v>
      </c>
      <c r="M419" s="39" t="n">
        <f aca="false">I419*J419*(1-K419)</f>
        <v>899</v>
      </c>
      <c r="N419" s="39" t="n">
        <f aca="false">I419*L419</f>
        <v>430</v>
      </c>
      <c r="O419" s="39" t="n">
        <f aca="false">M419-N419</f>
        <v>469</v>
      </c>
      <c r="P419" s="41" t="n">
        <f aca="false">IF(M419=0,0,O419/M419)</f>
        <v>0.521690767519466</v>
      </c>
      <c r="Q419" s="37" t="str">
        <f aca="false">IF(K419=0,"No discount",IF(K419&lt;=0.1,"1-10%",IF(K419&lt;=0.2,"11-20%",IF(K419&lt;=0.3,"21-30%","Above 30%"))))</f>
        <v>No discount</v>
      </c>
      <c r="R419" s="39" t="n">
        <f aca="false">I419*J419*MAX(0,K419-DiscountCap)</f>
        <v>0</v>
      </c>
    </row>
    <row r="420" customFormat="false" ht="15" hidden="false" customHeight="false" outlineLevel="0" collapsed="false">
      <c r="A420" s="37" t="s">
        <v>564</v>
      </c>
      <c r="B420" s="38" t="n">
        <v>45809</v>
      </c>
      <c r="C420" s="37" t="n">
        <f aca="false">MONTH(B420)</f>
        <v>6</v>
      </c>
      <c r="D420" s="37" t="s">
        <v>169</v>
      </c>
      <c r="E420" s="37" t="s">
        <v>44</v>
      </c>
      <c r="F420" s="37" t="s">
        <v>96</v>
      </c>
      <c r="G420" s="37" t="s">
        <v>91</v>
      </c>
      <c r="H420" s="37" t="s">
        <v>118</v>
      </c>
      <c r="I420" s="37" t="n">
        <v>1</v>
      </c>
      <c r="J420" s="39" t="n">
        <v>2299</v>
      </c>
      <c r="K420" s="40" t="n">
        <v>0.2</v>
      </c>
      <c r="L420" s="39" t="n">
        <f aca="false">VLOOKUP(H420,'Product List'!$A$3:$D$18,4,FALSE())</f>
        <v>1300</v>
      </c>
      <c r="M420" s="39" t="n">
        <f aca="false">I420*J420*(1-K420)</f>
        <v>1839.2</v>
      </c>
      <c r="N420" s="39" t="n">
        <f aca="false">I420*L420</f>
        <v>1300</v>
      </c>
      <c r="O420" s="39" t="n">
        <f aca="false">M420-N420</f>
        <v>539.2</v>
      </c>
      <c r="P420" s="41" t="n">
        <f aca="false">IF(M420=0,0,O420/M420)</f>
        <v>0.293170943888647</v>
      </c>
      <c r="Q420" s="37" t="str">
        <f aca="false">IF(K420=0,"No discount",IF(K420&lt;=0.1,"1-10%",IF(K420&lt;=0.2,"11-20%",IF(K420&lt;=0.3,"21-30%","Above 30%"))))</f>
        <v>11-20%</v>
      </c>
      <c r="R420" s="39" t="n">
        <f aca="false">I420*J420*MAX(0,K420-DiscountCap)</f>
        <v>0</v>
      </c>
    </row>
    <row r="421" customFormat="false" ht="15" hidden="false" customHeight="false" outlineLevel="0" collapsed="false">
      <c r="A421" s="37" t="s">
        <v>565</v>
      </c>
      <c r="B421" s="38" t="n">
        <v>45836</v>
      </c>
      <c r="C421" s="37" t="n">
        <f aca="false">MONTH(B421)</f>
        <v>6</v>
      </c>
      <c r="D421" s="37" t="s">
        <v>166</v>
      </c>
      <c r="E421" s="37" t="s">
        <v>44</v>
      </c>
      <c r="F421" s="37" t="s">
        <v>96</v>
      </c>
      <c r="G421" s="37" t="s">
        <v>93</v>
      </c>
      <c r="H421" s="37" t="s">
        <v>122</v>
      </c>
      <c r="I421" s="37" t="n">
        <v>1</v>
      </c>
      <c r="J421" s="39" t="n">
        <v>1799</v>
      </c>
      <c r="K421" s="40" t="n">
        <v>0.1</v>
      </c>
      <c r="L421" s="39" t="n">
        <f aca="false">VLOOKUP(H421,'Product List'!$A$3:$D$18,4,FALSE())</f>
        <v>1250</v>
      </c>
      <c r="M421" s="39" t="n">
        <f aca="false">I421*J421*(1-K421)</f>
        <v>1619.1</v>
      </c>
      <c r="N421" s="39" t="n">
        <f aca="false">I421*L421</f>
        <v>1250</v>
      </c>
      <c r="O421" s="39" t="n">
        <f aca="false">M421-N421</f>
        <v>369.1</v>
      </c>
      <c r="P421" s="41" t="n">
        <f aca="false">IF(M421=0,0,O421/M421)</f>
        <v>0.227966154036193</v>
      </c>
      <c r="Q421" s="37" t="str">
        <f aca="false">IF(K421=0,"No discount",IF(K421&lt;=0.1,"1-10%",IF(K421&lt;=0.2,"11-20%",IF(K421&lt;=0.3,"21-30%","Above 30%"))))</f>
        <v>1-10%</v>
      </c>
      <c r="R421" s="39" t="n">
        <f aca="false">I421*J421*MAX(0,K421-DiscountCap)</f>
        <v>0</v>
      </c>
    </row>
    <row r="422" customFormat="false" ht="15" hidden="false" customHeight="false" outlineLevel="0" collapsed="false">
      <c r="A422" s="37" t="s">
        <v>566</v>
      </c>
      <c r="B422" s="38" t="n">
        <v>45822</v>
      </c>
      <c r="C422" s="37" t="n">
        <f aca="false">MONTH(B422)</f>
        <v>6</v>
      </c>
      <c r="D422" s="37" t="s">
        <v>136</v>
      </c>
      <c r="E422" s="37" t="s">
        <v>47</v>
      </c>
      <c r="F422" s="37" t="s">
        <v>97</v>
      </c>
      <c r="G422" s="37" t="s">
        <v>90</v>
      </c>
      <c r="H422" s="37" t="s">
        <v>108</v>
      </c>
      <c r="I422" s="37" t="n">
        <v>2</v>
      </c>
      <c r="J422" s="39" t="n">
        <v>1999</v>
      </c>
      <c r="K422" s="40" t="n">
        <v>0.05</v>
      </c>
      <c r="L422" s="39" t="n">
        <f aca="false">VLOOKUP(H422,'Product List'!$A$3:$D$18,4,FALSE())</f>
        <v>1560</v>
      </c>
      <c r="M422" s="39" t="n">
        <f aca="false">I422*J422*(1-K422)</f>
        <v>3798.1</v>
      </c>
      <c r="N422" s="39" t="n">
        <f aca="false">I422*L422</f>
        <v>3120</v>
      </c>
      <c r="O422" s="39" t="n">
        <f aca="false">M422-N422</f>
        <v>678.1</v>
      </c>
      <c r="P422" s="41" t="n">
        <f aca="false">IF(M422=0,0,O422/M422)</f>
        <v>0.178536636739422</v>
      </c>
      <c r="Q422" s="37" t="str">
        <f aca="false">IF(K422=0,"No discount",IF(K422&lt;=0.1,"1-10%",IF(K422&lt;=0.2,"11-20%",IF(K422&lt;=0.3,"21-30%","Above 30%"))))</f>
        <v>1-10%</v>
      </c>
      <c r="R422" s="39" t="n">
        <f aca="false">I422*J422*MAX(0,K422-DiscountCap)</f>
        <v>0</v>
      </c>
    </row>
    <row r="423" customFormat="false" ht="15" hidden="false" customHeight="false" outlineLevel="0" collapsed="false">
      <c r="A423" s="37" t="s">
        <v>567</v>
      </c>
      <c r="B423" s="38" t="n">
        <v>45815</v>
      </c>
      <c r="C423" s="37" t="n">
        <f aca="false">MONTH(B423)</f>
        <v>6</v>
      </c>
      <c r="D423" s="37" t="s">
        <v>144</v>
      </c>
      <c r="E423" s="37" t="s">
        <v>45</v>
      </c>
      <c r="F423" s="37" t="s">
        <v>96</v>
      </c>
      <c r="G423" s="37" t="s">
        <v>90</v>
      </c>
      <c r="H423" s="37" t="s">
        <v>108</v>
      </c>
      <c r="I423" s="37" t="n">
        <v>1</v>
      </c>
      <c r="J423" s="39" t="n">
        <v>1999</v>
      </c>
      <c r="K423" s="40" t="n">
        <v>0</v>
      </c>
      <c r="L423" s="39" t="n">
        <f aca="false">VLOOKUP(H423,'Product List'!$A$3:$D$18,4,FALSE())</f>
        <v>1560</v>
      </c>
      <c r="M423" s="39" t="n">
        <f aca="false">I423*J423*(1-K423)</f>
        <v>1999</v>
      </c>
      <c r="N423" s="39" t="n">
        <f aca="false">I423*L423</f>
        <v>1560</v>
      </c>
      <c r="O423" s="39" t="n">
        <f aca="false">M423-N423</f>
        <v>439</v>
      </c>
      <c r="P423" s="41" t="n">
        <f aca="false">IF(M423=0,0,O423/M423)</f>
        <v>0.219609804902451</v>
      </c>
      <c r="Q423" s="37" t="str">
        <f aca="false">IF(K423=0,"No discount",IF(K423&lt;=0.1,"1-10%",IF(K423&lt;=0.2,"11-20%",IF(K423&lt;=0.3,"21-30%","Above 30%"))))</f>
        <v>No discount</v>
      </c>
      <c r="R423" s="39" t="n">
        <f aca="false">I423*J423*MAX(0,K423-DiscountCap)</f>
        <v>0</v>
      </c>
    </row>
    <row r="424" customFormat="false" ht="15" hidden="false" customHeight="false" outlineLevel="0" collapsed="false">
      <c r="A424" s="37" t="s">
        <v>568</v>
      </c>
      <c r="B424" s="38" t="n">
        <v>45826</v>
      </c>
      <c r="C424" s="37" t="n">
        <f aca="false">MONTH(B424)</f>
        <v>6</v>
      </c>
      <c r="D424" s="37" t="s">
        <v>154</v>
      </c>
      <c r="E424" s="37" t="s">
        <v>47</v>
      </c>
      <c r="F424" s="37" t="s">
        <v>96</v>
      </c>
      <c r="G424" s="37" t="s">
        <v>93</v>
      </c>
      <c r="H424" s="37" t="s">
        <v>123</v>
      </c>
      <c r="I424" s="37" t="n">
        <v>1</v>
      </c>
      <c r="J424" s="39" t="n">
        <v>1299</v>
      </c>
      <c r="K424" s="40" t="n">
        <v>0.1</v>
      </c>
      <c r="L424" s="39" t="n">
        <f aca="false">VLOOKUP(H424,'Product List'!$A$3:$D$18,4,FALSE())</f>
        <v>700</v>
      </c>
      <c r="M424" s="39" t="n">
        <f aca="false">I424*J424*(1-K424)</f>
        <v>1169.1</v>
      </c>
      <c r="N424" s="39" t="n">
        <f aca="false">I424*L424</f>
        <v>700</v>
      </c>
      <c r="O424" s="39" t="n">
        <f aca="false">M424-N424</f>
        <v>469.1</v>
      </c>
      <c r="P424" s="41" t="n">
        <f aca="false">IF(M424=0,0,O424/M424)</f>
        <v>0.401248823881618</v>
      </c>
      <c r="Q424" s="37" t="str">
        <f aca="false">IF(K424=0,"No discount",IF(K424&lt;=0.1,"1-10%",IF(K424&lt;=0.2,"11-20%",IF(K424&lt;=0.3,"21-30%","Above 30%"))))</f>
        <v>1-10%</v>
      </c>
      <c r="R424" s="39" t="n">
        <f aca="false">I424*J424*MAX(0,K424-DiscountCap)</f>
        <v>0</v>
      </c>
    </row>
    <row r="425" customFormat="false" ht="15" hidden="false" customHeight="false" outlineLevel="0" collapsed="false">
      <c r="A425" s="37" t="s">
        <v>569</v>
      </c>
      <c r="B425" s="38" t="n">
        <v>45831</v>
      </c>
      <c r="C425" s="37" t="n">
        <f aca="false">MONTH(B425)</f>
        <v>6</v>
      </c>
      <c r="D425" s="37" t="s">
        <v>160</v>
      </c>
      <c r="E425" s="37" t="s">
        <v>46</v>
      </c>
      <c r="F425" s="37" t="s">
        <v>96</v>
      </c>
      <c r="G425" s="37" t="s">
        <v>92</v>
      </c>
      <c r="H425" s="37" t="s">
        <v>115</v>
      </c>
      <c r="I425" s="37" t="n">
        <v>1</v>
      </c>
      <c r="J425" s="39" t="n">
        <v>1799</v>
      </c>
      <c r="K425" s="40" t="n">
        <v>0.05</v>
      </c>
      <c r="L425" s="39" t="n">
        <f aca="false">VLOOKUP(H425,'Product List'!$A$3:$D$18,4,FALSE())</f>
        <v>1150</v>
      </c>
      <c r="M425" s="39" t="n">
        <f aca="false">I425*J425*(1-K425)</f>
        <v>1709.05</v>
      </c>
      <c r="N425" s="39" t="n">
        <f aca="false">I425*L425</f>
        <v>1150</v>
      </c>
      <c r="O425" s="39" t="n">
        <f aca="false">M425-N425</f>
        <v>559.05</v>
      </c>
      <c r="P425" s="41" t="n">
        <f aca="false">IF(M425=0,0,O425/M425)</f>
        <v>0.327111553202071</v>
      </c>
      <c r="Q425" s="37" t="str">
        <f aca="false">IF(K425=0,"No discount",IF(K425&lt;=0.1,"1-10%",IF(K425&lt;=0.2,"11-20%",IF(K425&lt;=0.3,"21-30%","Above 30%"))))</f>
        <v>1-10%</v>
      </c>
      <c r="R425" s="39" t="n">
        <f aca="false">I425*J425*MAX(0,K425-DiscountCap)</f>
        <v>0</v>
      </c>
    </row>
    <row r="426" customFormat="false" ht="15" hidden="false" customHeight="false" outlineLevel="0" collapsed="false">
      <c r="A426" s="37" t="s">
        <v>570</v>
      </c>
      <c r="B426" s="38" t="n">
        <v>45831</v>
      </c>
      <c r="C426" s="37" t="n">
        <f aca="false">MONTH(B426)</f>
        <v>6</v>
      </c>
      <c r="D426" s="37" t="s">
        <v>138</v>
      </c>
      <c r="E426" s="37" t="s">
        <v>46</v>
      </c>
      <c r="F426" s="37" t="s">
        <v>96</v>
      </c>
      <c r="G426" s="37" t="s">
        <v>90</v>
      </c>
      <c r="H426" s="37" t="s">
        <v>109</v>
      </c>
      <c r="I426" s="37" t="n">
        <v>1</v>
      </c>
      <c r="J426" s="39" t="n">
        <v>3499</v>
      </c>
      <c r="K426" s="40" t="n">
        <v>0.15</v>
      </c>
      <c r="L426" s="39" t="n">
        <f aca="false">VLOOKUP(H426,'Product List'!$A$3:$D$18,4,FALSE())</f>
        <v>2750</v>
      </c>
      <c r="M426" s="39" t="n">
        <f aca="false">I426*J426*(1-K426)</f>
        <v>2974.15</v>
      </c>
      <c r="N426" s="39" t="n">
        <f aca="false">I426*L426</f>
        <v>2750</v>
      </c>
      <c r="O426" s="39" t="n">
        <f aca="false">M426-N426</f>
        <v>224.15</v>
      </c>
      <c r="P426" s="41" t="n">
        <f aca="false">IF(M426=0,0,O426/M426)</f>
        <v>0.0753660709782627</v>
      </c>
      <c r="Q426" s="37" t="str">
        <f aca="false">IF(K426=0,"No discount",IF(K426&lt;=0.1,"1-10%",IF(K426&lt;=0.2,"11-20%",IF(K426&lt;=0.3,"21-30%","Above 30%"))))</f>
        <v>11-20%</v>
      </c>
      <c r="R426" s="39" t="n">
        <f aca="false">I426*J426*MAX(0,K426-DiscountCap)</f>
        <v>0</v>
      </c>
    </row>
    <row r="427" customFormat="false" ht="15" hidden="false" customHeight="false" outlineLevel="0" collapsed="false">
      <c r="A427" s="37" t="s">
        <v>571</v>
      </c>
      <c r="B427" s="38" t="n">
        <v>45839</v>
      </c>
      <c r="C427" s="37" t="n">
        <f aca="false">MONTH(B427)</f>
        <v>7</v>
      </c>
      <c r="D427" s="37" t="s">
        <v>140</v>
      </c>
      <c r="E427" s="37" t="s">
        <v>44</v>
      </c>
      <c r="F427" s="37" t="s">
        <v>96</v>
      </c>
      <c r="G427" s="37" t="s">
        <v>90</v>
      </c>
      <c r="H427" s="37" t="s">
        <v>108</v>
      </c>
      <c r="I427" s="37" t="n">
        <v>2</v>
      </c>
      <c r="J427" s="39" t="n">
        <v>1999</v>
      </c>
      <c r="K427" s="40" t="n">
        <v>0.1</v>
      </c>
      <c r="L427" s="39" t="n">
        <f aca="false">VLOOKUP(H427,'Product List'!$A$3:$D$18,4,FALSE())</f>
        <v>1560</v>
      </c>
      <c r="M427" s="39" t="n">
        <f aca="false">I427*J427*(1-K427)</f>
        <v>3598.2</v>
      </c>
      <c r="N427" s="39" t="n">
        <f aca="false">I427*L427</f>
        <v>3120</v>
      </c>
      <c r="O427" s="39" t="n">
        <f aca="false">M427-N427</f>
        <v>478.2</v>
      </c>
      <c r="P427" s="41" t="n">
        <f aca="false">IF(M427=0,0,O427/M427)</f>
        <v>0.132899783224946</v>
      </c>
      <c r="Q427" s="37" t="str">
        <f aca="false">IF(K427=0,"No discount",IF(K427&lt;=0.1,"1-10%",IF(K427&lt;=0.2,"11-20%",IF(K427&lt;=0.3,"21-30%","Above 30%"))))</f>
        <v>1-10%</v>
      </c>
      <c r="R427" s="39" t="n">
        <f aca="false">I427*J427*MAX(0,K427-DiscountCap)</f>
        <v>0</v>
      </c>
    </row>
    <row r="428" customFormat="false" ht="15" hidden="false" customHeight="false" outlineLevel="0" collapsed="false">
      <c r="A428" s="37" t="s">
        <v>572</v>
      </c>
      <c r="B428" s="38" t="n">
        <v>45848</v>
      </c>
      <c r="C428" s="37" t="n">
        <f aca="false">MONTH(B428)</f>
        <v>7</v>
      </c>
      <c r="D428" s="37" t="s">
        <v>142</v>
      </c>
      <c r="E428" s="37" t="s">
        <v>47</v>
      </c>
      <c r="F428" s="37" t="s">
        <v>97</v>
      </c>
      <c r="G428" s="37" t="s">
        <v>93</v>
      </c>
      <c r="H428" s="37" t="s">
        <v>123</v>
      </c>
      <c r="I428" s="37" t="n">
        <v>2</v>
      </c>
      <c r="J428" s="39" t="n">
        <v>1299</v>
      </c>
      <c r="K428" s="40" t="n">
        <v>0</v>
      </c>
      <c r="L428" s="39" t="n">
        <f aca="false">VLOOKUP(H428,'Product List'!$A$3:$D$18,4,FALSE())</f>
        <v>700</v>
      </c>
      <c r="M428" s="39" t="n">
        <f aca="false">I428*J428*(1-K428)</f>
        <v>2598</v>
      </c>
      <c r="N428" s="39" t="n">
        <f aca="false">I428*L428</f>
        <v>1400</v>
      </c>
      <c r="O428" s="39" t="n">
        <f aca="false">M428-N428</f>
        <v>1198</v>
      </c>
      <c r="P428" s="41" t="n">
        <f aca="false">IF(M428=0,0,O428/M428)</f>
        <v>0.461123941493457</v>
      </c>
      <c r="Q428" s="37" t="str">
        <f aca="false">IF(K428=0,"No discount",IF(K428&lt;=0.1,"1-10%",IF(K428&lt;=0.2,"11-20%",IF(K428&lt;=0.3,"21-30%","Above 30%"))))</f>
        <v>No discount</v>
      </c>
      <c r="R428" s="39" t="n">
        <f aca="false">I428*J428*MAX(0,K428-DiscountCap)</f>
        <v>0</v>
      </c>
    </row>
    <row r="429" customFormat="false" ht="15" hidden="false" customHeight="false" outlineLevel="0" collapsed="false">
      <c r="A429" s="37" t="s">
        <v>573</v>
      </c>
      <c r="B429" s="38" t="n">
        <v>45855</v>
      </c>
      <c r="C429" s="37" t="n">
        <f aca="false">MONTH(B429)</f>
        <v>7</v>
      </c>
      <c r="D429" s="37" t="s">
        <v>144</v>
      </c>
      <c r="E429" s="37" t="s">
        <v>45</v>
      </c>
      <c r="F429" s="37" t="s">
        <v>96</v>
      </c>
      <c r="G429" s="37" t="s">
        <v>91</v>
      </c>
      <c r="H429" s="37" t="s">
        <v>118</v>
      </c>
      <c r="I429" s="37" t="n">
        <v>2</v>
      </c>
      <c r="J429" s="39" t="n">
        <v>2299</v>
      </c>
      <c r="K429" s="40" t="n">
        <v>0.05</v>
      </c>
      <c r="L429" s="39" t="n">
        <f aca="false">VLOOKUP(H429,'Product List'!$A$3:$D$18,4,FALSE())</f>
        <v>1300</v>
      </c>
      <c r="M429" s="39" t="n">
        <f aca="false">I429*J429*(1-K429)</f>
        <v>4368.1</v>
      </c>
      <c r="N429" s="39" t="n">
        <f aca="false">I429*L429</f>
        <v>2600</v>
      </c>
      <c r="O429" s="39" t="n">
        <f aca="false">M429-N429</f>
        <v>1768.1</v>
      </c>
      <c r="P429" s="41" t="n">
        <f aca="false">IF(M429=0,0,O429/M429)</f>
        <v>0.404775531695703</v>
      </c>
      <c r="Q429" s="37" t="str">
        <f aca="false">IF(K429=0,"No discount",IF(K429&lt;=0.1,"1-10%",IF(K429&lt;=0.2,"11-20%",IF(K429&lt;=0.3,"21-30%","Above 30%"))))</f>
        <v>1-10%</v>
      </c>
      <c r="R429" s="39" t="n">
        <f aca="false">I429*J429*MAX(0,K429-DiscountCap)</f>
        <v>0</v>
      </c>
    </row>
    <row r="430" customFormat="false" ht="15" hidden="false" customHeight="false" outlineLevel="0" collapsed="false">
      <c r="A430" s="37" t="s">
        <v>574</v>
      </c>
      <c r="B430" s="38" t="n">
        <v>45851</v>
      </c>
      <c r="C430" s="37" t="n">
        <f aca="false">MONTH(B430)</f>
        <v>7</v>
      </c>
      <c r="D430" s="37" t="s">
        <v>146</v>
      </c>
      <c r="E430" s="37" t="s">
        <v>45</v>
      </c>
      <c r="F430" s="37" t="s">
        <v>96</v>
      </c>
      <c r="G430" s="37" t="s">
        <v>91</v>
      </c>
      <c r="H430" s="37" t="s">
        <v>117</v>
      </c>
      <c r="I430" s="37" t="n">
        <v>1</v>
      </c>
      <c r="J430" s="39" t="n">
        <v>1499</v>
      </c>
      <c r="K430" s="40" t="n">
        <v>0</v>
      </c>
      <c r="L430" s="39" t="n">
        <f aca="false">VLOOKUP(H430,'Product List'!$A$3:$D$18,4,FALSE())</f>
        <v>780</v>
      </c>
      <c r="M430" s="39" t="n">
        <f aca="false">I430*J430*(1-K430)</f>
        <v>1499</v>
      </c>
      <c r="N430" s="39" t="n">
        <f aca="false">I430*L430</f>
        <v>780</v>
      </c>
      <c r="O430" s="39" t="n">
        <f aca="false">M430-N430</f>
        <v>719</v>
      </c>
      <c r="P430" s="41" t="n">
        <f aca="false">IF(M430=0,0,O430/M430)</f>
        <v>0.479653102068045</v>
      </c>
      <c r="Q430" s="37" t="str">
        <f aca="false">IF(K430=0,"No discount",IF(K430&lt;=0.1,"1-10%",IF(K430&lt;=0.2,"11-20%",IF(K430&lt;=0.3,"21-30%","Above 30%"))))</f>
        <v>No discount</v>
      </c>
      <c r="R430" s="39" t="n">
        <f aca="false">I430*J430*MAX(0,K430-DiscountCap)</f>
        <v>0</v>
      </c>
    </row>
    <row r="431" customFormat="false" ht="15" hidden="false" customHeight="false" outlineLevel="0" collapsed="false">
      <c r="A431" s="37" t="s">
        <v>575</v>
      </c>
      <c r="B431" s="38" t="n">
        <v>45849</v>
      </c>
      <c r="C431" s="37" t="n">
        <f aca="false">MONTH(B431)</f>
        <v>7</v>
      </c>
      <c r="D431" s="37" t="s">
        <v>169</v>
      </c>
      <c r="E431" s="37" t="s">
        <v>44</v>
      </c>
      <c r="F431" s="37" t="s">
        <v>96</v>
      </c>
      <c r="G431" s="37" t="s">
        <v>92</v>
      </c>
      <c r="H431" s="37" t="s">
        <v>114</v>
      </c>
      <c r="I431" s="37" t="n">
        <v>1</v>
      </c>
      <c r="J431" s="39" t="n">
        <v>1199</v>
      </c>
      <c r="K431" s="40" t="n">
        <v>0</v>
      </c>
      <c r="L431" s="39" t="n">
        <f aca="false">VLOOKUP(H431,'Product List'!$A$3:$D$18,4,FALSE())</f>
        <v>780</v>
      </c>
      <c r="M431" s="39" t="n">
        <f aca="false">I431*J431*(1-K431)</f>
        <v>1199</v>
      </c>
      <c r="N431" s="39" t="n">
        <f aca="false">I431*L431</f>
        <v>780</v>
      </c>
      <c r="O431" s="39" t="n">
        <f aca="false">M431-N431</f>
        <v>419</v>
      </c>
      <c r="P431" s="41" t="n">
        <f aca="false">IF(M431=0,0,O431/M431)</f>
        <v>0.349457881567973</v>
      </c>
      <c r="Q431" s="37" t="str">
        <f aca="false">IF(K431=0,"No discount",IF(K431&lt;=0.1,"1-10%",IF(K431&lt;=0.2,"11-20%",IF(K431&lt;=0.3,"21-30%","Above 30%"))))</f>
        <v>No discount</v>
      </c>
      <c r="R431" s="39" t="n">
        <f aca="false">I431*J431*MAX(0,K431-DiscountCap)</f>
        <v>0</v>
      </c>
    </row>
    <row r="432" customFormat="false" ht="15" hidden="false" customHeight="false" outlineLevel="0" collapsed="false">
      <c r="A432" s="37" t="s">
        <v>576</v>
      </c>
      <c r="B432" s="38" t="n">
        <v>45863</v>
      </c>
      <c r="C432" s="37" t="n">
        <f aca="false">MONTH(B432)</f>
        <v>7</v>
      </c>
      <c r="D432" s="37" t="s">
        <v>169</v>
      </c>
      <c r="E432" s="37" t="s">
        <v>44</v>
      </c>
      <c r="F432" s="37" t="s">
        <v>96</v>
      </c>
      <c r="G432" s="37" t="s">
        <v>91</v>
      </c>
      <c r="H432" s="37" t="s">
        <v>116</v>
      </c>
      <c r="I432" s="37" t="n">
        <v>1</v>
      </c>
      <c r="J432" s="39" t="n">
        <v>899</v>
      </c>
      <c r="K432" s="40" t="n">
        <v>0.1</v>
      </c>
      <c r="L432" s="39" t="n">
        <f aca="false">VLOOKUP(H432,'Product List'!$A$3:$D$18,4,FALSE())</f>
        <v>430</v>
      </c>
      <c r="M432" s="39" t="n">
        <f aca="false">I432*J432*(1-K432)</f>
        <v>809.1</v>
      </c>
      <c r="N432" s="39" t="n">
        <f aca="false">I432*L432</f>
        <v>430</v>
      </c>
      <c r="O432" s="39" t="n">
        <f aca="false">M432-N432</f>
        <v>379.1</v>
      </c>
      <c r="P432" s="41" t="n">
        <f aca="false">IF(M432=0,0,O432/M432)</f>
        <v>0.468545297243851</v>
      </c>
      <c r="Q432" s="37" t="str">
        <f aca="false">IF(K432=0,"No discount",IF(K432&lt;=0.1,"1-10%",IF(K432&lt;=0.2,"11-20%",IF(K432&lt;=0.3,"21-30%","Above 30%"))))</f>
        <v>1-10%</v>
      </c>
      <c r="R432" s="39" t="n">
        <f aca="false">I432*J432*MAX(0,K432-DiscountCap)</f>
        <v>0</v>
      </c>
    </row>
    <row r="433" customFormat="false" ht="15" hidden="false" customHeight="false" outlineLevel="0" collapsed="false">
      <c r="A433" s="37" t="s">
        <v>577</v>
      </c>
      <c r="B433" s="38" t="n">
        <v>45852</v>
      </c>
      <c r="C433" s="37" t="n">
        <f aca="false">MONTH(B433)</f>
        <v>7</v>
      </c>
      <c r="D433" s="37" t="s">
        <v>154</v>
      </c>
      <c r="E433" s="37" t="s">
        <v>47</v>
      </c>
      <c r="F433" s="37" t="s">
        <v>97</v>
      </c>
      <c r="G433" s="37" t="s">
        <v>90</v>
      </c>
      <c r="H433" s="37" t="s">
        <v>110</v>
      </c>
      <c r="I433" s="37" t="n">
        <v>3</v>
      </c>
      <c r="J433" s="39" t="n">
        <v>1299</v>
      </c>
      <c r="K433" s="40" t="n">
        <v>0.1</v>
      </c>
      <c r="L433" s="39" t="n">
        <f aca="false">VLOOKUP(H433,'Product List'!$A$3:$D$18,4,FALSE())</f>
        <v>1000</v>
      </c>
      <c r="M433" s="39" t="n">
        <f aca="false">I433*J433*(1-K433)</f>
        <v>3507.3</v>
      </c>
      <c r="N433" s="39" t="n">
        <f aca="false">I433*L433</f>
        <v>3000</v>
      </c>
      <c r="O433" s="39" t="n">
        <f aca="false">M433-N433</f>
        <v>507.3</v>
      </c>
      <c r="P433" s="41" t="n">
        <f aca="false">IF(M433=0,0,O433/M433)</f>
        <v>0.144641176973741</v>
      </c>
      <c r="Q433" s="37" t="str">
        <f aca="false">IF(K433=0,"No discount",IF(K433&lt;=0.1,"1-10%",IF(K433&lt;=0.2,"11-20%",IF(K433&lt;=0.3,"21-30%","Above 30%"))))</f>
        <v>1-10%</v>
      </c>
      <c r="R433" s="39" t="n">
        <f aca="false">I433*J433*MAX(0,K433-DiscountCap)</f>
        <v>0</v>
      </c>
    </row>
    <row r="434" customFormat="false" ht="15" hidden="false" customHeight="false" outlineLevel="0" collapsed="false">
      <c r="A434" s="37" t="s">
        <v>578</v>
      </c>
      <c r="B434" s="38" t="n">
        <v>45856</v>
      </c>
      <c r="C434" s="37" t="n">
        <f aca="false">MONTH(B434)</f>
        <v>7</v>
      </c>
      <c r="D434" s="37" t="s">
        <v>140</v>
      </c>
      <c r="E434" s="37" t="s">
        <v>44</v>
      </c>
      <c r="F434" s="37" t="s">
        <v>97</v>
      </c>
      <c r="G434" s="37" t="s">
        <v>90</v>
      </c>
      <c r="H434" s="37" t="s">
        <v>108</v>
      </c>
      <c r="I434" s="37" t="n">
        <v>2</v>
      </c>
      <c r="J434" s="39" t="n">
        <v>1999</v>
      </c>
      <c r="K434" s="40" t="n">
        <v>0.1</v>
      </c>
      <c r="L434" s="39" t="n">
        <f aca="false">VLOOKUP(H434,'Product List'!$A$3:$D$18,4,FALSE())</f>
        <v>1560</v>
      </c>
      <c r="M434" s="39" t="n">
        <f aca="false">I434*J434*(1-K434)</f>
        <v>3598.2</v>
      </c>
      <c r="N434" s="39" t="n">
        <f aca="false">I434*L434</f>
        <v>3120</v>
      </c>
      <c r="O434" s="39" t="n">
        <f aca="false">M434-N434</f>
        <v>478.2</v>
      </c>
      <c r="P434" s="41" t="n">
        <f aca="false">IF(M434=0,0,O434/M434)</f>
        <v>0.132899783224946</v>
      </c>
      <c r="Q434" s="37" t="str">
        <f aca="false">IF(K434=0,"No discount",IF(K434&lt;=0.1,"1-10%",IF(K434&lt;=0.2,"11-20%",IF(K434&lt;=0.3,"21-30%","Above 30%"))))</f>
        <v>1-10%</v>
      </c>
      <c r="R434" s="39" t="n">
        <f aca="false">I434*J434*MAX(0,K434-DiscountCap)</f>
        <v>0</v>
      </c>
    </row>
    <row r="435" customFormat="false" ht="15" hidden="false" customHeight="false" outlineLevel="0" collapsed="false">
      <c r="A435" s="37" t="s">
        <v>579</v>
      </c>
      <c r="B435" s="38" t="n">
        <v>45856</v>
      </c>
      <c r="C435" s="37" t="n">
        <f aca="false">MONTH(B435)</f>
        <v>7</v>
      </c>
      <c r="D435" s="37" t="s">
        <v>154</v>
      </c>
      <c r="E435" s="37" t="s">
        <v>47</v>
      </c>
      <c r="F435" s="37" t="s">
        <v>96</v>
      </c>
      <c r="G435" s="37" t="s">
        <v>92</v>
      </c>
      <c r="H435" s="37" t="s">
        <v>112</v>
      </c>
      <c r="I435" s="37" t="n">
        <v>1</v>
      </c>
      <c r="J435" s="39" t="n">
        <v>3299</v>
      </c>
      <c r="K435" s="40" t="n">
        <v>0.15</v>
      </c>
      <c r="L435" s="39" t="n">
        <f aca="false">VLOOKUP(H435,'Product List'!$A$3:$D$18,4,FALSE())</f>
        <v>2250</v>
      </c>
      <c r="M435" s="39" t="n">
        <f aca="false">I435*J435*(1-K435)</f>
        <v>2804.15</v>
      </c>
      <c r="N435" s="39" t="n">
        <f aca="false">I435*L435</f>
        <v>2250</v>
      </c>
      <c r="O435" s="39" t="n">
        <f aca="false">M435-N435</f>
        <v>554.15</v>
      </c>
      <c r="P435" s="41" t="n">
        <f aca="false">IF(M435=0,0,O435/M435)</f>
        <v>0.197617816450618</v>
      </c>
      <c r="Q435" s="37" t="str">
        <f aca="false">IF(K435=0,"No discount",IF(K435&lt;=0.1,"1-10%",IF(K435&lt;=0.2,"11-20%",IF(K435&lt;=0.3,"21-30%","Above 30%"))))</f>
        <v>11-20%</v>
      </c>
      <c r="R435" s="39" t="n">
        <f aca="false">I435*J435*MAX(0,K435-DiscountCap)</f>
        <v>0</v>
      </c>
    </row>
    <row r="436" customFormat="false" ht="15" hidden="false" customHeight="false" outlineLevel="0" collapsed="false">
      <c r="A436" s="37" t="s">
        <v>580</v>
      </c>
      <c r="B436" s="38" t="n">
        <v>45847</v>
      </c>
      <c r="C436" s="37" t="n">
        <f aca="false">MONTH(B436)</f>
        <v>7</v>
      </c>
      <c r="D436" s="37" t="s">
        <v>136</v>
      </c>
      <c r="E436" s="37" t="s">
        <v>47</v>
      </c>
      <c r="F436" s="37" t="s">
        <v>97</v>
      </c>
      <c r="G436" s="37" t="s">
        <v>93</v>
      </c>
      <c r="H436" s="37" t="s">
        <v>122</v>
      </c>
      <c r="I436" s="37" t="n">
        <v>1</v>
      </c>
      <c r="J436" s="39" t="n">
        <v>1799</v>
      </c>
      <c r="K436" s="40" t="n">
        <v>0</v>
      </c>
      <c r="L436" s="39" t="n">
        <f aca="false">VLOOKUP(H436,'Product List'!$A$3:$D$18,4,FALSE())</f>
        <v>1250</v>
      </c>
      <c r="M436" s="39" t="n">
        <f aca="false">I436*J436*(1-K436)</f>
        <v>1799</v>
      </c>
      <c r="N436" s="39" t="n">
        <f aca="false">I436*L436</f>
        <v>1250</v>
      </c>
      <c r="O436" s="39" t="n">
        <f aca="false">M436-N436</f>
        <v>549</v>
      </c>
      <c r="P436" s="41" t="n">
        <f aca="false">IF(M436=0,0,O436/M436)</f>
        <v>0.305169538632574</v>
      </c>
      <c r="Q436" s="37" t="str">
        <f aca="false">IF(K436=0,"No discount",IF(K436&lt;=0.1,"1-10%",IF(K436&lt;=0.2,"11-20%",IF(K436&lt;=0.3,"21-30%","Above 30%"))))</f>
        <v>No discount</v>
      </c>
      <c r="R436" s="39" t="n">
        <f aca="false">I436*J436*MAX(0,K436-DiscountCap)</f>
        <v>0</v>
      </c>
    </row>
    <row r="437" customFormat="false" ht="15" hidden="false" customHeight="false" outlineLevel="0" collapsed="false">
      <c r="A437" s="37" t="s">
        <v>581</v>
      </c>
      <c r="B437" s="38" t="n">
        <v>45842</v>
      </c>
      <c r="C437" s="37" t="n">
        <f aca="false">MONTH(B437)</f>
        <v>7</v>
      </c>
      <c r="D437" s="37" t="s">
        <v>136</v>
      </c>
      <c r="E437" s="37" t="s">
        <v>47</v>
      </c>
      <c r="F437" s="37" t="s">
        <v>97</v>
      </c>
      <c r="G437" s="37" t="s">
        <v>92</v>
      </c>
      <c r="H437" s="37" t="s">
        <v>115</v>
      </c>
      <c r="I437" s="37" t="n">
        <v>1</v>
      </c>
      <c r="J437" s="39" t="n">
        <v>1799</v>
      </c>
      <c r="K437" s="40" t="n">
        <v>0.15</v>
      </c>
      <c r="L437" s="39" t="n">
        <f aca="false">VLOOKUP(H437,'Product List'!$A$3:$D$18,4,FALSE())</f>
        <v>1150</v>
      </c>
      <c r="M437" s="39" t="n">
        <f aca="false">I437*J437*(1-K437)</f>
        <v>1529.15</v>
      </c>
      <c r="N437" s="39" t="n">
        <f aca="false">I437*L437</f>
        <v>1150</v>
      </c>
      <c r="O437" s="39" t="n">
        <f aca="false">M437-N437</f>
        <v>379.15</v>
      </c>
      <c r="P437" s="41" t="n">
        <f aca="false">IF(M437=0,0,O437/M437)</f>
        <v>0.247948206519962</v>
      </c>
      <c r="Q437" s="37" t="str">
        <f aca="false">IF(K437=0,"No discount",IF(K437&lt;=0.1,"1-10%",IF(K437&lt;=0.2,"11-20%",IF(K437&lt;=0.3,"21-30%","Above 30%"))))</f>
        <v>11-20%</v>
      </c>
      <c r="R437" s="39" t="n">
        <f aca="false">I437*J437*MAX(0,K437-DiscountCap)</f>
        <v>0</v>
      </c>
    </row>
    <row r="438" customFormat="false" ht="15" hidden="false" customHeight="false" outlineLevel="0" collapsed="false">
      <c r="A438" s="37" t="s">
        <v>582</v>
      </c>
      <c r="B438" s="38" t="n">
        <v>45860</v>
      </c>
      <c r="C438" s="37" t="n">
        <f aca="false">MONTH(B438)</f>
        <v>7</v>
      </c>
      <c r="D438" s="37" t="s">
        <v>140</v>
      </c>
      <c r="E438" s="37" t="s">
        <v>44</v>
      </c>
      <c r="F438" s="37" t="s">
        <v>96</v>
      </c>
      <c r="G438" s="37" t="s">
        <v>91</v>
      </c>
      <c r="H438" s="37" t="s">
        <v>117</v>
      </c>
      <c r="I438" s="37" t="n">
        <v>3</v>
      </c>
      <c r="J438" s="39" t="n">
        <v>1499</v>
      </c>
      <c r="K438" s="40" t="n">
        <v>0.1</v>
      </c>
      <c r="L438" s="39" t="n">
        <f aca="false">VLOOKUP(H438,'Product List'!$A$3:$D$18,4,FALSE())</f>
        <v>780</v>
      </c>
      <c r="M438" s="39" t="n">
        <f aca="false">I438*J438*(1-K438)</f>
        <v>4047.3</v>
      </c>
      <c r="N438" s="39" t="n">
        <f aca="false">I438*L438</f>
        <v>2340</v>
      </c>
      <c r="O438" s="39" t="n">
        <f aca="false">M438-N438</f>
        <v>1707.3</v>
      </c>
      <c r="P438" s="41" t="n">
        <f aca="false">IF(M438=0,0,O438/M438)</f>
        <v>0.421836780075606</v>
      </c>
      <c r="Q438" s="37" t="str">
        <f aca="false">IF(K438=0,"No discount",IF(K438&lt;=0.1,"1-10%",IF(K438&lt;=0.2,"11-20%",IF(K438&lt;=0.3,"21-30%","Above 30%"))))</f>
        <v>1-10%</v>
      </c>
      <c r="R438" s="39" t="n">
        <f aca="false">I438*J438*MAX(0,K438-DiscountCap)</f>
        <v>0</v>
      </c>
    </row>
    <row r="439" customFormat="false" ht="15" hidden="false" customHeight="false" outlineLevel="0" collapsed="false">
      <c r="A439" s="37" t="s">
        <v>583</v>
      </c>
      <c r="B439" s="38" t="n">
        <v>45855</v>
      </c>
      <c r="C439" s="37" t="n">
        <f aca="false">MONTH(B439)</f>
        <v>7</v>
      </c>
      <c r="D439" s="37" t="s">
        <v>140</v>
      </c>
      <c r="E439" s="37" t="s">
        <v>44</v>
      </c>
      <c r="F439" s="37" t="s">
        <v>97</v>
      </c>
      <c r="G439" s="37" t="s">
        <v>90</v>
      </c>
      <c r="H439" s="37" t="s">
        <v>110</v>
      </c>
      <c r="I439" s="37" t="n">
        <v>1</v>
      </c>
      <c r="J439" s="39" t="n">
        <v>1299</v>
      </c>
      <c r="K439" s="40" t="n">
        <v>0.1</v>
      </c>
      <c r="L439" s="39" t="n">
        <f aca="false">VLOOKUP(H439,'Product List'!$A$3:$D$18,4,FALSE())</f>
        <v>1000</v>
      </c>
      <c r="M439" s="39" t="n">
        <f aca="false">I439*J439*(1-K439)</f>
        <v>1169.1</v>
      </c>
      <c r="N439" s="39" t="n">
        <f aca="false">I439*L439</f>
        <v>1000</v>
      </c>
      <c r="O439" s="39" t="n">
        <f aca="false">M439-N439</f>
        <v>169.1</v>
      </c>
      <c r="P439" s="41" t="n">
        <f aca="false">IF(M439=0,0,O439/M439)</f>
        <v>0.144641176973741</v>
      </c>
      <c r="Q439" s="37" t="str">
        <f aca="false">IF(K439=0,"No discount",IF(K439&lt;=0.1,"1-10%",IF(K439&lt;=0.2,"11-20%",IF(K439&lt;=0.3,"21-30%","Above 30%"))))</f>
        <v>1-10%</v>
      </c>
      <c r="R439" s="39" t="n">
        <f aca="false">I439*J439*MAX(0,K439-DiscountCap)</f>
        <v>0</v>
      </c>
    </row>
    <row r="440" customFormat="false" ht="15" hidden="false" customHeight="false" outlineLevel="0" collapsed="false">
      <c r="A440" s="37" t="s">
        <v>584</v>
      </c>
      <c r="B440" s="38" t="n">
        <v>45851</v>
      </c>
      <c r="C440" s="37" t="n">
        <f aca="false">MONTH(B440)</f>
        <v>7</v>
      </c>
      <c r="D440" s="37" t="s">
        <v>144</v>
      </c>
      <c r="E440" s="37" t="s">
        <v>45</v>
      </c>
      <c r="F440" s="37" t="s">
        <v>96</v>
      </c>
      <c r="G440" s="37" t="s">
        <v>92</v>
      </c>
      <c r="H440" s="37" t="s">
        <v>113</v>
      </c>
      <c r="I440" s="37" t="n">
        <v>1</v>
      </c>
      <c r="J440" s="39" t="n">
        <v>2199</v>
      </c>
      <c r="K440" s="40" t="n">
        <v>0.05</v>
      </c>
      <c r="L440" s="39" t="n">
        <f aca="false">VLOOKUP(H440,'Product List'!$A$3:$D$18,4,FALSE())</f>
        <v>1400</v>
      </c>
      <c r="M440" s="39" t="n">
        <f aca="false">I440*J440*(1-K440)</f>
        <v>2089.05</v>
      </c>
      <c r="N440" s="39" t="n">
        <f aca="false">I440*L440</f>
        <v>1400</v>
      </c>
      <c r="O440" s="39" t="n">
        <f aca="false">M440-N440</f>
        <v>689.05</v>
      </c>
      <c r="P440" s="41" t="n">
        <f aca="false">IF(M440=0,0,O440/M440)</f>
        <v>0.329838921998037</v>
      </c>
      <c r="Q440" s="37" t="str">
        <f aca="false">IF(K440=0,"No discount",IF(K440&lt;=0.1,"1-10%",IF(K440&lt;=0.2,"11-20%",IF(K440&lt;=0.3,"21-30%","Above 30%"))))</f>
        <v>1-10%</v>
      </c>
      <c r="R440" s="39" t="n">
        <f aca="false">I440*J440*MAX(0,K440-DiscountCap)</f>
        <v>0</v>
      </c>
    </row>
    <row r="441" customFormat="false" ht="15" hidden="false" customHeight="false" outlineLevel="0" collapsed="false">
      <c r="A441" s="37" t="s">
        <v>585</v>
      </c>
      <c r="B441" s="38" t="n">
        <v>45863</v>
      </c>
      <c r="C441" s="37" t="n">
        <f aca="false">MONTH(B441)</f>
        <v>7</v>
      </c>
      <c r="D441" s="37" t="s">
        <v>138</v>
      </c>
      <c r="E441" s="37" t="s">
        <v>46</v>
      </c>
      <c r="F441" s="37" t="s">
        <v>97</v>
      </c>
      <c r="G441" s="37" t="s">
        <v>90</v>
      </c>
      <c r="H441" s="37" t="s">
        <v>111</v>
      </c>
      <c r="I441" s="37" t="n">
        <v>2</v>
      </c>
      <c r="J441" s="39" t="n">
        <v>2499</v>
      </c>
      <c r="K441" s="40" t="n">
        <v>0.05</v>
      </c>
      <c r="L441" s="39" t="n">
        <f aca="false">VLOOKUP(H441,'Product List'!$A$3:$D$18,4,FALSE())</f>
        <v>1950</v>
      </c>
      <c r="M441" s="39" t="n">
        <f aca="false">I441*J441*(1-K441)</f>
        <v>4748.1</v>
      </c>
      <c r="N441" s="39" t="n">
        <f aca="false">I441*L441</f>
        <v>3900</v>
      </c>
      <c r="O441" s="39" t="n">
        <f aca="false">M441-N441</f>
        <v>848.1</v>
      </c>
      <c r="P441" s="41" t="n">
        <f aca="false">IF(M441=0,0,O441/M441)</f>
        <v>0.178618815947432</v>
      </c>
      <c r="Q441" s="37" t="str">
        <f aca="false">IF(K441=0,"No discount",IF(K441&lt;=0.1,"1-10%",IF(K441&lt;=0.2,"11-20%",IF(K441&lt;=0.3,"21-30%","Above 30%"))))</f>
        <v>1-10%</v>
      </c>
      <c r="R441" s="39" t="n">
        <f aca="false">I441*J441*MAX(0,K441-DiscountCap)</f>
        <v>0</v>
      </c>
    </row>
    <row r="442" customFormat="false" ht="15" hidden="false" customHeight="false" outlineLevel="0" collapsed="false">
      <c r="A442" s="37" t="s">
        <v>586</v>
      </c>
      <c r="B442" s="38" t="n">
        <v>45859</v>
      </c>
      <c r="C442" s="37" t="n">
        <f aca="false">MONTH(B442)</f>
        <v>7</v>
      </c>
      <c r="D442" s="37" t="s">
        <v>134</v>
      </c>
      <c r="E442" s="37" t="s">
        <v>45</v>
      </c>
      <c r="F442" s="37" t="s">
        <v>97</v>
      </c>
      <c r="G442" s="37" t="s">
        <v>91</v>
      </c>
      <c r="H442" s="37" t="s">
        <v>117</v>
      </c>
      <c r="I442" s="37" t="n">
        <v>3</v>
      </c>
      <c r="J442" s="39" t="n">
        <v>1499</v>
      </c>
      <c r="K442" s="40" t="n">
        <v>0</v>
      </c>
      <c r="L442" s="39" t="n">
        <f aca="false">VLOOKUP(H442,'Product List'!$A$3:$D$18,4,FALSE())</f>
        <v>780</v>
      </c>
      <c r="M442" s="39" t="n">
        <f aca="false">I442*J442*(1-K442)</f>
        <v>4497</v>
      </c>
      <c r="N442" s="39" t="n">
        <f aca="false">I442*L442</f>
        <v>2340</v>
      </c>
      <c r="O442" s="39" t="n">
        <f aca="false">M442-N442</f>
        <v>2157</v>
      </c>
      <c r="P442" s="41" t="n">
        <f aca="false">IF(M442=0,0,O442/M442)</f>
        <v>0.479653102068045</v>
      </c>
      <c r="Q442" s="37" t="str">
        <f aca="false">IF(K442=0,"No discount",IF(K442&lt;=0.1,"1-10%",IF(K442&lt;=0.2,"11-20%",IF(K442&lt;=0.3,"21-30%","Above 30%"))))</f>
        <v>No discount</v>
      </c>
      <c r="R442" s="39" t="n">
        <f aca="false">I442*J442*MAX(0,K442-DiscountCap)</f>
        <v>0</v>
      </c>
    </row>
    <row r="443" customFormat="false" ht="15" hidden="false" customHeight="false" outlineLevel="0" collapsed="false">
      <c r="A443" s="37" t="s">
        <v>587</v>
      </c>
      <c r="B443" s="38" t="n">
        <v>45869</v>
      </c>
      <c r="C443" s="37" t="n">
        <f aca="false">MONTH(B443)</f>
        <v>7</v>
      </c>
      <c r="D443" s="37" t="s">
        <v>146</v>
      </c>
      <c r="E443" s="37" t="s">
        <v>45</v>
      </c>
      <c r="F443" s="37" t="s">
        <v>96</v>
      </c>
      <c r="G443" s="37" t="s">
        <v>93</v>
      </c>
      <c r="H443" s="37" t="s">
        <v>123</v>
      </c>
      <c r="I443" s="37" t="n">
        <v>2</v>
      </c>
      <c r="J443" s="39" t="n">
        <v>1299</v>
      </c>
      <c r="K443" s="40" t="n">
        <v>0.15</v>
      </c>
      <c r="L443" s="39" t="n">
        <f aca="false">VLOOKUP(H443,'Product List'!$A$3:$D$18,4,FALSE())</f>
        <v>700</v>
      </c>
      <c r="M443" s="39" t="n">
        <f aca="false">I443*J443*(1-K443)</f>
        <v>2208.3</v>
      </c>
      <c r="N443" s="39" t="n">
        <f aca="false">I443*L443</f>
        <v>1400</v>
      </c>
      <c r="O443" s="39" t="n">
        <f aca="false">M443-N443</f>
        <v>808.3</v>
      </c>
      <c r="P443" s="41" t="n">
        <f aca="false">IF(M443=0,0,O443/M443)</f>
        <v>0.36602816646289</v>
      </c>
      <c r="Q443" s="37" t="str">
        <f aca="false">IF(K443=0,"No discount",IF(K443&lt;=0.1,"1-10%",IF(K443&lt;=0.2,"11-20%",IF(K443&lt;=0.3,"21-30%","Above 30%"))))</f>
        <v>11-20%</v>
      </c>
      <c r="R443" s="39" t="n">
        <f aca="false">I443*J443*MAX(0,K443-DiscountCap)</f>
        <v>0</v>
      </c>
    </row>
    <row r="444" customFormat="false" ht="15" hidden="false" customHeight="false" outlineLevel="0" collapsed="false">
      <c r="A444" s="37" t="s">
        <v>588</v>
      </c>
      <c r="B444" s="38" t="n">
        <v>45844</v>
      </c>
      <c r="C444" s="37" t="n">
        <f aca="false">MONTH(B444)</f>
        <v>7</v>
      </c>
      <c r="D444" s="37" t="s">
        <v>146</v>
      </c>
      <c r="E444" s="37" t="s">
        <v>45</v>
      </c>
      <c r="F444" s="37" t="s">
        <v>97</v>
      </c>
      <c r="G444" s="37" t="s">
        <v>92</v>
      </c>
      <c r="H444" s="37" t="s">
        <v>114</v>
      </c>
      <c r="I444" s="37" t="n">
        <v>1</v>
      </c>
      <c r="J444" s="39" t="n">
        <v>1199</v>
      </c>
      <c r="K444" s="40" t="n">
        <v>0.15</v>
      </c>
      <c r="L444" s="39" t="n">
        <f aca="false">VLOOKUP(H444,'Product List'!$A$3:$D$18,4,FALSE())</f>
        <v>780</v>
      </c>
      <c r="M444" s="39" t="n">
        <f aca="false">I444*J444*(1-K444)</f>
        <v>1019.15</v>
      </c>
      <c r="N444" s="39" t="n">
        <f aca="false">I444*L444</f>
        <v>780</v>
      </c>
      <c r="O444" s="39" t="n">
        <f aca="false">M444-N444</f>
        <v>239.15</v>
      </c>
      <c r="P444" s="41" t="n">
        <f aca="false">IF(M444=0,0,O444/M444)</f>
        <v>0.234656331256439</v>
      </c>
      <c r="Q444" s="37" t="str">
        <f aca="false">IF(K444=0,"No discount",IF(K444&lt;=0.1,"1-10%",IF(K444&lt;=0.2,"11-20%",IF(K444&lt;=0.3,"21-30%","Above 30%"))))</f>
        <v>11-20%</v>
      </c>
      <c r="R444" s="39" t="n">
        <f aca="false">I444*J444*MAX(0,K444-DiscountCap)</f>
        <v>0</v>
      </c>
    </row>
    <row r="445" customFormat="false" ht="15" hidden="false" customHeight="false" outlineLevel="0" collapsed="false">
      <c r="A445" s="37" t="s">
        <v>589</v>
      </c>
      <c r="B445" s="38" t="n">
        <v>45865</v>
      </c>
      <c r="C445" s="37" t="n">
        <f aca="false">MONTH(B445)</f>
        <v>7</v>
      </c>
      <c r="D445" s="37" t="s">
        <v>146</v>
      </c>
      <c r="E445" s="37" t="s">
        <v>45</v>
      </c>
      <c r="F445" s="37" t="s">
        <v>96</v>
      </c>
      <c r="G445" s="37" t="s">
        <v>92</v>
      </c>
      <c r="H445" s="37" t="s">
        <v>115</v>
      </c>
      <c r="I445" s="37" t="n">
        <v>2</v>
      </c>
      <c r="J445" s="39" t="n">
        <v>1799</v>
      </c>
      <c r="K445" s="40" t="n">
        <v>0.1</v>
      </c>
      <c r="L445" s="39" t="n">
        <f aca="false">VLOOKUP(H445,'Product List'!$A$3:$D$18,4,FALSE())</f>
        <v>1150</v>
      </c>
      <c r="M445" s="39" t="n">
        <f aca="false">I445*J445*(1-K445)</f>
        <v>3238.2</v>
      </c>
      <c r="N445" s="39" t="n">
        <f aca="false">I445*L445</f>
        <v>2300</v>
      </c>
      <c r="O445" s="39" t="n">
        <f aca="false">M445-N445</f>
        <v>938.2</v>
      </c>
      <c r="P445" s="41" t="n">
        <f aca="false">IF(M445=0,0,O445/M445)</f>
        <v>0.289728861713298</v>
      </c>
      <c r="Q445" s="37" t="str">
        <f aca="false">IF(K445=0,"No discount",IF(K445&lt;=0.1,"1-10%",IF(K445&lt;=0.2,"11-20%",IF(K445&lt;=0.3,"21-30%","Above 30%"))))</f>
        <v>1-10%</v>
      </c>
      <c r="R445" s="39" t="n">
        <f aca="false">I445*J445*MAX(0,K445-DiscountCap)</f>
        <v>0</v>
      </c>
    </row>
    <row r="446" customFormat="false" ht="15" hidden="false" customHeight="false" outlineLevel="0" collapsed="false">
      <c r="A446" s="37" t="s">
        <v>590</v>
      </c>
      <c r="B446" s="38" t="n">
        <v>45849</v>
      </c>
      <c r="C446" s="37" t="n">
        <f aca="false">MONTH(B446)</f>
        <v>7</v>
      </c>
      <c r="D446" s="37" t="s">
        <v>166</v>
      </c>
      <c r="E446" s="37" t="s">
        <v>44</v>
      </c>
      <c r="F446" s="37" t="s">
        <v>97</v>
      </c>
      <c r="G446" s="37" t="s">
        <v>93</v>
      </c>
      <c r="H446" s="37" t="s">
        <v>121</v>
      </c>
      <c r="I446" s="37" t="n">
        <v>2</v>
      </c>
      <c r="J446" s="39" t="n">
        <v>999</v>
      </c>
      <c r="K446" s="40" t="n">
        <v>0.05</v>
      </c>
      <c r="L446" s="39" t="n">
        <f aca="false">VLOOKUP(H446,'Product List'!$A$3:$D$18,4,FALSE())</f>
        <v>500</v>
      </c>
      <c r="M446" s="39" t="n">
        <f aca="false">I446*J446*(1-K446)</f>
        <v>1898.1</v>
      </c>
      <c r="N446" s="39" t="n">
        <f aca="false">I446*L446</f>
        <v>1000</v>
      </c>
      <c r="O446" s="39" t="n">
        <f aca="false">M446-N446</f>
        <v>898.1</v>
      </c>
      <c r="P446" s="41" t="n">
        <f aca="false">IF(M446=0,0,O446/M446)</f>
        <v>0.47315736789421</v>
      </c>
      <c r="Q446" s="37" t="str">
        <f aca="false">IF(K446=0,"No discount",IF(K446&lt;=0.1,"1-10%",IF(K446&lt;=0.2,"11-20%",IF(K446&lt;=0.3,"21-30%","Above 30%"))))</f>
        <v>1-10%</v>
      </c>
      <c r="R446" s="39" t="n">
        <f aca="false">I446*J446*MAX(0,K446-DiscountCap)</f>
        <v>0</v>
      </c>
    </row>
    <row r="447" customFormat="false" ht="15" hidden="false" customHeight="false" outlineLevel="0" collapsed="false">
      <c r="A447" s="37" t="s">
        <v>591</v>
      </c>
      <c r="B447" s="38" t="n">
        <v>45852</v>
      </c>
      <c r="C447" s="37" t="n">
        <f aca="false">MONTH(B447)</f>
        <v>7</v>
      </c>
      <c r="D447" s="37" t="s">
        <v>154</v>
      </c>
      <c r="E447" s="37" t="s">
        <v>47</v>
      </c>
      <c r="F447" s="37" t="s">
        <v>97</v>
      </c>
      <c r="G447" s="37" t="s">
        <v>92</v>
      </c>
      <c r="H447" s="37" t="s">
        <v>112</v>
      </c>
      <c r="I447" s="37" t="n">
        <v>1</v>
      </c>
      <c r="J447" s="39" t="n">
        <v>3299</v>
      </c>
      <c r="K447" s="40" t="n">
        <v>0.1</v>
      </c>
      <c r="L447" s="39" t="n">
        <f aca="false">VLOOKUP(H447,'Product List'!$A$3:$D$18,4,FALSE())</f>
        <v>2250</v>
      </c>
      <c r="M447" s="39" t="n">
        <f aca="false">I447*J447*(1-K447)</f>
        <v>2969.1</v>
      </c>
      <c r="N447" s="39" t="n">
        <f aca="false">I447*L447</f>
        <v>2250</v>
      </c>
      <c r="O447" s="39" t="n">
        <f aca="false">M447-N447</f>
        <v>719.1</v>
      </c>
      <c r="P447" s="41" t="n">
        <f aca="false">IF(M447=0,0,O447/M447)</f>
        <v>0.242194604425584</v>
      </c>
      <c r="Q447" s="37" t="str">
        <f aca="false">IF(K447=0,"No discount",IF(K447&lt;=0.1,"1-10%",IF(K447&lt;=0.2,"11-20%",IF(K447&lt;=0.3,"21-30%","Above 30%"))))</f>
        <v>1-10%</v>
      </c>
      <c r="R447" s="39" t="n">
        <f aca="false">I447*J447*MAX(0,K447-DiscountCap)</f>
        <v>0</v>
      </c>
    </row>
    <row r="448" customFormat="false" ht="15" hidden="false" customHeight="false" outlineLevel="0" collapsed="false">
      <c r="A448" s="37" t="s">
        <v>592</v>
      </c>
      <c r="B448" s="38" t="n">
        <v>45866</v>
      </c>
      <c r="C448" s="37" t="n">
        <f aca="false">MONTH(B448)</f>
        <v>7</v>
      </c>
      <c r="D448" s="37" t="s">
        <v>136</v>
      </c>
      <c r="E448" s="37" t="s">
        <v>47</v>
      </c>
      <c r="F448" s="37" t="s">
        <v>97</v>
      </c>
      <c r="G448" s="37" t="s">
        <v>92</v>
      </c>
      <c r="H448" s="37" t="s">
        <v>114</v>
      </c>
      <c r="I448" s="37" t="n">
        <v>2</v>
      </c>
      <c r="J448" s="39" t="n">
        <v>1199</v>
      </c>
      <c r="K448" s="40" t="n">
        <v>0.1</v>
      </c>
      <c r="L448" s="39" t="n">
        <f aca="false">VLOOKUP(H448,'Product List'!$A$3:$D$18,4,FALSE())</f>
        <v>780</v>
      </c>
      <c r="M448" s="39" t="n">
        <f aca="false">I448*J448*(1-K448)</f>
        <v>2158.2</v>
      </c>
      <c r="N448" s="39" t="n">
        <f aca="false">I448*L448</f>
        <v>1560</v>
      </c>
      <c r="O448" s="39" t="n">
        <f aca="false">M448-N448</f>
        <v>598.2</v>
      </c>
      <c r="P448" s="41" t="n">
        <f aca="false">IF(M448=0,0,O448/M448)</f>
        <v>0.277175423964415</v>
      </c>
      <c r="Q448" s="37" t="str">
        <f aca="false">IF(K448=0,"No discount",IF(K448&lt;=0.1,"1-10%",IF(K448&lt;=0.2,"11-20%",IF(K448&lt;=0.3,"21-30%","Above 30%"))))</f>
        <v>1-10%</v>
      </c>
      <c r="R448" s="39" t="n">
        <f aca="false">I448*J448*MAX(0,K448-DiscountCap)</f>
        <v>0</v>
      </c>
    </row>
    <row r="449" customFormat="false" ht="15" hidden="false" customHeight="false" outlineLevel="0" collapsed="false">
      <c r="A449" s="37" t="s">
        <v>593</v>
      </c>
      <c r="B449" s="38" t="n">
        <v>45845</v>
      </c>
      <c r="C449" s="37" t="n">
        <f aca="false">MONTH(B449)</f>
        <v>7</v>
      </c>
      <c r="D449" s="37" t="s">
        <v>144</v>
      </c>
      <c r="E449" s="37" t="s">
        <v>45</v>
      </c>
      <c r="F449" s="37" t="s">
        <v>97</v>
      </c>
      <c r="G449" s="37" t="s">
        <v>92</v>
      </c>
      <c r="H449" s="37" t="s">
        <v>113</v>
      </c>
      <c r="I449" s="37" t="n">
        <v>1</v>
      </c>
      <c r="J449" s="39" t="n">
        <v>2199</v>
      </c>
      <c r="K449" s="40" t="n">
        <v>0.1</v>
      </c>
      <c r="L449" s="39" t="n">
        <f aca="false">VLOOKUP(H449,'Product List'!$A$3:$D$18,4,FALSE())</f>
        <v>1400</v>
      </c>
      <c r="M449" s="39" t="n">
        <f aca="false">I449*J449*(1-K449)</f>
        <v>1979.1</v>
      </c>
      <c r="N449" s="39" t="n">
        <f aca="false">I449*L449</f>
        <v>1400</v>
      </c>
      <c r="O449" s="39" t="n">
        <f aca="false">M449-N449</f>
        <v>579.1</v>
      </c>
      <c r="P449" s="41" t="n">
        <f aca="false">IF(M449=0,0,O449/M449)</f>
        <v>0.292607750997928</v>
      </c>
      <c r="Q449" s="37" t="str">
        <f aca="false">IF(K449=0,"No discount",IF(K449&lt;=0.1,"1-10%",IF(K449&lt;=0.2,"11-20%",IF(K449&lt;=0.3,"21-30%","Above 30%"))))</f>
        <v>1-10%</v>
      </c>
      <c r="R449" s="39" t="n">
        <f aca="false">I449*J449*MAX(0,K449-DiscountCap)</f>
        <v>0</v>
      </c>
    </row>
    <row r="450" customFormat="false" ht="15" hidden="false" customHeight="false" outlineLevel="0" collapsed="false">
      <c r="A450" s="37" t="s">
        <v>594</v>
      </c>
      <c r="B450" s="38" t="n">
        <v>45856</v>
      </c>
      <c r="C450" s="37" t="n">
        <f aca="false">MONTH(B450)</f>
        <v>7</v>
      </c>
      <c r="D450" s="37" t="s">
        <v>146</v>
      </c>
      <c r="E450" s="37" t="s">
        <v>45</v>
      </c>
      <c r="F450" s="37" t="s">
        <v>96</v>
      </c>
      <c r="G450" s="37" t="s">
        <v>90</v>
      </c>
      <c r="H450" s="37" t="s">
        <v>109</v>
      </c>
      <c r="I450" s="37" t="n">
        <v>2</v>
      </c>
      <c r="J450" s="39" t="n">
        <v>3499</v>
      </c>
      <c r="K450" s="40" t="n">
        <v>0</v>
      </c>
      <c r="L450" s="39" t="n">
        <f aca="false">VLOOKUP(H450,'Product List'!$A$3:$D$18,4,FALSE())</f>
        <v>2750</v>
      </c>
      <c r="M450" s="39" t="n">
        <f aca="false">I450*J450*(1-K450)</f>
        <v>6998</v>
      </c>
      <c r="N450" s="39" t="n">
        <f aca="false">I450*L450</f>
        <v>5500</v>
      </c>
      <c r="O450" s="39" t="n">
        <f aca="false">M450-N450</f>
        <v>1498</v>
      </c>
      <c r="P450" s="41" t="n">
        <f aca="false">IF(M450=0,0,O450/M450)</f>
        <v>0.214061160331523</v>
      </c>
      <c r="Q450" s="37" t="str">
        <f aca="false">IF(K450=0,"No discount",IF(K450&lt;=0.1,"1-10%",IF(K450&lt;=0.2,"11-20%",IF(K450&lt;=0.3,"21-30%","Above 30%"))))</f>
        <v>No discount</v>
      </c>
      <c r="R450" s="39" t="n">
        <f aca="false">I450*J450*MAX(0,K450-DiscountCap)</f>
        <v>0</v>
      </c>
    </row>
    <row r="451" customFormat="false" ht="15" hidden="false" customHeight="false" outlineLevel="0" collapsed="false">
      <c r="A451" s="37" t="s">
        <v>595</v>
      </c>
      <c r="B451" s="38" t="n">
        <v>45858</v>
      </c>
      <c r="C451" s="37" t="n">
        <f aca="false">MONTH(B451)</f>
        <v>7</v>
      </c>
      <c r="D451" s="37" t="s">
        <v>134</v>
      </c>
      <c r="E451" s="37" t="s">
        <v>45</v>
      </c>
      <c r="F451" s="37" t="s">
        <v>96</v>
      </c>
      <c r="G451" s="37" t="s">
        <v>90</v>
      </c>
      <c r="H451" s="37" t="s">
        <v>111</v>
      </c>
      <c r="I451" s="37" t="n">
        <v>1</v>
      </c>
      <c r="J451" s="39" t="n">
        <v>2499</v>
      </c>
      <c r="K451" s="40" t="n">
        <v>0.15</v>
      </c>
      <c r="L451" s="39" t="n">
        <f aca="false">VLOOKUP(H451,'Product List'!$A$3:$D$18,4,FALSE())</f>
        <v>1950</v>
      </c>
      <c r="M451" s="39" t="n">
        <f aca="false">I451*J451*(1-K451)</f>
        <v>2124.15</v>
      </c>
      <c r="N451" s="39" t="n">
        <f aca="false">I451*L451</f>
        <v>1950</v>
      </c>
      <c r="O451" s="39" t="n">
        <f aca="false">M451-N451</f>
        <v>174.15</v>
      </c>
      <c r="P451" s="41" t="n">
        <f aca="false">IF(M451=0,0,O451/M451)</f>
        <v>0.0819857354706589</v>
      </c>
      <c r="Q451" s="37" t="str">
        <f aca="false">IF(K451=0,"No discount",IF(K451&lt;=0.1,"1-10%",IF(K451&lt;=0.2,"11-20%",IF(K451&lt;=0.3,"21-30%","Above 30%"))))</f>
        <v>11-20%</v>
      </c>
      <c r="R451" s="39" t="n">
        <f aca="false">I451*J451*MAX(0,K451-DiscountCap)</f>
        <v>0</v>
      </c>
    </row>
    <row r="452" customFormat="false" ht="15" hidden="false" customHeight="false" outlineLevel="0" collapsed="false">
      <c r="A452" s="37" t="s">
        <v>596</v>
      </c>
      <c r="B452" s="38" t="n">
        <v>45839</v>
      </c>
      <c r="C452" s="37" t="n">
        <f aca="false">MONTH(B452)</f>
        <v>7</v>
      </c>
      <c r="D452" s="37" t="s">
        <v>144</v>
      </c>
      <c r="E452" s="37" t="s">
        <v>45</v>
      </c>
      <c r="F452" s="37" t="s">
        <v>97</v>
      </c>
      <c r="G452" s="37" t="s">
        <v>91</v>
      </c>
      <c r="H452" s="37" t="s">
        <v>116</v>
      </c>
      <c r="I452" s="37" t="n">
        <v>1</v>
      </c>
      <c r="J452" s="39" t="n">
        <v>899</v>
      </c>
      <c r="K452" s="40" t="n">
        <v>0.05</v>
      </c>
      <c r="L452" s="39" t="n">
        <f aca="false">VLOOKUP(H452,'Product List'!$A$3:$D$18,4,FALSE())</f>
        <v>430</v>
      </c>
      <c r="M452" s="39" t="n">
        <f aca="false">I452*J452*(1-K452)</f>
        <v>854.05</v>
      </c>
      <c r="N452" s="39" t="n">
        <f aca="false">I452*L452</f>
        <v>430</v>
      </c>
      <c r="O452" s="39" t="n">
        <f aca="false">M452-N452</f>
        <v>424.05</v>
      </c>
      <c r="P452" s="41" t="n">
        <f aca="false">IF(M452=0,0,O452/M452)</f>
        <v>0.496516597388912</v>
      </c>
      <c r="Q452" s="37" t="str">
        <f aca="false">IF(K452=0,"No discount",IF(K452&lt;=0.1,"1-10%",IF(K452&lt;=0.2,"11-20%",IF(K452&lt;=0.3,"21-30%","Above 30%"))))</f>
        <v>1-10%</v>
      </c>
      <c r="R452" s="39" t="n">
        <f aca="false">I452*J452*MAX(0,K452-DiscountCap)</f>
        <v>0</v>
      </c>
    </row>
    <row r="453" customFormat="false" ht="15" hidden="false" customHeight="false" outlineLevel="0" collapsed="false">
      <c r="A453" s="37" t="s">
        <v>597</v>
      </c>
      <c r="B453" s="38" t="n">
        <v>45866</v>
      </c>
      <c r="C453" s="37" t="n">
        <f aca="false">MONTH(B453)</f>
        <v>7</v>
      </c>
      <c r="D453" s="37" t="s">
        <v>144</v>
      </c>
      <c r="E453" s="37" t="s">
        <v>45</v>
      </c>
      <c r="F453" s="37" t="s">
        <v>96</v>
      </c>
      <c r="G453" s="37" t="s">
        <v>92</v>
      </c>
      <c r="H453" s="37" t="s">
        <v>113</v>
      </c>
      <c r="I453" s="37" t="n">
        <v>1</v>
      </c>
      <c r="J453" s="39" t="n">
        <v>2199</v>
      </c>
      <c r="K453" s="40" t="n">
        <v>0.2</v>
      </c>
      <c r="L453" s="39" t="n">
        <f aca="false">VLOOKUP(H453,'Product List'!$A$3:$D$18,4,FALSE())</f>
        <v>1400</v>
      </c>
      <c r="M453" s="39" t="n">
        <f aca="false">I453*J453*(1-K453)</f>
        <v>1759.2</v>
      </c>
      <c r="N453" s="39" t="n">
        <f aca="false">I453*L453</f>
        <v>1400</v>
      </c>
      <c r="O453" s="39" t="n">
        <f aca="false">M453-N453</f>
        <v>359.2</v>
      </c>
      <c r="P453" s="41" t="n">
        <f aca="false">IF(M453=0,0,O453/M453)</f>
        <v>0.204183719872669</v>
      </c>
      <c r="Q453" s="37" t="str">
        <f aca="false">IF(K453=0,"No discount",IF(K453&lt;=0.1,"1-10%",IF(K453&lt;=0.2,"11-20%",IF(K453&lt;=0.3,"21-30%","Above 30%"))))</f>
        <v>11-20%</v>
      </c>
      <c r="R453" s="39" t="n">
        <f aca="false">I453*J453*MAX(0,K453-DiscountCap)</f>
        <v>0</v>
      </c>
    </row>
    <row r="454" customFormat="false" ht="15" hidden="false" customHeight="false" outlineLevel="0" collapsed="false">
      <c r="A454" s="37" t="s">
        <v>598</v>
      </c>
      <c r="B454" s="38" t="n">
        <v>45854</v>
      </c>
      <c r="C454" s="37" t="n">
        <f aca="false">MONTH(B454)</f>
        <v>7</v>
      </c>
      <c r="D454" s="37" t="s">
        <v>144</v>
      </c>
      <c r="E454" s="37" t="s">
        <v>45</v>
      </c>
      <c r="F454" s="37" t="s">
        <v>96</v>
      </c>
      <c r="G454" s="37" t="s">
        <v>93</v>
      </c>
      <c r="H454" s="37" t="s">
        <v>120</v>
      </c>
      <c r="I454" s="37" t="n">
        <v>1</v>
      </c>
      <c r="J454" s="39" t="n">
        <v>449</v>
      </c>
      <c r="K454" s="40" t="n">
        <v>0.05</v>
      </c>
      <c r="L454" s="39" t="n">
        <f aca="false">VLOOKUP(H454,'Product List'!$A$3:$D$18,4,FALSE())</f>
        <v>240</v>
      </c>
      <c r="M454" s="39" t="n">
        <f aca="false">I454*J454*(1-K454)</f>
        <v>426.55</v>
      </c>
      <c r="N454" s="39" t="n">
        <f aca="false">I454*L454</f>
        <v>240</v>
      </c>
      <c r="O454" s="39" t="n">
        <f aca="false">M454-N454</f>
        <v>186.55</v>
      </c>
      <c r="P454" s="41" t="n">
        <f aca="false">IF(M454=0,0,O454/M454)</f>
        <v>0.43734614933771</v>
      </c>
      <c r="Q454" s="37" t="str">
        <f aca="false">IF(K454=0,"No discount",IF(K454&lt;=0.1,"1-10%",IF(K454&lt;=0.2,"11-20%",IF(K454&lt;=0.3,"21-30%","Above 30%"))))</f>
        <v>1-10%</v>
      </c>
      <c r="R454" s="39" t="n">
        <f aca="false">I454*J454*MAX(0,K454-DiscountCap)</f>
        <v>0</v>
      </c>
    </row>
    <row r="455" customFormat="false" ht="15" hidden="false" customHeight="false" outlineLevel="0" collapsed="false">
      <c r="A455" s="37" t="s">
        <v>599</v>
      </c>
      <c r="B455" s="38" t="n">
        <v>45842</v>
      </c>
      <c r="C455" s="37" t="n">
        <f aca="false">MONTH(B455)</f>
        <v>7</v>
      </c>
      <c r="D455" s="37" t="s">
        <v>146</v>
      </c>
      <c r="E455" s="37" t="s">
        <v>45</v>
      </c>
      <c r="F455" s="37" t="s">
        <v>96</v>
      </c>
      <c r="G455" s="37" t="s">
        <v>91</v>
      </c>
      <c r="H455" s="37" t="s">
        <v>118</v>
      </c>
      <c r="I455" s="37" t="n">
        <v>1</v>
      </c>
      <c r="J455" s="39" t="n">
        <v>2299</v>
      </c>
      <c r="K455" s="40" t="n">
        <v>0.15</v>
      </c>
      <c r="L455" s="39" t="n">
        <f aca="false">VLOOKUP(H455,'Product List'!$A$3:$D$18,4,FALSE())</f>
        <v>1300</v>
      </c>
      <c r="M455" s="39" t="n">
        <f aca="false">I455*J455*(1-K455)</f>
        <v>1954.15</v>
      </c>
      <c r="N455" s="39" t="n">
        <f aca="false">I455*L455</f>
        <v>1300</v>
      </c>
      <c r="O455" s="39" t="n">
        <f aca="false">M455-N455</f>
        <v>654.15</v>
      </c>
      <c r="P455" s="41" t="n">
        <f aca="false">IF(M455=0,0,O455/M455)</f>
        <v>0.334749123659903</v>
      </c>
      <c r="Q455" s="37" t="str">
        <f aca="false">IF(K455=0,"No discount",IF(K455&lt;=0.1,"1-10%",IF(K455&lt;=0.2,"11-20%",IF(K455&lt;=0.3,"21-30%","Above 30%"))))</f>
        <v>11-20%</v>
      </c>
      <c r="R455" s="39" t="n">
        <f aca="false">I455*J455*MAX(0,K455-DiscountCap)</f>
        <v>0</v>
      </c>
    </row>
    <row r="456" customFormat="false" ht="15" hidden="false" customHeight="false" outlineLevel="0" collapsed="false">
      <c r="A456" s="37" t="s">
        <v>600</v>
      </c>
      <c r="B456" s="38" t="n">
        <v>45849</v>
      </c>
      <c r="C456" s="37" t="n">
        <f aca="false">MONTH(B456)</f>
        <v>7</v>
      </c>
      <c r="D456" s="37" t="s">
        <v>142</v>
      </c>
      <c r="E456" s="37" t="s">
        <v>47</v>
      </c>
      <c r="F456" s="37" t="s">
        <v>96</v>
      </c>
      <c r="G456" s="37" t="s">
        <v>91</v>
      </c>
      <c r="H456" s="37" t="s">
        <v>119</v>
      </c>
      <c r="I456" s="37" t="n">
        <v>2</v>
      </c>
      <c r="J456" s="39" t="n">
        <v>1099</v>
      </c>
      <c r="K456" s="40" t="n">
        <v>0.1</v>
      </c>
      <c r="L456" s="39" t="n">
        <f aca="false">VLOOKUP(H456,'Product List'!$A$3:$D$18,4,FALSE())</f>
        <v>560</v>
      </c>
      <c r="M456" s="39" t="n">
        <f aca="false">I456*J456*(1-K456)</f>
        <v>1978.2</v>
      </c>
      <c r="N456" s="39" t="n">
        <f aca="false">I456*L456</f>
        <v>1120</v>
      </c>
      <c r="O456" s="39" t="n">
        <f aca="false">M456-N456</f>
        <v>858.2</v>
      </c>
      <c r="P456" s="41" t="n">
        <f aca="false">IF(M456=0,0,O456/M456)</f>
        <v>0.433828733191791</v>
      </c>
      <c r="Q456" s="37" t="str">
        <f aca="false">IF(K456=0,"No discount",IF(K456&lt;=0.1,"1-10%",IF(K456&lt;=0.2,"11-20%",IF(K456&lt;=0.3,"21-30%","Above 30%"))))</f>
        <v>1-10%</v>
      </c>
      <c r="R456" s="39" t="n">
        <f aca="false">I456*J456*MAX(0,K456-DiscountCap)</f>
        <v>0</v>
      </c>
    </row>
    <row r="457" customFormat="false" ht="15" hidden="false" customHeight="false" outlineLevel="0" collapsed="false">
      <c r="A457" s="37" t="s">
        <v>601</v>
      </c>
      <c r="B457" s="38" t="n">
        <v>45861</v>
      </c>
      <c r="C457" s="37" t="n">
        <f aca="false">MONTH(B457)</f>
        <v>7</v>
      </c>
      <c r="D457" s="37" t="s">
        <v>144</v>
      </c>
      <c r="E457" s="37" t="s">
        <v>45</v>
      </c>
      <c r="F457" s="37" t="s">
        <v>96</v>
      </c>
      <c r="G457" s="37" t="s">
        <v>91</v>
      </c>
      <c r="H457" s="37" t="s">
        <v>119</v>
      </c>
      <c r="I457" s="37" t="n">
        <v>1</v>
      </c>
      <c r="J457" s="39" t="n">
        <v>1099</v>
      </c>
      <c r="K457" s="40" t="n">
        <v>0.15</v>
      </c>
      <c r="L457" s="39" t="n">
        <f aca="false">VLOOKUP(H457,'Product List'!$A$3:$D$18,4,FALSE())</f>
        <v>560</v>
      </c>
      <c r="M457" s="39" t="n">
        <f aca="false">I457*J457*(1-K457)</f>
        <v>934.15</v>
      </c>
      <c r="N457" s="39" t="n">
        <f aca="false">I457*L457</f>
        <v>560</v>
      </c>
      <c r="O457" s="39" t="n">
        <f aca="false">M457-N457</f>
        <v>374.15</v>
      </c>
      <c r="P457" s="41" t="n">
        <f aca="false">IF(M457=0,0,O457/M457)</f>
        <v>0.400524541026602</v>
      </c>
      <c r="Q457" s="37" t="str">
        <f aca="false">IF(K457=0,"No discount",IF(K457&lt;=0.1,"1-10%",IF(K457&lt;=0.2,"11-20%",IF(K457&lt;=0.3,"21-30%","Above 30%"))))</f>
        <v>11-20%</v>
      </c>
      <c r="R457" s="39" t="n">
        <f aca="false">I457*J457*MAX(0,K457-DiscountCap)</f>
        <v>0</v>
      </c>
    </row>
    <row r="458" customFormat="false" ht="15" hidden="false" customHeight="false" outlineLevel="0" collapsed="false">
      <c r="A458" s="37" t="s">
        <v>602</v>
      </c>
      <c r="B458" s="38" t="n">
        <v>45868</v>
      </c>
      <c r="C458" s="37" t="n">
        <f aca="false">MONTH(B458)</f>
        <v>7</v>
      </c>
      <c r="D458" s="37" t="s">
        <v>136</v>
      </c>
      <c r="E458" s="37" t="s">
        <v>47</v>
      </c>
      <c r="F458" s="37" t="s">
        <v>97</v>
      </c>
      <c r="G458" s="37" t="s">
        <v>90</v>
      </c>
      <c r="H458" s="37" t="s">
        <v>109</v>
      </c>
      <c r="I458" s="37" t="n">
        <v>2</v>
      </c>
      <c r="J458" s="39" t="n">
        <v>3499</v>
      </c>
      <c r="K458" s="40" t="n">
        <v>0</v>
      </c>
      <c r="L458" s="39" t="n">
        <f aca="false">VLOOKUP(H458,'Product List'!$A$3:$D$18,4,FALSE())</f>
        <v>2750</v>
      </c>
      <c r="M458" s="39" t="n">
        <f aca="false">I458*J458*(1-K458)</f>
        <v>6998</v>
      </c>
      <c r="N458" s="39" t="n">
        <f aca="false">I458*L458</f>
        <v>5500</v>
      </c>
      <c r="O458" s="39" t="n">
        <f aca="false">M458-N458</f>
        <v>1498</v>
      </c>
      <c r="P458" s="41" t="n">
        <f aca="false">IF(M458=0,0,O458/M458)</f>
        <v>0.214061160331523</v>
      </c>
      <c r="Q458" s="37" t="str">
        <f aca="false">IF(K458=0,"No discount",IF(K458&lt;=0.1,"1-10%",IF(K458&lt;=0.2,"11-20%",IF(K458&lt;=0.3,"21-30%","Above 30%"))))</f>
        <v>No discount</v>
      </c>
      <c r="R458" s="39" t="n">
        <f aca="false">I458*J458*MAX(0,K458-DiscountCap)</f>
        <v>0</v>
      </c>
    </row>
    <row r="459" customFormat="false" ht="15" hidden="false" customHeight="false" outlineLevel="0" collapsed="false">
      <c r="A459" s="37" t="s">
        <v>603</v>
      </c>
      <c r="B459" s="38" t="n">
        <v>45861</v>
      </c>
      <c r="C459" s="37" t="n">
        <f aca="false">MONTH(B459)</f>
        <v>7</v>
      </c>
      <c r="D459" s="37" t="s">
        <v>166</v>
      </c>
      <c r="E459" s="37" t="s">
        <v>44</v>
      </c>
      <c r="F459" s="37" t="s">
        <v>96</v>
      </c>
      <c r="G459" s="37" t="s">
        <v>90</v>
      </c>
      <c r="H459" s="37" t="s">
        <v>109</v>
      </c>
      <c r="I459" s="37" t="n">
        <v>2</v>
      </c>
      <c r="J459" s="39" t="n">
        <v>3499</v>
      </c>
      <c r="K459" s="40" t="n">
        <v>0.05</v>
      </c>
      <c r="L459" s="39" t="n">
        <f aca="false">VLOOKUP(H459,'Product List'!$A$3:$D$18,4,FALSE())</f>
        <v>2750</v>
      </c>
      <c r="M459" s="39" t="n">
        <f aca="false">I459*J459*(1-K459)</f>
        <v>6648.1</v>
      </c>
      <c r="N459" s="39" t="n">
        <f aca="false">I459*L459</f>
        <v>5500</v>
      </c>
      <c r="O459" s="39" t="n">
        <f aca="false">M459-N459</f>
        <v>1148.1</v>
      </c>
      <c r="P459" s="41" t="n">
        <f aca="false">IF(M459=0,0,O459/M459)</f>
        <v>0.172695958243709</v>
      </c>
      <c r="Q459" s="37" t="str">
        <f aca="false">IF(K459=0,"No discount",IF(K459&lt;=0.1,"1-10%",IF(K459&lt;=0.2,"11-20%",IF(K459&lt;=0.3,"21-30%","Above 30%"))))</f>
        <v>1-10%</v>
      </c>
      <c r="R459" s="39" t="n">
        <f aca="false">I459*J459*MAX(0,K459-DiscountCap)</f>
        <v>0</v>
      </c>
    </row>
    <row r="460" customFormat="false" ht="15" hidden="false" customHeight="false" outlineLevel="0" collapsed="false">
      <c r="A460" s="37" t="s">
        <v>604</v>
      </c>
      <c r="B460" s="38" t="n">
        <v>45866</v>
      </c>
      <c r="C460" s="37" t="n">
        <f aca="false">MONTH(B460)</f>
        <v>7</v>
      </c>
      <c r="D460" s="37" t="s">
        <v>160</v>
      </c>
      <c r="E460" s="37" t="s">
        <v>46</v>
      </c>
      <c r="F460" s="37" t="s">
        <v>96</v>
      </c>
      <c r="G460" s="37" t="s">
        <v>90</v>
      </c>
      <c r="H460" s="37" t="s">
        <v>111</v>
      </c>
      <c r="I460" s="37" t="n">
        <v>4</v>
      </c>
      <c r="J460" s="39" t="n">
        <v>2499</v>
      </c>
      <c r="K460" s="40" t="n">
        <v>0.1</v>
      </c>
      <c r="L460" s="39" t="n">
        <f aca="false">VLOOKUP(H460,'Product List'!$A$3:$D$18,4,FALSE())</f>
        <v>1950</v>
      </c>
      <c r="M460" s="39" t="n">
        <f aca="false">I460*J460*(1-K460)</f>
        <v>8996.4</v>
      </c>
      <c r="N460" s="39" t="n">
        <f aca="false">I460*L460</f>
        <v>7800</v>
      </c>
      <c r="O460" s="39" t="n">
        <f aca="false">M460-N460</f>
        <v>1196.4</v>
      </c>
      <c r="P460" s="41" t="n">
        <f aca="false">IF(M460=0,0,O460/M460)</f>
        <v>0.132986527944511</v>
      </c>
      <c r="Q460" s="37" t="str">
        <f aca="false">IF(K460=0,"No discount",IF(K460&lt;=0.1,"1-10%",IF(K460&lt;=0.2,"11-20%",IF(K460&lt;=0.3,"21-30%","Above 30%"))))</f>
        <v>1-10%</v>
      </c>
      <c r="R460" s="39" t="n">
        <f aca="false">I460*J460*MAX(0,K460-DiscountCap)</f>
        <v>0</v>
      </c>
    </row>
    <row r="461" customFormat="false" ht="15" hidden="false" customHeight="false" outlineLevel="0" collapsed="false">
      <c r="A461" s="37" t="s">
        <v>605</v>
      </c>
      <c r="B461" s="38" t="n">
        <v>45867</v>
      </c>
      <c r="C461" s="37" t="n">
        <f aca="false">MONTH(B461)</f>
        <v>7</v>
      </c>
      <c r="D461" s="37" t="s">
        <v>166</v>
      </c>
      <c r="E461" s="37" t="s">
        <v>44</v>
      </c>
      <c r="F461" s="37" t="s">
        <v>97</v>
      </c>
      <c r="G461" s="37" t="s">
        <v>90</v>
      </c>
      <c r="H461" s="37" t="s">
        <v>109</v>
      </c>
      <c r="I461" s="37" t="n">
        <v>1</v>
      </c>
      <c r="J461" s="39" t="n">
        <v>3499</v>
      </c>
      <c r="K461" s="40" t="n">
        <v>0.25</v>
      </c>
      <c r="L461" s="39" t="n">
        <f aca="false">VLOOKUP(H461,'Product List'!$A$3:$D$18,4,FALSE())</f>
        <v>2750</v>
      </c>
      <c r="M461" s="39" t="n">
        <f aca="false">I461*J461*(1-K461)</f>
        <v>2624.25</v>
      </c>
      <c r="N461" s="39" t="n">
        <f aca="false">I461*L461</f>
        <v>2750</v>
      </c>
      <c r="O461" s="39" t="n">
        <f aca="false">M461-N461</f>
        <v>-125.75</v>
      </c>
      <c r="P461" s="41" t="n">
        <f aca="false">IF(M461=0,0,O461/M461)</f>
        <v>-0.0479184528913023</v>
      </c>
      <c r="Q461" s="37" t="str">
        <f aca="false">IF(K461=0,"No discount",IF(K461&lt;=0.1,"1-10%",IF(K461&lt;=0.2,"11-20%",IF(K461&lt;=0.3,"21-30%","Above 30%"))))</f>
        <v>21-30%</v>
      </c>
      <c r="R461" s="39" t="n">
        <f aca="false">I461*J461*MAX(0,K461-DiscountCap)</f>
        <v>174.95</v>
      </c>
    </row>
    <row r="462" customFormat="false" ht="15" hidden="false" customHeight="false" outlineLevel="0" collapsed="false">
      <c r="A462" s="37" t="s">
        <v>606</v>
      </c>
      <c r="B462" s="38" t="n">
        <v>45865</v>
      </c>
      <c r="C462" s="37" t="n">
        <f aca="false">MONTH(B462)</f>
        <v>7</v>
      </c>
      <c r="D462" s="37" t="s">
        <v>146</v>
      </c>
      <c r="E462" s="37" t="s">
        <v>45</v>
      </c>
      <c r="F462" s="37" t="s">
        <v>96</v>
      </c>
      <c r="G462" s="37" t="s">
        <v>93</v>
      </c>
      <c r="H462" s="37" t="s">
        <v>121</v>
      </c>
      <c r="I462" s="37" t="n">
        <v>1</v>
      </c>
      <c r="J462" s="39" t="n">
        <v>999</v>
      </c>
      <c r="K462" s="40" t="n">
        <v>0.2</v>
      </c>
      <c r="L462" s="39" t="n">
        <f aca="false">VLOOKUP(H462,'Product List'!$A$3:$D$18,4,FALSE())</f>
        <v>500</v>
      </c>
      <c r="M462" s="39" t="n">
        <f aca="false">I462*J462*(1-K462)</f>
        <v>799.2</v>
      </c>
      <c r="N462" s="39" t="n">
        <f aca="false">I462*L462</f>
        <v>500</v>
      </c>
      <c r="O462" s="39" t="n">
        <f aca="false">M462-N462</f>
        <v>299.2</v>
      </c>
      <c r="P462" s="41" t="n">
        <f aca="false">IF(M462=0,0,O462/M462)</f>
        <v>0.374374374374374</v>
      </c>
      <c r="Q462" s="37" t="str">
        <f aca="false">IF(K462=0,"No discount",IF(K462&lt;=0.1,"1-10%",IF(K462&lt;=0.2,"11-20%",IF(K462&lt;=0.3,"21-30%","Above 30%"))))</f>
        <v>11-20%</v>
      </c>
      <c r="R462" s="39" t="n">
        <f aca="false">I462*J462*MAX(0,K462-DiscountCap)</f>
        <v>0</v>
      </c>
    </row>
    <row r="463" customFormat="false" ht="15" hidden="false" customHeight="false" outlineLevel="0" collapsed="false">
      <c r="A463" s="37" t="s">
        <v>607</v>
      </c>
      <c r="B463" s="38" t="n">
        <v>45848</v>
      </c>
      <c r="C463" s="37" t="n">
        <f aca="false">MONTH(B463)</f>
        <v>7</v>
      </c>
      <c r="D463" s="37" t="s">
        <v>136</v>
      </c>
      <c r="E463" s="37" t="s">
        <v>47</v>
      </c>
      <c r="F463" s="37" t="s">
        <v>96</v>
      </c>
      <c r="G463" s="37" t="s">
        <v>91</v>
      </c>
      <c r="H463" s="37" t="s">
        <v>117</v>
      </c>
      <c r="I463" s="37" t="n">
        <v>1</v>
      </c>
      <c r="J463" s="39" t="n">
        <v>1499</v>
      </c>
      <c r="K463" s="40" t="n">
        <v>0.05</v>
      </c>
      <c r="L463" s="39" t="n">
        <f aca="false">VLOOKUP(H463,'Product List'!$A$3:$D$18,4,FALSE())</f>
        <v>780</v>
      </c>
      <c r="M463" s="39" t="n">
        <f aca="false">I463*J463*(1-K463)</f>
        <v>1424.05</v>
      </c>
      <c r="N463" s="39" t="n">
        <f aca="false">I463*L463</f>
        <v>780</v>
      </c>
      <c r="O463" s="39" t="n">
        <f aca="false">M463-N463</f>
        <v>644.05</v>
      </c>
      <c r="P463" s="41" t="n">
        <f aca="false">IF(M463=0,0,O463/M463)</f>
        <v>0.452266423229521</v>
      </c>
      <c r="Q463" s="37" t="str">
        <f aca="false">IF(K463=0,"No discount",IF(K463&lt;=0.1,"1-10%",IF(K463&lt;=0.2,"11-20%",IF(K463&lt;=0.3,"21-30%","Above 30%"))))</f>
        <v>1-10%</v>
      </c>
      <c r="R463" s="39" t="n">
        <f aca="false">I463*J463*MAX(0,K463-DiscountCap)</f>
        <v>0</v>
      </c>
    </row>
    <row r="464" customFormat="false" ht="15" hidden="false" customHeight="false" outlineLevel="0" collapsed="false">
      <c r="A464" s="37" t="s">
        <v>608</v>
      </c>
      <c r="B464" s="38" t="n">
        <v>45861</v>
      </c>
      <c r="C464" s="37" t="n">
        <f aca="false">MONTH(B464)</f>
        <v>7</v>
      </c>
      <c r="D464" s="37" t="s">
        <v>154</v>
      </c>
      <c r="E464" s="37" t="s">
        <v>47</v>
      </c>
      <c r="F464" s="37" t="s">
        <v>96</v>
      </c>
      <c r="G464" s="37" t="s">
        <v>91</v>
      </c>
      <c r="H464" s="37" t="s">
        <v>119</v>
      </c>
      <c r="I464" s="37" t="n">
        <v>1</v>
      </c>
      <c r="J464" s="39" t="n">
        <v>1099</v>
      </c>
      <c r="K464" s="40" t="n">
        <v>0.05</v>
      </c>
      <c r="L464" s="39" t="n">
        <f aca="false">VLOOKUP(H464,'Product List'!$A$3:$D$18,4,FALSE())</f>
        <v>560</v>
      </c>
      <c r="M464" s="39" t="n">
        <f aca="false">I464*J464*(1-K464)</f>
        <v>1044.05</v>
      </c>
      <c r="N464" s="39" t="n">
        <f aca="false">I464*L464</f>
        <v>560</v>
      </c>
      <c r="O464" s="39" t="n">
        <f aca="false">M464-N464</f>
        <v>484.05</v>
      </c>
      <c r="P464" s="41" t="n">
        <f aca="false">IF(M464=0,0,O464/M464)</f>
        <v>0.463627220918538</v>
      </c>
      <c r="Q464" s="37" t="str">
        <f aca="false">IF(K464=0,"No discount",IF(K464&lt;=0.1,"1-10%",IF(K464&lt;=0.2,"11-20%",IF(K464&lt;=0.3,"21-30%","Above 30%"))))</f>
        <v>1-10%</v>
      </c>
      <c r="R464" s="39" t="n">
        <f aca="false">I464*J464*MAX(0,K464-DiscountCap)</f>
        <v>0</v>
      </c>
    </row>
    <row r="465" customFormat="false" ht="15" hidden="false" customHeight="false" outlineLevel="0" collapsed="false">
      <c r="A465" s="37" t="s">
        <v>609</v>
      </c>
      <c r="B465" s="38" t="n">
        <v>45856</v>
      </c>
      <c r="C465" s="37" t="n">
        <f aca="false">MONTH(B465)</f>
        <v>7</v>
      </c>
      <c r="D465" s="37" t="s">
        <v>166</v>
      </c>
      <c r="E465" s="37" t="s">
        <v>44</v>
      </c>
      <c r="F465" s="37" t="s">
        <v>96</v>
      </c>
      <c r="G465" s="37" t="s">
        <v>90</v>
      </c>
      <c r="H465" s="37" t="s">
        <v>108</v>
      </c>
      <c r="I465" s="37" t="n">
        <v>1</v>
      </c>
      <c r="J465" s="39" t="n">
        <v>1999</v>
      </c>
      <c r="K465" s="40" t="n">
        <v>0.1</v>
      </c>
      <c r="L465" s="39" t="n">
        <f aca="false">VLOOKUP(H465,'Product List'!$A$3:$D$18,4,FALSE())</f>
        <v>1560</v>
      </c>
      <c r="M465" s="39" t="n">
        <f aca="false">I465*J465*(1-K465)</f>
        <v>1799.1</v>
      </c>
      <c r="N465" s="39" t="n">
        <f aca="false">I465*L465</f>
        <v>1560</v>
      </c>
      <c r="O465" s="39" t="n">
        <f aca="false">M465-N465</f>
        <v>239.1</v>
      </c>
      <c r="P465" s="41" t="n">
        <f aca="false">IF(M465=0,0,O465/M465)</f>
        <v>0.132899783224946</v>
      </c>
      <c r="Q465" s="37" t="str">
        <f aca="false">IF(K465=0,"No discount",IF(K465&lt;=0.1,"1-10%",IF(K465&lt;=0.2,"11-20%",IF(K465&lt;=0.3,"21-30%","Above 30%"))))</f>
        <v>1-10%</v>
      </c>
      <c r="R465" s="39" t="n">
        <f aca="false">I465*J465*MAX(0,K465-DiscountCap)</f>
        <v>0</v>
      </c>
    </row>
    <row r="466" customFormat="false" ht="15" hidden="false" customHeight="false" outlineLevel="0" collapsed="false">
      <c r="A466" s="37" t="s">
        <v>610</v>
      </c>
      <c r="B466" s="38" t="n">
        <v>45869</v>
      </c>
      <c r="C466" s="37" t="n">
        <f aca="false">MONTH(B466)</f>
        <v>7</v>
      </c>
      <c r="D466" s="37" t="s">
        <v>136</v>
      </c>
      <c r="E466" s="37" t="s">
        <v>47</v>
      </c>
      <c r="F466" s="37" t="s">
        <v>96</v>
      </c>
      <c r="G466" s="37" t="s">
        <v>91</v>
      </c>
      <c r="H466" s="37" t="s">
        <v>118</v>
      </c>
      <c r="I466" s="37" t="n">
        <v>1</v>
      </c>
      <c r="J466" s="39" t="n">
        <v>2299</v>
      </c>
      <c r="K466" s="40" t="n">
        <v>0.2</v>
      </c>
      <c r="L466" s="39" t="n">
        <f aca="false">VLOOKUP(H466,'Product List'!$A$3:$D$18,4,FALSE())</f>
        <v>1300</v>
      </c>
      <c r="M466" s="39" t="n">
        <f aca="false">I466*J466*(1-K466)</f>
        <v>1839.2</v>
      </c>
      <c r="N466" s="39" t="n">
        <f aca="false">I466*L466</f>
        <v>1300</v>
      </c>
      <c r="O466" s="39" t="n">
        <f aca="false">M466-N466</f>
        <v>539.2</v>
      </c>
      <c r="P466" s="41" t="n">
        <f aca="false">IF(M466=0,0,O466/M466)</f>
        <v>0.293170943888647</v>
      </c>
      <c r="Q466" s="37" t="str">
        <f aca="false">IF(K466=0,"No discount",IF(K466&lt;=0.1,"1-10%",IF(K466&lt;=0.2,"11-20%",IF(K466&lt;=0.3,"21-30%","Above 30%"))))</f>
        <v>11-20%</v>
      </c>
      <c r="R466" s="39" t="n">
        <f aca="false">I466*J466*MAX(0,K466-DiscountCap)</f>
        <v>0</v>
      </c>
    </row>
    <row r="467" customFormat="false" ht="15" hidden="false" customHeight="false" outlineLevel="0" collapsed="false">
      <c r="A467" s="37" t="s">
        <v>611</v>
      </c>
      <c r="B467" s="38" t="n">
        <v>45844</v>
      </c>
      <c r="C467" s="37" t="n">
        <f aca="false">MONTH(B467)</f>
        <v>7</v>
      </c>
      <c r="D467" s="37" t="s">
        <v>134</v>
      </c>
      <c r="E467" s="37" t="s">
        <v>45</v>
      </c>
      <c r="F467" s="37" t="s">
        <v>97</v>
      </c>
      <c r="G467" s="37" t="s">
        <v>93</v>
      </c>
      <c r="H467" s="37" t="s">
        <v>122</v>
      </c>
      <c r="I467" s="37" t="n">
        <v>3</v>
      </c>
      <c r="J467" s="39" t="n">
        <v>1799</v>
      </c>
      <c r="K467" s="40" t="n">
        <v>0.05</v>
      </c>
      <c r="L467" s="39" t="n">
        <f aca="false">VLOOKUP(H467,'Product List'!$A$3:$D$18,4,FALSE())</f>
        <v>1250</v>
      </c>
      <c r="M467" s="39" t="n">
        <f aca="false">I467*J467*(1-K467)</f>
        <v>5127.15</v>
      </c>
      <c r="N467" s="39" t="n">
        <f aca="false">I467*L467</f>
        <v>3750</v>
      </c>
      <c r="O467" s="39" t="n">
        <f aca="false">M467-N467</f>
        <v>1377.15</v>
      </c>
      <c r="P467" s="41" t="n">
        <f aca="false">IF(M467=0,0,O467/M467)</f>
        <v>0.268599514350077</v>
      </c>
      <c r="Q467" s="37" t="str">
        <f aca="false">IF(K467=0,"No discount",IF(K467&lt;=0.1,"1-10%",IF(K467&lt;=0.2,"11-20%",IF(K467&lt;=0.3,"21-30%","Above 30%"))))</f>
        <v>1-10%</v>
      </c>
      <c r="R467" s="39" t="n">
        <f aca="false">I467*J467*MAX(0,K467-DiscountCap)</f>
        <v>0</v>
      </c>
    </row>
    <row r="468" customFormat="false" ht="15" hidden="false" customHeight="false" outlineLevel="0" collapsed="false">
      <c r="A468" s="37" t="s">
        <v>612</v>
      </c>
      <c r="B468" s="38" t="n">
        <v>45864</v>
      </c>
      <c r="C468" s="37" t="n">
        <f aca="false">MONTH(B468)</f>
        <v>7</v>
      </c>
      <c r="D468" s="37" t="s">
        <v>134</v>
      </c>
      <c r="E468" s="37" t="s">
        <v>45</v>
      </c>
      <c r="F468" s="37" t="s">
        <v>96</v>
      </c>
      <c r="G468" s="37" t="s">
        <v>91</v>
      </c>
      <c r="H468" s="37" t="s">
        <v>119</v>
      </c>
      <c r="I468" s="37" t="n">
        <v>1</v>
      </c>
      <c r="J468" s="39" t="n">
        <v>1099</v>
      </c>
      <c r="K468" s="40" t="n">
        <v>0.05</v>
      </c>
      <c r="L468" s="39" t="n">
        <f aca="false">VLOOKUP(H468,'Product List'!$A$3:$D$18,4,FALSE())</f>
        <v>560</v>
      </c>
      <c r="M468" s="39" t="n">
        <f aca="false">I468*J468*(1-K468)</f>
        <v>1044.05</v>
      </c>
      <c r="N468" s="39" t="n">
        <f aca="false">I468*L468</f>
        <v>560</v>
      </c>
      <c r="O468" s="39" t="n">
        <f aca="false">M468-N468</f>
        <v>484.05</v>
      </c>
      <c r="P468" s="41" t="n">
        <f aca="false">IF(M468=0,0,O468/M468)</f>
        <v>0.463627220918538</v>
      </c>
      <c r="Q468" s="37" t="str">
        <f aca="false">IF(K468=0,"No discount",IF(K468&lt;=0.1,"1-10%",IF(K468&lt;=0.2,"11-20%",IF(K468&lt;=0.3,"21-30%","Above 30%"))))</f>
        <v>1-10%</v>
      </c>
      <c r="R468" s="39" t="n">
        <f aca="false">I468*J468*MAX(0,K468-DiscountCap)</f>
        <v>0</v>
      </c>
    </row>
    <row r="469" customFormat="false" ht="15" hidden="false" customHeight="false" outlineLevel="0" collapsed="false">
      <c r="A469" s="37" t="s">
        <v>613</v>
      </c>
      <c r="B469" s="38" t="n">
        <v>45852</v>
      </c>
      <c r="C469" s="37" t="n">
        <f aca="false">MONTH(B469)</f>
        <v>7</v>
      </c>
      <c r="D469" s="37" t="s">
        <v>146</v>
      </c>
      <c r="E469" s="37" t="s">
        <v>45</v>
      </c>
      <c r="F469" s="37" t="s">
        <v>97</v>
      </c>
      <c r="G469" s="37" t="s">
        <v>90</v>
      </c>
      <c r="H469" s="37" t="s">
        <v>109</v>
      </c>
      <c r="I469" s="37" t="n">
        <v>1</v>
      </c>
      <c r="J469" s="39" t="n">
        <v>3499</v>
      </c>
      <c r="K469" s="40" t="n">
        <v>0.1</v>
      </c>
      <c r="L469" s="39" t="n">
        <f aca="false">VLOOKUP(H469,'Product List'!$A$3:$D$18,4,FALSE())</f>
        <v>2750</v>
      </c>
      <c r="M469" s="39" t="n">
        <f aca="false">I469*J469*(1-K469)</f>
        <v>3149.1</v>
      </c>
      <c r="N469" s="39" t="n">
        <f aca="false">I469*L469</f>
        <v>2750</v>
      </c>
      <c r="O469" s="39" t="n">
        <f aca="false">M469-N469</f>
        <v>399.1</v>
      </c>
      <c r="P469" s="41" t="n">
        <f aca="false">IF(M469=0,0,O469/M469)</f>
        <v>0.126734622590581</v>
      </c>
      <c r="Q469" s="37" t="str">
        <f aca="false">IF(K469=0,"No discount",IF(K469&lt;=0.1,"1-10%",IF(K469&lt;=0.2,"11-20%",IF(K469&lt;=0.3,"21-30%","Above 30%"))))</f>
        <v>1-10%</v>
      </c>
      <c r="R469" s="39" t="n">
        <f aca="false">I469*J469*MAX(0,K469-DiscountCap)</f>
        <v>0</v>
      </c>
    </row>
    <row r="470" customFormat="false" ht="15" hidden="false" customHeight="false" outlineLevel="0" collapsed="false">
      <c r="A470" s="37" t="s">
        <v>614</v>
      </c>
      <c r="B470" s="38" t="n">
        <v>45867</v>
      </c>
      <c r="C470" s="37" t="n">
        <f aca="false">MONTH(B470)</f>
        <v>7</v>
      </c>
      <c r="D470" s="37" t="s">
        <v>144</v>
      </c>
      <c r="E470" s="37" t="s">
        <v>45</v>
      </c>
      <c r="F470" s="37" t="s">
        <v>96</v>
      </c>
      <c r="G470" s="37" t="s">
        <v>90</v>
      </c>
      <c r="H470" s="37" t="s">
        <v>110</v>
      </c>
      <c r="I470" s="37" t="n">
        <v>3</v>
      </c>
      <c r="J470" s="39" t="n">
        <v>1299</v>
      </c>
      <c r="K470" s="40" t="n">
        <v>0.1</v>
      </c>
      <c r="L470" s="39" t="n">
        <f aca="false">VLOOKUP(H470,'Product List'!$A$3:$D$18,4,FALSE())</f>
        <v>1000</v>
      </c>
      <c r="M470" s="39" t="n">
        <f aca="false">I470*J470*(1-K470)</f>
        <v>3507.3</v>
      </c>
      <c r="N470" s="39" t="n">
        <f aca="false">I470*L470</f>
        <v>3000</v>
      </c>
      <c r="O470" s="39" t="n">
        <f aca="false">M470-N470</f>
        <v>507.3</v>
      </c>
      <c r="P470" s="41" t="n">
        <f aca="false">IF(M470=0,0,O470/M470)</f>
        <v>0.144641176973741</v>
      </c>
      <c r="Q470" s="37" t="str">
        <f aca="false">IF(K470=0,"No discount",IF(K470&lt;=0.1,"1-10%",IF(K470&lt;=0.2,"11-20%",IF(K470&lt;=0.3,"21-30%","Above 30%"))))</f>
        <v>1-10%</v>
      </c>
      <c r="R470" s="39" t="n">
        <f aca="false">I470*J470*MAX(0,K470-DiscountCap)</f>
        <v>0</v>
      </c>
    </row>
    <row r="471" customFormat="false" ht="15" hidden="false" customHeight="false" outlineLevel="0" collapsed="false">
      <c r="A471" s="37" t="s">
        <v>615</v>
      </c>
      <c r="B471" s="38" t="n">
        <v>45860</v>
      </c>
      <c r="C471" s="37" t="n">
        <f aca="false">MONTH(B471)</f>
        <v>7</v>
      </c>
      <c r="D471" s="37" t="s">
        <v>169</v>
      </c>
      <c r="E471" s="37" t="s">
        <v>44</v>
      </c>
      <c r="F471" s="37" t="s">
        <v>96</v>
      </c>
      <c r="G471" s="37" t="s">
        <v>90</v>
      </c>
      <c r="H471" s="37" t="s">
        <v>110</v>
      </c>
      <c r="I471" s="37" t="n">
        <v>1</v>
      </c>
      <c r="J471" s="39" t="n">
        <v>1299</v>
      </c>
      <c r="K471" s="40" t="n">
        <v>0.15</v>
      </c>
      <c r="L471" s="39" t="n">
        <f aca="false">VLOOKUP(H471,'Product List'!$A$3:$D$18,4,FALSE())</f>
        <v>1000</v>
      </c>
      <c r="M471" s="39" t="n">
        <f aca="false">I471*J471*(1-K471)</f>
        <v>1104.15</v>
      </c>
      <c r="N471" s="39" t="n">
        <f aca="false">I471*L471</f>
        <v>1000</v>
      </c>
      <c r="O471" s="39" t="n">
        <f aca="false">M471-N471</f>
        <v>104.15</v>
      </c>
      <c r="P471" s="41" t="n">
        <f aca="false">IF(M471=0,0,O471/M471)</f>
        <v>0.0943259520898428</v>
      </c>
      <c r="Q471" s="37" t="str">
        <f aca="false">IF(K471=0,"No discount",IF(K471&lt;=0.1,"1-10%",IF(K471&lt;=0.2,"11-20%",IF(K471&lt;=0.3,"21-30%","Above 30%"))))</f>
        <v>11-20%</v>
      </c>
      <c r="R471" s="39" t="n">
        <f aca="false">I471*J471*MAX(0,K471-DiscountCap)</f>
        <v>0</v>
      </c>
    </row>
    <row r="472" customFormat="false" ht="15" hidden="false" customHeight="false" outlineLevel="0" collapsed="false">
      <c r="A472" s="37" t="s">
        <v>616</v>
      </c>
      <c r="B472" s="38" t="n">
        <v>45869</v>
      </c>
      <c r="C472" s="37" t="n">
        <f aca="false">MONTH(B472)</f>
        <v>7</v>
      </c>
      <c r="D472" s="37" t="s">
        <v>166</v>
      </c>
      <c r="E472" s="37" t="s">
        <v>44</v>
      </c>
      <c r="F472" s="37" t="s">
        <v>97</v>
      </c>
      <c r="G472" s="37" t="s">
        <v>90</v>
      </c>
      <c r="H472" s="37" t="s">
        <v>110</v>
      </c>
      <c r="I472" s="37" t="n">
        <v>1</v>
      </c>
      <c r="J472" s="39" t="n">
        <v>1299</v>
      </c>
      <c r="K472" s="40" t="n">
        <v>0.25</v>
      </c>
      <c r="L472" s="39" t="n">
        <f aca="false">VLOOKUP(H472,'Product List'!$A$3:$D$18,4,FALSE())</f>
        <v>1000</v>
      </c>
      <c r="M472" s="39" t="n">
        <f aca="false">I472*J472*(1-K472)</f>
        <v>974.25</v>
      </c>
      <c r="N472" s="39" t="n">
        <f aca="false">I472*L472</f>
        <v>1000</v>
      </c>
      <c r="O472" s="39" t="n">
        <f aca="false">M472-N472</f>
        <v>-25.75</v>
      </c>
      <c r="P472" s="41" t="n">
        <f aca="false">IF(M472=0,0,O472/M472)</f>
        <v>-0.0264305876315114</v>
      </c>
      <c r="Q472" s="37" t="str">
        <f aca="false">IF(K472=0,"No discount",IF(K472&lt;=0.1,"1-10%",IF(K472&lt;=0.2,"11-20%",IF(K472&lt;=0.3,"21-30%","Above 30%"))))</f>
        <v>21-30%</v>
      </c>
      <c r="R472" s="39" t="n">
        <f aca="false">I472*J472*MAX(0,K472-DiscountCap)</f>
        <v>64.95</v>
      </c>
    </row>
    <row r="473" customFormat="false" ht="15" hidden="false" customHeight="false" outlineLevel="0" collapsed="false">
      <c r="A473" s="37" t="s">
        <v>617</v>
      </c>
      <c r="B473" s="38" t="n">
        <v>45854</v>
      </c>
      <c r="C473" s="37" t="n">
        <f aca="false">MONTH(B473)</f>
        <v>7</v>
      </c>
      <c r="D473" s="37" t="s">
        <v>134</v>
      </c>
      <c r="E473" s="37" t="s">
        <v>45</v>
      </c>
      <c r="F473" s="37" t="s">
        <v>97</v>
      </c>
      <c r="G473" s="37" t="s">
        <v>90</v>
      </c>
      <c r="H473" s="37" t="s">
        <v>110</v>
      </c>
      <c r="I473" s="37" t="n">
        <v>1</v>
      </c>
      <c r="J473" s="39" t="n">
        <v>1299</v>
      </c>
      <c r="K473" s="40" t="n">
        <v>0</v>
      </c>
      <c r="L473" s="39" t="n">
        <f aca="false">VLOOKUP(H473,'Product List'!$A$3:$D$18,4,FALSE())</f>
        <v>1000</v>
      </c>
      <c r="M473" s="39" t="n">
        <f aca="false">I473*J473*(1-K473)</f>
        <v>1299</v>
      </c>
      <c r="N473" s="39" t="n">
        <f aca="false">I473*L473</f>
        <v>1000</v>
      </c>
      <c r="O473" s="39" t="n">
        <f aca="false">M473-N473</f>
        <v>299</v>
      </c>
      <c r="P473" s="41" t="n">
        <f aca="false">IF(M473=0,0,O473/M473)</f>
        <v>0.230177059276366</v>
      </c>
      <c r="Q473" s="37" t="str">
        <f aca="false">IF(K473=0,"No discount",IF(K473&lt;=0.1,"1-10%",IF(K473&lt;=0.2,"11-20%",IF(K473&lt;=0.3,"21-30%","Above 30%"))))</f>
        <v>No discount</v>
      </c>
      <c r="R473" s="39" t="n">
        <f aca="false">I473*J473*MAX(0,K473-DiscountCap)</f>
        <v>0</v>
      </c>
    </row>
    <row r="474" customFormat="false" ht="15" hidden="false" customHeight="false" outlineLevel="0" collapsed="false">
      <c r="A474" s="37" t="s">
        <v>618</v>
      </c>
      <c r="B474" s="38" t="n">
        <v>45848</v>
      </c>
      <c r="C474" s="37" t="n">
        <f aca="false">MONTH(B474)</f>
        <v>7</v>
      </c>
      <c r="D474" s="37" t="s">
        <v>146</v>
      </c>
      <c r="E474" s="37" t="s">
        <v>45</v>
      </c>
      <c r="F474" s="37" t="s">
        <v>96</v>
      </c>
      <c r="G474" s="37" t="s">
        <v>91</v>
      </c>
      <c r="H474" s="37" t="s">
        <v>116</v>
      </c>
      <c r="I474" s="37" t="n">
        <v>1</v>
      </c>
      <c r="J474" s="39" t="n">
        <v>899</v>
      </c>
      <c r="K474" s="40" t="n">
        <v>0.1</v>
      </c>
      <c r="L474" s="39" t="n">
        <f aca="false">VLOOKUP(H474,'Product List'!$A$3:$D$18,4,FALSE())</f>
        <v>430</v>
      </c>
      <c r="M474" s="39" t="n">
        <f aca="false">I474*J474*(1-K474)</f>
        <v>809.1</v>
      </c>
      <c r="N474" s="39" t="n">
        <f aca="false">I474*L474</f>
        <v>430</v>
      </c>
      <c r="O474" s="39" t="n">
        <f aca="false">M474-N474</f>
        <v>379.1</v>
      </c>
      <c r="P474" s="41" t="n">
        <f aca="false">IF(M474=0,0,O474/M474)</f>
        <v>0.468545297243851</v>
      </c>
      <c r="Q474" s="37" t="str">
        <f aca="false">IF(K474=0,"No discount",IF(K474&lt;=0.1,"1-10%",IF(K474&lt;=0.2,"11-20%",IF(K474&lt;=0.3,"21-30%","Above 30%"))))</f>
        <v>1-10%</v>
      </c>
      <c r="R474" s="39" t="n">
        <f aca="false">I474*J474*MAX(0,K474-DiscountCap)</f>
        <v>0</v>
      </c>
    </row>
    <row r="475" customFormat="false" ht="15" hidden="false" customHeight="false" outlineLevel="0" collapsed="false">
      <c r="A475" s="37" t="s">
        <v>619</v>
      </c>
      <c r="B475" s="38" t="n">
        <v>45865</v>
      </c>
      <c r="C475" s="37" t="n">
        <f aca="false">MONTH(B475)</f>
        <v>7</v>
      </c>
      <c r="D475" s="37" t="s">
        <v>134</v>
      </c>
      <c r="E475" s="37" t="s">
        <v>45</v>
      </c>
      <c r="F475" s="37" t="s">
        <v>97</v>
      </c>
      <c r="G475" s="37" t="s">
        <v>93</v>
      </c>
      <c r="H475" s="37" t="s">
        <v>123</v>
      </c>
      <c r="I475" s="37" t="n">
        <v>2</v>
      </c>
      <c r="J475" s="39" t="n">
        <v>1299</v>
      </c>
      <c r="K475" s="40" t="n">
        <v>0.1</v>
      </c>
      <c r="L475" s="39" t="n">
        <f aca="false">VLOOKUP(H475,'Product List'!$A$3:$D$18,4,FALSE())</f>
        <v>700</v>
      </c>
      <c r="M475" s="39" t="n">
        <f aca="false">I475*J475*(1-K475)</f>
        <v>2338.2</v>
      </c>
      <c r="N475" s="39" t="n">
        <f aca="false">I475*L475</f>
        <v>1400</v>
      </c>
      <c r="O475" s="39" t="n">
        <f aca="false">M475-N475</f>
        <v>938.2</v>
      </c>
      <c r="P475" s="41" t="n">
        <f aca="false">IF(M475=0,0,O475/M475)</f>
        <v>0.401248823881618</v>
      </c>
      <c r="Q475" s="37" t="str">
        <f aca="false">IF(K475=0,"No discount",IF(K475&lt;=0.1,"1-10%",IF(K475&lt;=0.2,"11-20%",IF(K475&lt;=0.3,"21-30%","Above 30%"))))</f>
        <v>1-10%</v>
      </c>
      <c r="R475" s="39" t="n">
        <f aca="false">I475*J475*MAX(0,K475-DiscountCap)</f>
        <v>0</v>
      </c>
    </row>
    <row r="476" customFormat="false" ht="15" hidden="false" customHeight="false" outlineLevel="0" collapsed="false">
      <c r="A476" s="37" t="s">
        <v>620</v>
      </c>
      <c r="B476" s="38" t="n">
        <v>45854</v>
      </c>
      <c r="C476" s="37" t="n">
        <f aca="false">MONTH(B476)</f>
        <v>7</v>
      </c>
      <c r="D476" s="37" t="s">
        <v>172</v>
      </c>
      <c r="E476" s="37" t="s">
        <v>46</v>
      </c>
      <c r="F476" s="37" t="s">
        <v>96</v>
      </c>
      <c r="G476" s="37" t="s">
        <v>91</v>
      </c>
      <c r="H476" s="37" t="s">
        <v>119</v>
      </c>
      <c r="I476" s="37" t="n">
        <v>3</v>
      </c>
      <c r="J476" s="39" t="n">
        <v>1099</v>
      </c>
      <c r="K476" s="40" t="n">
        <v>0.25</v>
      </c>
      <c r="L476" s="39" t="n">
        <f aca="false">VLOOKUP(H476,'Product List'!$A$3:$D$18,4,FALSE())</f>
        <v>560</v>
      </c>
      <c r="M476" s="39" t="n">
        <f aca="false">I476*J476*(1-K476)</f>
        <v>2472.75</v>
      </c>
      <c r="N476" s="39" t="n">
        <f aca="false">I476*L476</f>
        <v>1680</v>
      </c>
      <c r="O476" s="39" t="n">
        <f aca="false">M476-N476</f>
        <v>792.75</v>
      </c>
      <c r="P476" s="41" t="n">
        <f aca="false">IF(M476=0,0,O476/M476)</f>
        <v>0.320594479830149</v>
      </c>
      <c r="Q476" s="37" t="str">
        <f aca="false">IF(K476=0,"No discount",IF(K476&lt;=0.1,"1-10%",IF(K476&lt;=0.2,"11-20%",IF(K476&lt;=0.3,"21-30%","Above 30%"))))</f>
        <v>21-30%</v>
      </c>
      <c r="R476" s="39" t="n">
        <f aca="false">I476*J476*MAX(0,K476-DiscountCap)</f>
        <v>164.85</v>
      </c>
    </row>
    <row r="477" customFormat="false" ht="15" hidden="false" customHeight="false" outlineLevel="0" collapsed="false">
      <c r="A477" s="37" t="s">
        <v>621</v>
      </c>
      <c r="B477" s="38" t="n">
        <v>45854</v>
      </c>
      <c r="C477" s="37" t="n">
        <f aca="false">MONTH(B477)</f>
        <v>7</v>
      </c>
      <c r="D477" s="37" t="s">
        <v>134</v>
      </c>
      <c r="E477" s="37" t="s">
        <v>45</v>
      </c>
      <c r="F477" s="37" t="s">
        <v>96</v>
      </c>
      <c r="G477" s="37" t="s">
        <v>90</v>
      </c>
      <c r="H477" s="37" t="s">
        <v>111</v>
      </c>
      <c r="I477" s="37" t="n">
        <v>2</v>
      </c>
      <c r="J477" s="39" t="n">
        <v>2499</v>
      </c>
      <c r="K477" s="40" t="n">
        <v>0.3</v>
      </c>
      <c r="L477" s="39" t="n">
        <f aca="false">VLOOKUP(H477,'Product List'!$A$3:$D$18,4,FALSE())</f>
        <v>1950</v>
      </c>
      <c r="M477" s="39" t="n">
        <f aca="false">I477*J477*(1-K477)</f>
        <v>3498.6</v>
      </c>
      <c r="N477" s="39" t="n">
        <f aca="false">I477*L477</f>
        <v>3900</v>
      </c>
      <c r="O477" s="39" t="n">
        <f aca="false">M477-N477</f>
        <v>-401.4</v>
      </c>
      <c r="P477" s="41" t="n">
        <f aca="false">IF(M477=0,0,O477/M477)</f>
        <v>-0.114731606928486</v>
      </c>
      <c r="Q477" s="37" t="str">
        <f aca="false">IF(K477=0,"No discount",IF(K477&lt;=0.1,"1-10%",IF(K477&lt;=0.2,"11-20%",IF(K477&lt;=0.3,"21-30%","Above 30%"))))</f>
        <v>21-30%</v>
      </c>
      <c r="R477" s="39" t="n">
        <f aca="false">I477*J477*MAX(0,K477-DiscountCap)</f>
        <v>499.8</v>
      </c>
    </row>
    <row r="478" customFormat="false" ht="15" hidden="false" customHeight="false" outlineLevel="0" collapsed="false">
      <c r="A478" s="37" t="s">
        <v>622</v>
      </c>
      <c r="B478" s="38" t="n">
        <v>45869</v>
      </c>
      <c r="C478" s="37" t="n">
        <f aca="false">MONTH(B478)</f>
        <v>7</v>
      </c>
      <c r="D478" s="37" t="s">
        <v>138</v>
      </c>
      <c r="E478" s="37" t="s">
        <v>46</v>
      </c>
      <c r="F478" s="37" t="s">
        <v>96</v>
      </c>
      <c r="G478" s="37" t="s">
        <v>90</v>
      </c>
      <c r="H478" s="37" t="s">
        <v>109</v>
      </c>
      <c r="I478" s="37" t="n">
        <v>1</v>
      </c>
      <c r="J478" s="39" t="n">
        <v>3499</v>
      </c>
      <c r="K478" s="40" t="n">
        <v>0.05</v>
      </c>
      <c r="L478" s="39" t="n">
        <f aca="false">VLOOKUP(H478,'Product List'!$A$3:$D$18,4,FALSE())</f>
        <v>2750</v>
      </c>
      <c r="M478" s="39" t="n">
        <f aca="false">I478*J478*(1-K478)</f>
        <v>3324.05</v>
      </c>
      <c r="N478" s="39" t="n">
        <f aca="false">I478*L478</f>
        <v>2750</v>
      </c>
      <c r="O478" s="39" t="n">
        <f aca="false">M478-N478</f>
        <v>574.05</v>
      </c>
      <c r="P478" s="41" t="n">
        <f aca="false">IF(M478=0,0,O478/M478)</f>
        <v>0.172695958243709</v>
      </c>
      <c r="Q478" s="37" t="str">
        <f aca="false">IF(K478=0,"No discount",IF(K478&lt;=0.1,"1-10%",IF(K478&lt;=0.2,"11-20%",IF(K478&lt;=0.3,"21-30%","Above 30%"))))</f>
        <v>1-10%</v>
      </c>
      <c r="R478" s="39" t="n">
        <f aca="false">I478*J478*MAX(0,K478-DiscountCap)</f>
        <v>0</v>
      </c>
    </row>
    <row r="479" customFormat="false" ht="15" hidden="false" customHeight="false" outlineLevel="0" collapsed="false">
      <c r="A479" s="37" t="s">
        <v>623</v>
      </c>
      <c r="B479" s="38" t="n">
        <v>45865</v>
      </c>
      <c r="C479" s="37" t="n">
        <f aca="false">MONTH(B479)</f>
        <v>7</v>
      </c>
      <c r="D479" s="37" t="s">
        <v>136</v>
      </c>
      <c r="E479" s="37" t="s">
        <v>47</v>
      </c>
      <c r="F479" s="37" t="s">
        <v>97</v>
      </c>
      <c r="G479" s="37" t="s">
        <v>90</v>
      </c>
      <c r="H479" s="37" t="s">
        <v>111</v>
      </c>
      <c r="I479" s="37" t="n">
        <v>2</v>
      </c>
      <c r="J479" s="39" t="n">
        <v>2499</v>
      </c>
      <c r="K479" s="40" t="n">
        <v>0</v>
      </c>
      <c r="L479" s="39" t="n">
        <f aca="false">VLOOKUP(H479,'Product List'!$A$3:$D$18,4,FALSE())</f>
        <v>1950</v>
      </c>
      <c r="M479" s="39" t="n">
        <f aca="false">I479*J479*(1-K479)</f>
        <v>4998</v>
      </c>
      <c r="N479" s="39" t="n">
        <f aca="false">I479*L479</f>
        <v>3900</v>
      </c>
      <c r="O479" s="39" t="n">
        <f aca="false">M479-N479</f>
        <v>1098</v>
      </c>
      <c r="P479" s="41" t="n">
        <f aca="false">IF(M479=0,0,O479/M479)</f>
        <v>0.21968787515006</v>
      </c>
      <c r="Q479" s="37" t="str">
        <f aca="false">IF(K479=0,"No discount",IF(K479&lt;=0.1,"1-10%",IF(K479&lt;=0.2,"11-20%",IF(K479&lt;=0.3,"21-30%","Above 30%"))))</f>
        <v>No discount</v>
      </c>
      <c r="R479" s="39" t="n">
        <f aca="false">I479*J479*MAX(0,K479-DiscountCap)</f>
        <v>0</v>
      </c>
    </row>
    <row r="480" customFormat="false" ht="15" hidden="false" customHeight="false" outlineLevel="0" collapsed="false">
      <c r="A480" s="37" t="s">
        <v>624</v>
      </c>
      <c r="B480" s="38" t="n">
        <v>45845</v>
      </c>
      <c r="C480" s="37" t="n">
        <f aca="false">MONTH(B480)</f>
        <v>7</v>
      </c>
      <c r="D480" s="37" t="s">
        <v>166</v>
      </c>
      <c r="E480" s="37" t="s">
        <v>44</v>
      </c>
      <c r="F480" s="37" t="s">
        <v>97</v>
      </c>
      <c r="G480" s="37" t="s">
        <v>91</v>
      </c>
      <c r="H480" s="37" t="s">
        <v>118</v>
      </c>
      <c r="I480" s="37" t="n">
        <v>1</v>
      </c>
      <c r="J480" s="39" t="n">
        <v>2299</v>
      </c>
      <c r="K480" s="40" t="n">
        <v>0</v>
      </c>
      <c r="L480" s="39" t="n">
        <f aca="false">VLOOKUP(H480,'Product List'!$A$3:$D$18,4,FALSE())</f>
        <v>1300</v>
      </c>
      <c r="M480" s="39" t="n">
        <f aca="false">I480*J480*(1-K480)</f>
        <v>2299</v>
      </c>
      <c r="N480" s="39" t="n">
        <f aca="false">I480*L480</f>
        <v>1300</v>
      </c>
      <c r="O480" s="39" t="n">
        <f aca="false">M480-N480</f>
        <v>999</v>
      </c>
      <c r="P480" s="41" t="n">
        <f aca="false">IF(M480=0,0,O480/M480)</f>
        <v>0.434536755110918</v>
      </c>
      <c r="Q480" s="37" t="str">
        <f aca="false">IF(K480=0,"No discount",IF(K480&lt;=0.1,"1-10%",IF(K480&lt;=0.2,"11-20%",IF(K480&lt;=0.3,"21-30%","Above 30%"))))</f>
        <v>No discount</v>
      </c>
      <c r="R480" s="39" t="n">
        <f aca="false">I480*J480*MAX(0,K480-DiscountCap)</f>
        <v>0</v>
      </c>
    </row>
    <row r="481" customFormat="false" ht="15" hidden="false" customHeight="false" outlineLevel="0" collapsed="false">
      <c r="A481" s="37" t="s">
        <v>625</v>
      </c>
      <c r="B481" s="38" t="n">
        <v>45867</v>
      </c>
      <c r="C481" s="37" t="n">
        <f aca="false">MONTH(B481)</f>
        <v>7</v>
      </c>
      <c r="D481" s="37" t="s">
        <v>169</v>
      </c>
      <c r="E481" s="37" t="s">
        <v>44</v>
      </c>
      <c r="F481" s="37" t="s">
        <v>96</v>
      </c>
      <c r="G481" s="37" t="s">
        <v>90</v>
      </c>
      <c r="H481" s="37" t="s">
        <v>111</v>
      </c>
      <c r="I481" s="37" t="n">
        <v>5</v>
      </c>
      <c r="J481" s="39" t="n">
        <v>2499</v>
      </c>
      <c r="K481" s="40" t="n">
        <v>0.1</v>
      </c>
      <c r="L481" s="39" t="n">
        <f aca="false">VLOOKUP(H481,'Product List'!$A$3:$D$18,4,FALSE())</f>
        <v>1950</v>
      </c>
      <c r="M481" s="39" t="n">
        <f aca="false">I481*J481*(1-K481)</f>
        <v>11245.5</v>
      </c>
      <c r="N481" s="39" t="n">
        <f aca="false">I481*L481</f>
        <v>9750</v>
      </c>
      <c r="O481" s="39" t="n">
        <f aca="false">M481-N481</f>
        <v>1495.5</v>
      </c>
      <c r="P481" s="41" t="n">
        <f aca="false">IF(M481=0,0,O481/M481)</f>
        <v>0.132986527944511</v>
      </c>
      <c r="Q481" s="37" t="str">
        <f aca="false">IF(K481=0,"No discount",IF(K481&lt;=0.1,"1-10%",IF(K481&lt;=0.2,"11-20%",IF(K481&lt;=0.3,"21-30%","Above 30%"))))</f>
        <v>1-10%</v>
      </c>
      <c r="R481" s="39" t="n">
        <f aca="false">I481*J481*MAX(0,K481-DiscountCap)</f>
        <v>0</v>
      </c>
    </row>
    <row r="482" customFormat="false" ht="15" hidden="false" customHeight="false" outlineLevel="0" collapsed="false">
      <c r="A482" s="37" t="s">
        <v>626</v>
      </c>
      <c r="B482" s="38" t="n">
        <v>45854</v>
      </c>
      <c r="C482" s="37" t="n">
        <f aca="false">MONTH(B482)</f>
        <v>7</v>
      </c>
      <c r="D482" s="37" t="s">
        <v>136</v>
      </c>
      <c r="E482" s="37" t="s">
        <v>47</v>
      </c>
      <c r="F482" s="37" t="s">
        <v>96</v>
      </c>
      <c r="G482" s="37" t="s">
        <v>90</v>
      </c>
      <c r="H482" s="37" t="s">
        <v>108</v>
      </c>
      <c r="I482" s="37" t="n">
        <v>2</v>
      </c>
      <c r="J482" s="39" t="n">
        <v>1999</v>
      </c>
      <c r="K482" s="40" t="n">
        <v>0.1</v>
      </c>
      <c r="L482" s="39" t="n">
        <f aca="false">VLOOKUP(H482,'Product List'!$A$3:$D$18,4,FALSE())</f>
        <v>1560</v>
      </c>
      <c r="M482" s="39" t="n">
        <f aca="false">I482*J482*(1-K482)</f>
        <v>3598.2</v>
      </c>
      <c r="N482" s="39" t="n">
        <f aca="false">I482*L482</f>
        <v>3120</v>
      </c>
      <c r="O482" s="39" t="n">
        <f aca="false">M482-N482</f>
        <v>478.2</v>
      </c>
      <c r="P482" s="41" t="n">
        <f aca="false">IF(M482=0,0,O482/M482)</f>
        <v>0.132899783224946</v>
      </c>
      <c r="Q482" s="37" t="str">
        <f aca="false">IF(K482=0,"No discount",IF(K482&lt;=0.1,"1-10%",IF(K482&lt;=0.2,"11-20%",IF(K482&lt;=0.3,"21-30%","Above 30%"))))</f>
        <v>1-10%</v>
      </c>
      <c r="R482" s="39" t="n">
        <f aca="false">I482*J482*MAX(0,K482-DiscountCap)</f>
        <v>0</v>
      </c>
    </row>
    <row r="483" customFormat="false" ht="15" hidden="false" customHeight="false" outlineLevel="0" collapsed="false">
      <c r="A483" s="37" t="s">
        <v>627</v>
      </c>
      <c r="B483" s="38" t="n">
        <v>45846</v>
      </c>
      <c r="C483" s="37" t="n">
        <f aca="false">MONTH(B483)</f>
        <v>7</v>
      </c>
      <c r="D483" s="37" t="s">
        <v>154</v>
      </c>
      <c r="E483" s="37" t="s">
        <v>47</v>
      </c>
      <c r="F483" s="37" t="s">
        <v>96</v>
      </c>
      <c r="G483" s="37" t="s">
        <v>92</v>
      </c>
      <c r="H483" s="37" t="s">
        <v>114</v>
      </c>
      <c r="I483" s="37" t="n">
        <v>3</v>
      </c>
      <c r="J483" s="39" t="n">
        <v>1199</v>
      </c>
      <c r="K483" s="40" t="n">
        <v>0.1</v>
      </c>
      <c r="L483" s="39" t="n">
        <f aca="false">VLOOKUP(H483,'Product List'!$A$3:$D$18,4,FALSE())</f>
        <v>780</v>
      </c>
      <c r="M483" s="39" t="n">
        <f aca="false">I483*J483*(1-K483)</f>
        <v>3237.3</v>
      </c>
      <c r="N483" s="39" t="n">
        <f aca="false">I483*L483</f>
        <v>2340</v>
      </c>
      <c r="O483" s="39" t="n">
        <f aca="false">M483-N483</f>
        <v>897.3</v>
      </c>
      <c r="P483" s="41" t="n">
        <f aca="false">IF(M483=0,0,O483/M483)</f>
        <v>0.277175423964415</v>
      </c>
      <c r="Q483" s="37" t="str">
        <f aca="false">IF(K483=0,"No discount",IF(K483&lt;=0.1,"1-10%",IF(K483&lt;=0.2,"11-20%",IF(K483&lt;=0.3,"21-30%","Above 30%"))))</f>
        <v>1-10%</v>
      </c>
      <c r="R483" s="39" t="n">
        <f aca="false">I483*J483*MAX(0,K483-DiscountCap)</f>
        <v>0</v>
      </c>
    </row>
    <row r="484" customFormat="false" ht="15" hidden="false" customHeight="false" outlineLevel="0" collapsed="false">
      <c r="A484" s="37" t="s">
        <v>628</v>
      </c>
      <c r="B484" s="38" t="n">
        <v>45867</v>
      </c>
      <c r="C484" s="37" t="n">
        <f aca="false">MONTH(B484)</f>
        <v>7</v>
      </c>
      <c r="D484" s="37" t="s">
        <v>160</v>
      </c>
      <c r="E484" s="37" t="s">
        <v>46</v>
      </c>
      <c r="F484" s="37" t="s">
        <v>96</v>
      </c>
      <c r="G484" s="37" t="s">
        <v>92</v>
      </c>
      <c r="H484" s="37" t="s">
        <v>114</v>
      </c>
      <c r="I484" s="37" t="n">
        <v>1</v>
      </c>
      <c r="J484" s="39" t="n">
        <v>1199</v>
      </c>
      <c r="K484" s="40" t="n">
        <v>0.2</v>
      </c>
      <c r="L484" s="39" t="n">
        <f aca="false">VLOOKUP(H484,'Product List'!$A$3:$D$18,4,FALSE())</f>
        <v>780</v>
      </c>
      <c r="M484" s="39" t="n">
        <f aca="false">I484*J484*(1-K484)</f>
        <v>959.2</v>
      </c>
      <c r="N484" s="39" t="n">
        <f aca="false">I484*L484</f>
        <v>780</v>
      </c>
      <c r="O484" s="39" t="n">
        <f aca="false">M484-N484</f>
        <v>179.2</v>
      </c>
      <c r="P484" s="41" t="n">
        <f aca="false">IF(M484=0,0,O484/M484)</f>
        <v>0.186822351959967</v>
      </c>
      <c r="Q484" s="37" t="str">
        <f aca="false">IF(K484=0,"No discount",IF(K484&lt;=0.1,"1-10%",IF(K484&lt;=0.2,"11-20%",IF(K484&lt;=0.3,"21-30%","Above 30%"))))</f>
        <v>11-20%</v>
      </c>
      <c r="R484" s="39" t="n">
        <f aca="false">I484*J484*MAX(0,K484-DiscountCap)</f>
        <v>0</v>
      </c>
    </row>
    <row r="485" customFormat="false" ht="15" hidden="false" customHeight="false" outlineLevel="0" collapsed="false">
      <c r="A485" s="37" t="s">
        <v>629</v>
      </c>
      <c r="B485" s="38" t="n">
        <v>45860</v>
      </c>
      <c r="C485" s="37" t="n">
        <f aca="false">MONTH(B485)</f>
        <v>7</v>
      </c>
      <c r="D485" s="37" t="s">
        <v>154</v>
      </c>
      <c r="E485" s="37" t="s">
        <v>47</v>
      </c>
      <c r="F485" s="37" t="s">
        <v>96</v>
      </c>
      <c r="G485" s="37" t="s">
        <v>90</v>
      </c>
      <c r="H485" s="37" t="s">
        <v>108</v>
      </c>
      <c r="I485" s="37" t="n">
        <v>2</v>
      </c>
      <c r="J485" s="39" t="n">
        <v>1999</v>
      </c>
      <c r="K485" s="40" t="n">
        <v>0.25</v>
      </c>
      <c r="L485" s="39" t="n">
        <f aca="false">VLOOKUP(H485,'Product List'!$A$3:$D$18,4,FALSE())</f>
        <v>1560</v>
      </c>
      <c r="M485" s="39" t="n">
        <f aca="false">I485*J485*(1-K485)</f>
        <v>2998.5</v>
      </c>
      <c r="N485" s="39" t="n">
        <f aca="false">I485*L485</f>
        <v>3120</v>
      </c>
      <c r="O485" s="39" t="n">
        <f aca="false">M485-N485</f>
        <v>-121.5</v>
      </c>
      <c r="P485" s="41" t="n">
        <f aca="false">IF(M485=0,0,O485/M485)</f>
        <v>-0.040520260130065</v>
      </c>
      <c r="Q485" s="37" t="str">
        <f aca="false">IF(K485=0,"No discount",IF(K485&lt;=0.1,"1-10%",IF(K485&lt;=0.2,"11-20%",IF(K485&lt;=0.3,"21-30%","Above 30%"))))</f>
        <v>21-30%</v>
      </c>
      <c r="R485" s="39" t="n">
        <f aca="false">I485*J485*MAX(0,K485-DiscountCap)</f>
        <v>199.9</v>
      </c>
    </row>
    <row r="486" customFormat="false" ht="15" hidden="false" customHeight="false" outlineLevel="0" collapsed="false">
      <c r="A486" s="37" t="s">
        <v>630</v>
      </c>
      <c r="B486" s="38" t="n">
        <v>45853</v>
      </c>
      <c r="C486" s="37" t="n">
        <f aca="false">MONTH(B486)</f>
        <v>7</v>
      </c>
      <c r="D486" s="37" t="s">
        <v>136</v>
      </c>
      <c r="E486" s="37" t="s">
        <v>47</v>
      </c>
      <c r="F486" s="37" t="s">
        <v>96</v>
      </c>
      <c r="G486" s="37" t="s">
        <v>91</v>
      </c>
      <c r="H486" s="37" t="s">
        <v>118</v>
      </c>
      <c r="I486" s="37" t="n">
        <v>1</v>
      </c>
      <c r="J486" s="39" t="n">
        <v>2299</v>
      </c>
      <c r="K486" s="40" t="n">
        <v>0.05</v>
      </c>
      <c r="L486" s="39" t="n">
        <f aca="false">VLOOKUP(H486,'Product List'!$A$3:$D$18,4,FALSE())</f>
        <v>1300</v>
      </c>
      <c r="M486" s="39" t="n">
        <f aca="false">I486*J486*(1-K486)</f>
        <v>2184.05</v>
      </c>
      <c r="N486" s="39" t="n">
        <f aca="false">I486*L486</f>
        <v>1300</v>
      </c>
      <c r="O486" s="39" t="n">
        <f aca="false">M486-N486</f>
        <v>884.05</v>
      </c>
      <c r="P486" s="41" t="n">
        <f aca="false">IF(M486=0,0,O486/M486)</f>
        <v>0.404775531695703</v>
      </c>
      <c r="Q486" s="37" t="str">
        <f aca="false">IF(K486=0,"No discount",IF(K486&lt;=0.1,"1-10%",IF(K486&lt;=0.2,"11-20%",IF(K486&lt;=0.3,"21-30%","Above 30%"))))</f>
        <v>1-10%</v>
      </c>
      <c r="R486" s="39" t="n">
        <f aca="false">I486*J486*MAX(0,K486-DiscountCap)</f>
        <v>0</v>
      </c>
    </row>
    <row r="487" customFormat="false" ht="15" hidden="false" customHeight="false" outlineLevel="0" collapsed="false">
      <c r="A487" s="37" t="s">
        <v>631</v>
      </c>
      <c r="B487" s="38" t="n">
        <v>45855</v>
      </c>
      <c r="C487" s="37" t="n">
        <f aca="false">MONTH(B487)</f>
        <v>7</v>
      </c>
      <c r="D487" s="37" t="s">
        <v>134</v>
      </c>
      <c r="E487" s="37" t="s">
        <v>45</v>
      </c>
      <c r="F487" s="37" t="s">
        <v>97</v>
      </c>
      <c r="G487" s="37" t="s">
        <v>90</v>
      </c>
      <c r="H487" s="37" t="s">
        <v>108</v>
      </c>
      <c r="I487" s="37" t="n">
        <v>1</v>
      </c>
      <c r="J487" s="39" t="n">
        <v>1999</v>
      </c>
      <c r="K487" s="40" t="n">
        <v>0</v>
      </c>
      <c r="L487" s="39" t="n">
        <f aca="false">VLOOKUP(H487,'Product List'!$A$3:$D$18,4,FALSE())</f>
        <v>1560</v>
      </c>
      <c r="M487" s="39" t="n">
        <f aca="false">I487*J487*(1-K487)</f>
        <v>1999</v>
      </c>
      <c r="N487" s="39" t="n">
        <f aca="false">I487*L487</f>
        <v>1560</v>
      </c>
      <c r="O487" s="39" t="n">
        <f aca="false">M487-N487</f>
        <v>439</v>
      </c>
      <c r="P487" s="41" t="n">
        <f aca="false">IF(M487=0,0,O487/M487)</f>
        <v>0.219609804902451</v>
      </c>
      <c r="Q487" s="37" t="str">
        <f aca="false">IF(K487=0,"No discount",IF(K487&lt;=0.1,"1-10%",IF(K487&lt;=0.2,"11-20%",IF(K487&lt;=0.3,"21-30%","Above 30%"))))</f>
        <v>No discount</v>
      </c>
      <c r="R487" s="39" t="n">
        <f aca="false">I487*J487*MAX(0,K487-DiscountCap)</f>
        <v>0</v>
      </c>
    </row>
    <row r="488" customFormat="false" ht="15" hidden="false" customHeight="false" outlineLevel="0" collapsed="false">
      <c r="A488" s="37" t="s">
        <v>632</v>
      </c>
      <c r="B488" s="38" t="n">
        <v>45845</v>
      </c>
      <c r="C488" s="37" t="n">
        <f aca="false">MONTH(B488)</f>
        <v>7</v>
      </c>
      <c r="D488" s="37" t="s">
        <v>166</v>
      </c>
      <c r="E488" s="37" t="s">
        <v>44</v>
      </c>
      <c r="F488" s="37" t="s">
        <v>96</v>
      </c>
      <c r="G488" s="37" t="s">
        <v>90</v>
      </c>
      <c r="H488" s="37" t="s">
        <v>111</v>
      </c>
      <c r="I488" s="37" t="n">
        <v>2</v>
      </c>
      <c r="J488" s="39" t="n">
        <v>2499</v>
      </c>
      <c r="K488" s="40" t="n">
        <v>0.3</v>
      </c>
      <c r="L488" s="39" t="n">
        <f aca="false">VLOOKUP(H488,'Product List'!$A$3:$D$18,4,FALSE())</f>
        <v>1950</v>
      </c>
      <c r="M488" s="39" t="n">
        <f aca="false">I488*J488*(1-K488)</f>
        <v>3498.6</v>
      </c>
      <c r="N488" s="39" t="n">
        <f aca="false">I488*L488</f>
        <v>3900</v>
      </c>
      <c r="O488" s="39" t="n">
        <f aca="false">M488-N488</f>
        <v>-401.4</v>
      </c>
      <c r="P488" s="41" t="n">
        <f aca="false">IF(M488=0,0,O488/M488)</f>
        <v>-0.114731606928486</v>
      </c>
      <c r="Q488" s="37" t="str">
        <f aca="false">IF(K488=0,"No discount",IF(K488&lt;=0.1,"1-10%",IF(K488&lt;=0.2,"11-20%",IF(K488&lt;=0.3,"21-30%","Above 30%"))))</f>
        <v>21-30%</v>
      </c>
      <c r="R488" s="39" t="n">
        <f aca="false">I488*J488*MAX(0,K488-DiscountCap)</f>
        <v>499.8</v>
      </c>
    </row>
    <row r="489" customFormat="false" ht="15" hidden="false" customHeight="false" outlineLevel="0" collapsed="false">
      <c r="A489" s="37" t="s">
        <v>633</v>
      </c>
      <c r="B489" s="38" t="n">
        <v>45855</v>
      </c>
      <c r="C489" s="37" t="n">
        <f aca="false">MONTH(B489)</f>
        <v>7</v>
      </c>
      <c r="D489" s="37" t="s">
        <v>142</v>
      </c>
      <c r="E489" s="37" t="s">
        <v>47</v>
      </c>
      <c r="F489" s="37" t="s">
        <v>96</v>
      </c>
      <c r="G489" s="37" t="s">
        <v>90</v>
      </c>
      <c r="H489" s="37" t="s">
        <v>108</v>
      </c>
      <c r="I489" s="37" t="n">
        <v>2</v>
      </c>
      <c r="J489" s="39" t="n">
        <v>1999</v>
      </c>
      <c r="K489" s="40" t="n">
        <v>0.25</v>
      </c>
      <c r="L489" s="39" t="n">
        <f aca="false">VLOOKUP(H489,'Product List'!$A$3:$D$18,4,FALSE())</f>
        <v>1560</v>
      </c>
      <c r="M489" s="39" t="n">
        <f aca="false">I489*J489*(1-K489)</f>
        <v>2998.5</v>
      </c>
      <c r="N489" s="39" t="n">
        <f aca="false">I489*L489</f>
        <v>3120</v>
      </c>
      <c r="O489" s="39" t="n">
        <f aca="false">M489-N489</f>
        <v>-121.5</v>
      </c>
      <c r="P489" s="41" t="n">
        <f aca="false">IF(M489=0,0,O489/M489)</f>
        <v>-0.040520260130065</v>
      </c>
      <c r="Q489" s="37" t="str">
        <f aca="false">IF(K489=0,"No discount",IF(K489&lt;=0.1,"1-10%",IF(K489&lt;=0.2,"11-20%",IF(K489&lt;=0.3,"21-30%","Above 30%"))))</f>
        <v>21-30%</v>
      </c>
      <c r="R489" s="39" t="n">
        <f aca="false">I489*J489*MAX(0,K489-DiscountCap)</f>
        <v>199.9</v>
      </c>
    </row>
    <row r="490" customFormat="false" ht="15" hidden="false" customHeight="false" outlineLevel="0" collapsed="false">
      <c r="A490" s="37" t="s">
        <v>634</v>
      </c>
      <c r="B490" s="38" t="n">
        <v>45868</v>
      </c>
      <c r="C490" s="37" t="n">
        <f aca="false">MONTH(B490)</f>
        <v>7</v>
      </c>
      <c r="D490" s="37" t="s">
        <v>134</v>
      </c>
      <c r="E490" s="37" t="s">
        <v>45</v>
      </c>
      <c r="F490" s="37" t="s">
        <v>96</v>
      </c>
      <c r="G490" s="37" t="s">
        <v>91</v>
      </c>
      <c r="H490" s="37" t="s">
        <v>117</v>
      </c>
      <c r="I490" s="37" t="n">
        <v>2</v>
      </c>
      <c r="J490" s="39" t="n">
        <v>1499</v>
      </c>
      <c r="K490" s="40" t="n">
        <v>0.2</v>
      </c>
      <c r="L490" s="39" t="n">
        <f aca="false">VLOOKUP(H490,'Product List'!$A$3:$D$18,4,FALSE())</f>
        <v>780</v>
      </c>
      <c r="M490" s="39" t="n">
        <f aca="false">I490*J490*(1-K490)</f>
        <v>2398.4</v>
      </c>
      <c r="N490" s="39" t="n">
        <f aca="false">I490*L490</f>
        <v>1560</v>
      </c>
      <c r="O490" s="39" t="n">
        <f aca="false">M490-N490</f>
        <v>838.4</v>
      </c>
      <c r="P490" s="41" t="n">
        <f aca="false">IF(M490=0,0,O490/M490)</f>
        <v>0.349566377585057</v>
      </c>
      <c r="Q490" s="37" t="str">
        <f aca="false">IF(K490=0,"No discount",IF(K490&lt;=0.1,"1-10%",IF(K490&lt;=0.2,"11-20%",IF(K490&lt;=0.3,"21-30%","Above 30%"))))</f>
        <v>11-20%</v>
      </c>
      <c r="R490" s="39" t="n">
        <f aca="false">I490*J490*MAX(0,K490-DiscountCap)</f>
        <v>0</v>
      </c>
    </row>
    <row r="491" customFormat="false" ht="15" hidden="false" customHeight="false" outlineLevel="0" collapsed="false">
      <c r="A491" s="37" t="s">
        <v>635</v>
      </c>
      <c r="B491" s="38" t="n">
        <v>45864</v>
      </c>
      <c r="C491" s="37" t="n">
        <f aca="false">MONTH(B491)</f>
        <v>7</v>
      </c>
      <c r="D491" s="37" t="s">
        <v>154</v>
      </c>
      <c r="E491" s="37" t="s">
        <v>47</v>
      </c>
      <c r="F491" s="37" t="s">
        <v>97</v>
      </c>
      <c r="G491" s="37" t="s">
        <v>91</v>
      </c>
      <c r="H491" s="37" t="s">
        <v>119</v>
      </c>
      <c r="I491" s="37" t="n">
        <v>1</v>
      </c>
      <c r="J491" s="39" t="n">
        <v>1099</v>
      </c>
      <c r="K491" s="40" t="n">
        <v>0</v>
      </c>
      <c r="L491" s="39" t="n">
        <f aca="false">VLOOKUP(H491,'Product List'!$A$3:$D$18,4,FALSE())</f>
        <v>560</v>
      </c>
      <c r="M491" s="39" t="n">
        <f aca="false">I491*J491*(1-K491)</f>
        <v>1099</v>
      </c>
      <c r="N491" s="39" t="n">
        <f aca="false">I491*L491</f>
        <v>560</v>
      </c>
      <c r="O491" s="39" t="n">
        <f aca="false">M491-N491</f>
        <v>539</v>
      </c>
      <c r="P491" s="41" t="n">
        <f aca="false">IF(M491=0,0,O491/M491)</f>
        <v>0.490445859872611</v>
      </c>
      <c r="Q491" s="37" t="str">
        <f aca="false">IF(K491=0,"No discount",IF(K491&lt;=0.1,"1-10%",IF(K491&lt;=0.2,"11-20%",IF(K491&lt;=0.3,"21-30%","Above 30%"))))</f>
        <v>No discount</v>
      </c>
      <c r="R491" s="39" t="n">
        <f aca="false">I491*J491*MAX(0,K491-DiscountCap)</f>
        <v>0</v>
      </c>
    </row>
    <row r="492" customFormat="false" ht="15" hidden="false" customHeight="false" outlineLevel="0" collapsed="false">
      <c r="A492" s="37" t="s">
        <v>636</v>
      </c>
      <c r="B492" s="38" t="n">
        <v>45853</v>
      </c>
      <c r="C492" s="37" t="n">
        <f aca="false">MONTH(B492)</f>
        <v>7</v>
      </c>
      <c r="D492" s="37" t="s">
        <v>169</v>
      </c>
      <c r="E492" s="37" t="s">
        <v>44</v>
      </c>
      <c r="F492" s="37" t="s">
        <v>97</v>
      </c>
      <c r="G492" s="37" t="s">
        <v>92</v>
      </c>
      <c r="H492" s="37" t="s">
        <v>115</v>
      </c>
      <c r="I492" s="37" t="n">
        <v>2</v>
      </c>
      <c r="J492" s="39" t="n">
        <v>1799</v>
      </c>
      <c r="K492" s="40" t="n">
        <v>0</v>
      </c>
      <c r="L492" s="39" t="n">
        <f aca="false">VLOOKUP(H492,'Product List'!$A$3:$D$18,4,FALSE())</f>
        <v>1150</v>
      </c>
      <c r="M492" s="39" t="n">
        <f aca="false">I492*J492*(1-K492)</f>
        <v>3598</v>
      </c>
      <c r="N492" s="39" t="n">
        <f aca="false">I492*L492</f>
        <v>2300</v>
      </c>
      <c r="O492" s="39" t="n">
        <f aca="false">M492-N492</f>
        <v>1298</v>
      </c>
      <c r="P492" s="41" t="n">
        <f aca="false">IF(M492=0,0,O492/M492)</f>
        <v>0.360755975541968</v>
      </c>
      <c r="Q492" s="37" t="str">
        <f aca="false">IF(K492=0,"No discount",IF(K492&lt;=0.1,"1-10%",IF(K492&lt;=0.2,"11-20%",IF(K492&lt;=0.3,"21-30%","Above 30%"))))</f>
        <v>No discount</v>
      </c>
      <c r="R492" s="39" t="n">
        <f aca="false">I492*J492*MAX(0,K492-DiscountCap)</f>
        <v>0</v>
      </c>
    </row>
    <row r="493" customFormat="false" ht="15" hidden="false" customHeight="false" outlineLevel="0" collapsed="false">
      <c r="A493" s="37" t="s">
        <v>637</v>
      </c>
      <c r="B493" s="38" t="n">
        <v>45850</v>
      </c>
      <c r="C493" s="37" t="n">
        <f aca="false">MONTH(B493)</f>
        <v>7</v>
      </c>
      <c r="D493" s="37" t="s">
        <v>136</v>
      </c>
      <c r="E493" s="37" t="s">
        <v>47</v>
      </c>
      <c r="F493" s="37" t="s">
        <v>97</v>
      </c>
      <c r="G493" s="37" t="s">
        <v>91</v>
      </c>
      <c r="H493" s="37" t="s">
        <v>117</v>
      </c>
      <c r="I493" s="37" t="n">
        <v>2</v>
      </c>
      <c r="J493" s="39" t="n">
        <v>1499</v>
      </c>
      <c r="K493" s="40" t="n">
        <v>0.1</v>
      </c>
      <c r="L493" s="39" t="n">
        <f aca="false">VLOOKUP(H493,'Product List'!$A$3:$D$18,4,FALSE())</f>
        <v>780</v>
      </c>
      <c r="M493" s="39" t="n">
        <f aca="false">I493*J493*(1-K493)</f>
        <v>2698.2</v>
      </c>
      <c r="N493" s="39" t="n">
        <f aca="false">I493*L493</f>
        <v>1560</v>
      </c>
      <c r="O493" s="39" t="n">
        <f aca="false">M493-N493</f>
        <v>1138.2</v>
      </c>
      <c r="P493" s="41" t="n">
        <f aca="false">IF(M493=0,0,O493/M493)</f>
        <v>0.421836780075606</v>
      </c>
      <c r="Q493" s="37" t="str">
        <f aca="false">IF(K493=0,"No discount",IF(K493&lt;=0.1,"1-10%",IF(K493&lt;=0.2,"11-20%",IF(K493&lt;=0.3,"21-30%","Above 30%"))))</f>
        <v>1-10%</v>
      </c>
      <c r="R493" s="39" t="n">
        <f aca="false">I493*J493*MAX(0,K493-DiscountCap)</f>
        <v>0</v>
      </c>
    </row>
    <row r="494" customFormat="false" ht="15" hidden="false" customHeight="false" outlineLevel="0" collapsed="false">
      <c r="A494" s="37" t="s">
        <v>638</v>
      </c>
      <c r="B494" s="38" t="n">
        <v>45852</v>
      </c>
      <c r="C494" s="37" t="n">
        <f aca="false">MONTH(B494)</f>
        <v>7</v>
      </c>
      <c r="D494" s="37" t="s">
        <v>146</v>
      </c>
      <c r="E494" s="37" t="s">
        <v>45</v>
      </c>
      <c r="F494" s="37" t="s">
        <v>96</v>
      </c>
      <c r="G494" s="37" t="s">
        <v>92</v>
      </c>
      <c r="H494" s="37" t="s">
        <v>115</v>
      </c>
      <c r="I494" s="37" t="n">
        <v>1</v>
      </c>
      <c r="J494" s="39" t="n">
        <v>1799</v>
      </c>
      <c r="K494" s="40" t="n">
        <v>0.1</v>
      </c>
      <c r="L494" s="39" t="n">
        <f aca="false">VLOOKUP(H494,'Product List'!$A$3:$D$18,4,FALSE())</f>
        <v>1150</v>
      </c>
      <c r="M494" s="39" t="n">
        <f aca="false">I494*J494*(1-K494)</f>
        <v>1619.1</v>
      </c>
      <c r="N494" s="39" t="n">
        <f aca="false">I494*L494</f>
        <v>1150</v>
      </c>
      <c r="O494" s="39" t="n">
        <f aca="false">M494-N494</f>
        <v>469.1</v>
      </c>
      <c r="P494" s="41" t="n">
        <f aca="false">IF(M494=0,0,O494/M494)</f>
        <v>0.289728861713298</v>
      </c>
      <c r="Q494" s="37" t="str">
        <f aca="false">IF(K494=0,"No discount",IF(K494&lt;=0.1,"1-10%",IF(K494&lt;=0.2,"11-20%",IF(K494&lt;=0.3,"21-30%","Above 30%"))))</f>
        <v>1-10%</v>
      </c>
      <c r="R494" s="39" t="n">
        <f aca="false">I494*J494*MAX(0,K494-DiscountCap)</f>
        <v>0</v>
      </c>
    </row>
    <row r="495" customFormat="false" ht="15" hidden="false" customHeight="false" outlineLevel="0" collapsed="false">
      <c r="A495" s="37" t="s">
        <v>639</v>
      </c>
      <c r="B495" s="38" t="n">
        <v>45845</v>
      </c>
      <c r="C495" s="37" t="n">
        <f aca="false">MONTH(B495)</f>
        <v>7</v>
      </c>
      <c r="D495" s="37" t="s">
        <v>134</v>
      </c>
      <c r="E495" s="37" t="s">
        <v>45</v>
      </c>
      <c r="F495" s="37" t="s">
        <v>96</v>
      </c>
      <c r="G495" s="37" t="s">
        <v>93</v>
      </c>
      <c r="H495" s="37" t="s">
        <v>121</v>
      </c>
      <c r="I495" s="37" t="n">
        <v>2</v>
      </c>
      <c r="J495" s="39" t="n">
        <v>999</v>
      </c>
      <c r="K495" s="40" t="n">
        <v>0.25</v>
      </c>
      <c r="L495" s="39" t="n">
        <f aca="false">VLOOKUP(H495,'Product List'!$A$3:$D$18,4,FALSE())</f>
        <v>500</v>
      </c>
      <c r="M495" s="39" t="n">
        <f aca="false">I495*J495*(1-K495)</f>
        <v>1498.5</v>
      </c>
      <c r="N495" s="39" t="n">
        <f aca="false">I495*L495</f>
        <v>1000</v>
      </c>
      <c r="O495" s="39" t="n">
        <f aca="false">M495-N495</f>
        <v>498.5</v>
      </c>
      <c r="P495" s="41" t="n">
        <f aca="false">IF(M495=0,0,O495/M495)</f>
        <v>0.332665999332666</v>
      </c>
      <c r="Q495" s="37" t="str">
        <f aca="false">IF(K495=0,"No discount",IF(K495&lt;=0.1,"1-10%",IF(K495&lt;=0.2,"11-20%",IF(K495&lt;=0.3,"21-30%","Above 30%"))))</f>
        <v>21-30%</v>
      </c>
      <c r="R495" s="39" t="n">
        <f aca="false">I495*J495*MAX(0,K495-DiscountCap)</f>
        <v>99.9</v>
      </c>
    </row>
    <row r="496" customFormat="false" ht="15" hidden="false" customHeight="false" outlineLevel="0" collapsed="false">
      <c r="A496" s="37" t="s">
        <v>640</v>
      </c>
      <c r="B496" s="38" t="n">
        <v>45853</v>
      </c>
      <c r="C496" s="37" t="n">
        <f aca="false">MONTH(B496)</f>
        <v>7</v>
      </c>
      <c r="D496" s="37" t="s">
        <v>134</v>
      </c>
      <c r="E496" s="37" t="s">
        <v>45</v>
      </c>
      <c r="F496" s="37" t="s">
        <v>96</v>
      </c>
      <c r="G496" s="37" t="s">
        <v>93</v>
      </c>
      <c r="H496" s="37" t="s">
        <v>120</v>
      </c>
      <c r="I496" s="37" t="n">
        <v>1</v>
      </c>
      <c r="J496" s="39" t="n">
        <v>449</v>
      </c>
      <c r="K496" s="40" t="n">
        <v>0.05</v>
      </c>
      <c r="L496" s="39" t="n">
        <f aca="false">VLOOKUP(H496,'Product List'!$A$3:$D$18,4,FALSE())</f>
        <v>240</v>
      </c>
      <c r="M496" s="39" t="n">
        <f aca="false">I496*J496*(1-K496)</f>
        <v>426.55</v>
      </c>
      <c r="N496" s="39" t="n">
        <f aca="false">I496*L496</f>
        <v>240</v>
      </c>
      <c r="O496" s="39" t="n">
        <f aca="false">M496-N496</f>
        <v>186.55</v>
      </c>
      <c r="P496" s="41" t="n">
        <f aca="false">IF(M496=0,0,O496/M496)</f>
        <v>0.43734614933771</v>
      </c>
      <c r="Q496" s="37" t="str">
        <f aca="false">IF(K496=0,"No discount",IF(K496&lt;=0.1,"1-10%",IF(K496&lt;=0.2,"11-20%",IF(K496&lt;=0.3,"21-30%","Above 30%"))))</f>
        <v>1-10%</v>
      </c>
      <c r="R496" s="39" t="n">
        <f aca="false">I496*J496*MAX(0,K496-DiscountCap)</f>
        <v>0</v>
      </c>
    </row>
    <row r="497" customFormat="false" ht="15" hidden="false" customHeight="false" outlineLevel="0" collapsed="false">
      <c r="A497" s="37" t="s">
        <v>641</v>
      </c>
      <c r="B497" s="38" t="n">
        <v>45868</v>
      </c>
      <c r="C497" s="37" t="n">
        <f aca="false">MONTH(B497)</f>
        <v>7</v>
      </c>
      <c r="D497" s="37" t="s">
        <v>154</v>
      </c>
      <c r="E497" s="37" t="s">
        <v>47</v>
      </c>
      <c r="F497" s="37" t="s">
        <v>96</v>
      </c>
      <c r="G497" s="37" t="s">
        <v>92</v>
      </c>
      <c r="H497" s="37" t="s">
        <v>113</v>
      </c>
      <c r="I497" s="37" t="n">
        <v>1</v>
      </c>
      <c r="J497" s="39" t="n">
        <v>2199</v>
      </c>
      <c r="K497" s="40" t="n">
        <v>0.15</v>
      </c>
      <c r="L497" s="39" t="n">
        <f aca="false">VLOOKUP(H497,'Product List'!$A$3:$D$18,4,FALSE())</f>
        <v>1400</v>
      </c>
      <c r="M497" s="39" t="n">
        <f aca="false">I497*J497*(1-K497)</f>
        <v>1869.15</v>
      </c>
      <c r="N497" s="39" t="n">
        <f aca="false">I497*L497</f>
        <v>1400</v>
      </c>
      <c r="O497" s="39" t="n">
        <f aca="false">M497-N497</f>
        <v>469.15</v>
      </c>
      <c r="P497" s="41" t="n">
        <f aca="false">IF(M497=0,0,O497/M497)</f>
        <v>0.250996442233101</v>
      </c>
      <c r="Q497" s="37" t="str">
        <f aca="false">IF(K497=0,"No discount",IF(K497&lt;=0.1,"1-10%",IF(K497&lt;=0.2,"11-20%",IF(K497&lt;=0.3,"21-30%","Above 30%"))))</f>
        <v>11-20%</v>
      </c>
      <c r="R497" s="39" t="n">
        <f aca="false">I497*J497*MAX(0,K497-DiscountCap)</f>
        <v>0</v>
      </c>
    </row>
    <row r="498" customFormat="false" ht="15" hidden="false" customHeight="false" outlineLevel="0" collapsed="false">
      <c r="A498" s="37" t="s">
        <v>642</v>
      </c>
      <c r="B498" s="38" t="n">
        <v>45863</v>
      </c>
      <c r="C498" s="37" t="n">
        <f aca="false">MONTH(B498)</f>
        <v>7</v>
      </c>
      <c r="D498" s="37" t="s">
        <v>169</v>
      </c>
      <c r="E498" s="37" t="s">
        <v>44</v>
      </c>
      <c r="F498" s="37" t="s">
        <v>97</v>
      </c>
      <c r="G498" s="37" t="s">
        <v>90</v>
      </c>
      <c r="H498" s="37" t="s">
        <v>110</v>
      </c>
      <c r="I498" s="37" t="n">
        <v>3</v>
      </c>
      <c r="J498" s="39" t="n">
        <v>1299</v>
      </c>
      <c r="K498" s="40" t="n">
        <v>0.15</v>
      </c>
      <c r="L498" s="39" t="n">
        <f aca="false">VLOOKUP(H498,'Product List'!$A$3:$D$18,4,FALSE())</f>
        <v>1000</v>
      </c>
      <c r="M498" s="39" t="n">
        <f aca="false">I498*J498*(1-K498)</f>
        <v>3312.45</v>
      </c>
      <c r="N498" s="39" t="n">
        <f aca="false">I498*L498</f>
        <v>3000</v>
      </c>
      <c r="O498" s="39" t="n">
        <f aca="false">M498-N498</f>
        <v>312.45</v>
      </c>
      <c r="P498" s="41" t="n">
        <f aca="false">IF(M498=0,0,O498/M498)</f>
        <v>0.0943259520898428</v>
      </c>
      <c r="Q498" s="37" t="str">
        <f aca="false">IF(K498=0,"No discount",IF(K498&lt;=0.1,"1-10%",IF(K498&lt;=0.2,"11-20%",IF(K498&lt;=0.3,"21-30%","Above 30%"))))</f>
        <v>11-20%</v>
      </c>
      <c r="R498" s="39" t="n">
        <f aca="false">I498*J498*MAX(0,K498-DiscountCap)</f>
        <v>0</v>
      </c>
    </row>
    <row r="499" customFormat="false" ht="15" hidden="false" customHeight="false" outlineLevel="0" collapsed="false">
      <c r="A499" s="37" t="s">
        <v>643</v>
      </c>
      <c r="B499" s="38" t="n">
        <v>45867</v>
      </c>
      <c r="C499" s="37" t="n">
        <f aca="false">MONTH(B499)</f>
        <v>7</v>
      </c>
      <c r="D499" s="37" t="s">
        <v>169</v>
      </c>
      <c r="E499" s="37" t="s">
        <v>44</v>
      </c>
      <c r="F499" s="37" t="s">
        <v>97</v>
      </c>
      <c r="G499" s="37" t="s">
        <v>90</v>
      </c>
      <c r="H499" s="37" t="s">
        <v>110</v>
      </c>
      <c r="I499" s="37" t="n">
        <v>1</v>
      </c>
      <c r="J499" s="39" t="n">
        <v>1299</v>
      </c>
      <c r="K499" s="40" t="n">
        <v>0.1</v>
      </c>
      <c r="L499" s="39" t="n">
        <f aca="false">VLOOKUP(H499,'Product List'!$A$3:$D$18,4,FALSE())</f>
        <v>1000</v>
      </c>
      <c r="M499" s="39" t="n">
        <f aca="false">I499*J499*(1-K499)</f>
        <v>1169.1</v>
      </c>
      <c r="N499" s="39" t="n">
        <f aca="false">I499*L499</f>
        <v>1000</v>
      </c>
      <c r="O499" s="39" t="n">
        <f aca="false">M499-N499</f>
        <v>169.1</v>
      </c>
      <c r="P499" s="41" t="n">
        <f aca="false">IF(M499=0,0,O499/M499)</f>
        <v>0.144641176973741</v>
      </c>
      <c r="Q499" s="37" t="str">
        <f aca="false">IF(K499=0,"No discount",IF(K499&lt;=0.1,"1-10%",IF(K499&lt;=0.2,"11-20%",IF(K499&lt;=0.3,"21-30%","Above 30%"))))</f>
        <v>1-10%</v>
      </c>
      <c r="R499" s="39" t="n">
        <f aca="false">I499*J499*MAX(0,K499-DiscountCap)</f>
        <v>0</v>
      </c>
    </row>
    <row r="500" customFormat="false" ht="15" hidden="false" customHeight="false" outlineLevel="0" collapsed="false">
      <c r="A500" s="37" t="s">
        <v>644</v>
      </c>
      <c r="B500" s="38" t="n">
        <v>45883</v>
      </c>
      <c r="C500" s="37" t="n">
        <f aca="false">MONTH(B500)</f>
        <v>8</v>
      </c>
      <c r="D500" s="37" t="s">
        <v>136</v>
      </c>
      <c r="E500" s="37" t="s">
        <v>47</v>
      </c>
      <c r="F500" s="37" t="s">
        <v>96</v>
      </c>
      <c r="G500" s="37" t="s">
        <v>91</v>
      </c>
      <c r="H500" s="37" t="s">
        <v>118</v>
      </c>
      <c r="I500" s="37" t="n">
        <v>1</v>
      </c>
      <c r="J500" s="39" t="n">
        <v>2299</v>
      </c>
      <c r="K500" s="40" t="n">
        <v>0.05</v>
      </c>
      <c r="L500" s="39" t="n">
        <f aca="false">VLOOKUP(H500,'Product List'!$A$3:$D$18,4,FALSE())</f>
        <v>1300</v>
      </c>
      <c r="M500" s="39" t="n">
        <f aca="false">I500*J500*(1-K500)</f>
        <v>2184.05</v>
      </c>
      <c r="N500" s="39" t="n">
        <f aca="false">I500*L500</f>
        <v>1300</v>
      </c>
      <c r="O500" s="39" t="n">
        <f aca="false">M500-N500</f>
        <v>884.05</v>
      </c>
      <c r="P500" s="41" t="n">
        <f aca="false">IF(M500=0,0,O500/M500)</f>
        <v>0.404775531695703</v>
      </c>
      <c r="Q500" s="37" t="str">
        <f aca="false">IF(K500=0,"No discount",IF(K500&lt;=0.1,"1-10%",IF(K500&lt;=0.2,"11-20%",IF(K500&lt;=0.3,"21-30%","Above 30%"))))</f>
        <v>1-10%</v>
      </c>
      <c r="R500" s="39" t="n">
        <f aca="false">I500*J500*MAX(0,K500-DiscountCap)</f>
        <v>0</v>
      </c>
    </row>
    <row r="501" customFormat="false" ht="15" hidden="false" customHeight="false" outlineLevel="0" collapsed="false">
      <c r="A501" s="37" t="s">
        <v>645</v>
      </c>
      <c r="B501" s="38" t="n">
        <v>45892</v>
      </c>
      <c r="C501" s="37" t="n">
        <f aca="false">MONTH(B501)</f>
        <v>8</v>
      </c>
      <c r="D501" s="37" t="s">
        <v>136</v>
      </c>
      <c r="E501" s="37" t="s">
        <v>47</v>
      </c>
      <c r="F501" s="37" t="s">
        <v>96</v>
      </c>
      <c r="G501" s="37" t="s">
        <v>93</v>
      </c>
      <c r="H501" s="37" t="s">
        <v>121</v>
      </c>
      <c r="I501" s="37" t="n">
        <v>2</v>
      </c>
      <c r="J501" s="39" t="n">
        <v>999</v>
      </c>
      <c r="K501" s="40" t="n">
        <v>0.05</v>
      </c>
      <c r="L501" s="39" t="n">
        <f aca="false">VLOOKUP(H501,'Product List'!$A$3:$D$18,4,FALSE())</f>
        <v>500</v>
      </c>
      <c r="M501" s="39" t="n">
        <f aca="false">I501*J501*(1-K501)</f>
        <v>1898.1</v>
      </c>
      <c r="N501" s="39" t="n">
        <f aca="false">I501*L501</f>
        <v>1000</v>
      </c>
      <c r="O501" s="39" t="n">
        <f aca="false">M501-N501</f>
        <v>898.1</v>
      </c>
      <c r="P501" s="41" t="n">
        <f aca="false">IF(M501=0,0,O501/M501)</f>
        <v>0.47315736789421</v>
      </c>
      <c r="Q501" s="37" t="str">
        <f aca="false">IF(K501=0,"No discount",IF(K501&lt;=0.1,"1-10%",IF(K501&lt;=0.2,"11-20%",IF(K501&lt;=0.3,"21-30%","Above 30%"))))</f>
        <v>1-10%</v>
      </c>
      <c r="R501" s="39" t="n">
        <f aca="false">I501*J501*MAX(0,K501-DiscountCap)</f>
        <v>0</v>
      </c>
    </row>
    <row r="502" customFormat="false" ht="15" hidden="false" customHeight="false" outlineLevel="0" collapsed="false">
      <c r="A502" s="37" t="s">
        <v>646</v>
      </c>
      <c r="B502" s="38" t="n">
        <v>45891</v>
      </c>
      <c r="C502" s="37" t="n">
        <f aca="false">MONTH(B502)</f>
        <v>8</v>
      </c>
      <c r="D502" s="37" t="s">
        <v>144</v>
      </c>
      <c r="E502" s="37" t="s">
        <v>45</v>
      </c>
      <c r="F502" s="37" t="s">
        <v>96</v>
      </c>
      <c r="G502" s="37" t="s">
        <v>92</v>
      </c>
      <c r="H502" s="37" t="s">
        <v>114</v>
      </c>
      <c r="I502" s="37" t="n">
        <v>1</v>
      </c>
      <c r="J502" s="39" t="n">
        <v>1199</v>
      </c>
      <c r="K502" s="40" t="n">
        <v>0.15</v>
      </c>
      <c r="L502" s="39" t="n">
        <f aca="false">VLOOKUP(H502,'Product List'!$A$3:$D$18,4,FALSE())</f>
        <v>780</v>
      </c>
      <c r="M502" s="39" t="n">
        <f aca="false">I502*J502*(1-K502)</f>
        <v>1019.15</v>
      </c>
      <c r="N502" s="39" t="n">
        <f aca="false">I502*L502</f>
        <v>780</v>
      </c>
      <c r="O502" s="39" t="n">
        <f aca="false">M502-N502</f>
        <v>239.15</v>
      </c>
      <c r="P502" s="41" t="n">
        <f aca="false">IF(M502=0,0,O502/M502)</f>
        <v>0.234656331256439</v>
      </c>
      <c r="Q502" s="37" t="str">
        <f aca="false">IF(K502=0,"No discount",IF(K502&lt;=0.1,"1-10%",IF(K502&lt;=0.2,"11-20%",IF(K502&lt;=0.3,"21-30%","Above 30%"))))</f>
        <v>11-20%</v>
      </c>
      <c r="R502" s="39" t="n">
        <f aca="false">I502*J502*MAX(0,K502-DiscountCap)</f>
        <v>0</v>
      </c>
    </row>
    <row r="503" customFormat="false" ht="15" hidden="false" customHeight="false" outlineLevel="0" collapsed="false">
      <c r="A503" s="37" t="s">
        <v>647</v>
      </c>
      <c r="B503" s="38" t="n">
        <v>45871</v>
      </c>
      <c r="C503" s="37" t="n">
        <f aca="false">MONTH(B503)</f>
        <v>8</v>
      </c>
      <c r="D503" s="37" t="s">
        <v>166</v>
      </c>
      <c r="E503" s="37" t="s">
        <v>44</v>
      </c>
      <c r="F503" s="37" t="s">
        <v>96</v>
      </c>
      <c r="G503" s="37" t="s">
        <v>91</v>
      </c>
      <c r="H503" s="37" t="s">
        <v>116</v>
      </c>
      <c r="I503" s="37" t="n">
        <v>3</v>
      </c>
      <c r="J503" s="39" t="n">
        <v>899</v>
      </c>
      <c r="K503" s="40" t="n">
        <v>0.1</v>
      </c>
      <c r="L503" s="39" t="n">
        <f aca="false">VLOOKUP(H503,'Product List'!$A$3:$D$18,4,FALSE())</f>
        <v>430</v>
      </c>
      <c r="M503" s="39" t="n">
        <f aca="false">I503*J503*(1-K503)</f>
        <v>2427.3</v>
      </c>
      <c r="N503" s="39" t="n">
        <f aca="false">I503*L503</f>
        <v>1290</v>
      </c>
      <c r="O503" s="39" t="n">
        <f aca="false">M503-N503</f>
        <v>1137.3</v>
      </c>
      <c r="P503" s="41" t="n">
        <f aca="false">IF(M503=0,0,O503/M503)</f>
        <v>0.468545297243851</v>
      </c>
      <c r="Q503" s="37" t="str">
        <f aca="false">IF(K503=0,"No discount",IF(K503&lt;=0.1,"1-10%",IF(K503&lt;=0.2,"11-20%",IF(K503&lt;=0.3,"21-30%","Above 30%"))))</f>
        <v>1-10%</v>
      </c>
      <c r="R503" s="39" t="n">
        <f aca="false">I503*J503*MAX(0,K503-DiscountCap)</f>
        <v>0</v>
      </c>
    </row>
    <row r="504" customFormat="false" ht="15" hidden="false" customHeight="false" outlineLevel="0" collapsed="false">
      <c r="A504" s="37" t="s">
        <v>648</v>
      </c>
      <c r="B504" s="38" t="n">
        <v>45890</v>
      </c>
      <c r="C504" s="37" t="n">
        <f aca="false">MONTH(B504)</f>
        <v>8</v>
      </c>
      <c r="D504" s="37" t="s">
        <v>169</v>
      </c>
      <c r="E504" s="37" t="s">
        <v>44</v>
      </c>
      <c r="F504" s="37" t="s">
        <v>96</v>
      </c>
      <c r="G504" s="37" t="s">
        <v>93</v>
      </c>
      <c r="H504" s="37" t="s">
        <v>122</v>
      </c>
      <c r="I504" s="37" t="n">
        <v>5</v>
      </c>
      <c r="J504" s="39" t="n">
        <v>1799</v>
      </c>
      <c r="K504" s="40" t="n">
        <v>0.05</v>
      </c>
      <c r="L504" s="39" t="n">
        <f aca="false">VLOOKUP(H504,'Product List'!$A$3:$D$18,4,FALSE())</f>
        <v>1250</v>
      </c>
      <c r="M504" s="39" t="n">
        <f aca="false">I504*J504*(1-K504)</f>
        <v>8545.25</v>
      </c>
      <c r="N504" s="39" t="n">
        <f aca="false">I504*L504</f>
        <v>6250</v>
      </c>
      <c r="O504" s="39" t="n">
        <f aca="false">M504-N504</f>
        <v>2295.25</v>
      </c>
      <c r="P504" s="41" t="n">
        <f aca="false">IF(M504=0,0,O504/M504)</f>
        <v>0.268599514350078</v>
      </c>
      <c r="Q504" s="37" t="str">
        <f aca="false">IF(K504=0,"No discount",IF(K504&lt;=0.1,"1-10%",IF(K504&lt;=0.2,"11-20%",IF(K504&lt;=0.3,"21-30%","Above 30%"))))</f>
        <v>1-10%</v>
      </c>
      <c r="R504" s="39" t="n">
        <f aca="false">I504*J504*MAX(0,K504-DiscountCap)</f>
        <v>0</v>
      </c>
    </row>
    <row r="505" customFormat="false" ht="15" hidden="false" customHeight="false" outlineLevel="0" collapsed="false">
      <c r="A505" s="37" t="s">
        <v>649</v>
      </c>
      <c r="B505" s="38" t="n">
        <v>45893</v>
      </c>
      <c r="C505" s="37" t="n">
        <f aca="false">MONTH(B505)</f>
        <v>8</v>
      </c>
      <c r="D505" s="37" t="s">
        <v>142</v>
      </c>
      <c r="E505" s="37" t="s">
        <v>47</v>
      </c>
      <c r="F505" s="37" t="s">
        <v>97</v>
      </c>
      <c r="G505" s="37" t="s">
        <v>90</v>
      </c>
      <c r="H505" s="37" t="s">
        <v>110</v>
      </c>
      <c r="I505" s="37" t="n">
        <v>1</v>
      </c>
      <c r="J505" s="39" t="n">
        <v>1299</v>
      </c>
      <c r="K505" s="40" t="n">
        <v>0.2</v>
      </c>
      <c r="L505" s="39" t="n">
        <f aca="false">VLOOKUP(H505,'Product List'!$A$3:$D$18,4,FALSE())</f>
        <v>1000</v>
      </c>
      <c r="M505" s="39" t="n">
        <f aca="false">I505*J505*(1-K505)</f>
        <v>1039.2</v>
      </c>
      <c r="N505" s="39" t="n">
        <f aca="false">I505*L505</f>
        <v>1000</v>
      </c>
      <c r="O505" s="39" t="n">
        <f aca="false">M505-N505</f>
        <v>39.2</v>
      </c>
      <c r="P505" s="41" t="n">
        <f aca="false">IF(M505=0,0,O505/M505)</f>
        <v>0.0377213240954581</v>
      </c>
      <c r="Q505" s="37" t="str">
        <f aca="false">IF(K505=0,"No discount",IF(K505&lt;=0.1,"1-10%",IF(K505&lt;=0.2,"11-20%",IF(K505&lt;=0.3,"21-30%","Above 30%"))))</f>
        <v>11-20%</v>
      </c>
      <c r="R505" s="39" t="n">
        <f aca="false">I505*J505*MAX(0,K505-DiscountCap)</f>
        <v>0</v>
      </c>
    </row>
    <row r="506" customFormat="false" ht="15" hidden="false" customHeight="false" outlineLevel="0" collapsed="false">
      <c r="A506" s="37" t="s">
        <v>650</v>
      </c>
      <c r="B506" s="38" t="n">
        <v>45895</v>
      </c>
      <c r="C506" s="37" t="n">
        <f aca="false">MONTH(B506)</f>
        <v>8</v>
      </c>
      <c r="D506" s="37" t="s">
        <v>144</v>
      </c>
      <c r="E506" s="37" t="s">
        <v>45</v>
      </c>
      <c r="F506" s="37" t="s">
        <v>96</v>
      </c>
      <c r="G506" s="37" t="s">
        <v>90</v>
      </c>
      <c r="H506" s="37" t="s">
        <v>110</v>
      </c>
      <c r="I506" s="37" t="n">
        <v>1</v>
      </c>
      <c r="J506" s="39" t="n">
        <v>1299</v>
      </c>
      <c r="K506" s="40" t="n">
        <v>0.15</v>
      </c>
      <c r="L506" s="39" t="n">
        <f aca="false">VLOOKUP(H506,'Product List'!$A$3:$D$18,4,FALSE())</f>
        <v>1000</v>
      </c>
      <c r="M506" s="39" t="n">
        <f aca="false">I506*J506*(1-K506)</f>
        <v>1104.15</v>
      </c>
      <c r="N506" s="39" t="n">
        <f aca="false">I506*L506</f>
        <v>1000</v>
      </c>
      <c r="O506" s="39" t="n">
        <f aca="false">M506-N506</f>
        <v>104.15</v>
      </c>
      <c r="P506" s="41" t="n">
        <f aca="false">IF(M506=0,0,O506/M506)</f>
        <v>0.0943259520898428</v>
      </c>
      <c r="Q506" s="37" t="str">
        <f aca="false">IF(K506=0,"No discount",IF(K506&lt;=0.1,"1-10%",IF(K506&lt;=0.2,"11-20%",IF(K506&lt;=0.3,"21-30%","Above 30%"))))</f>
        <v>11-20%</v>
      </c>
      <c r="R506" s="39" t="n">
        <f aca="false">I506*J506*MAX(0,K506-DiscountCap)</f>
        <v>0</v>
      </c>
    </row>
    <row r="507" customFormat="false" ht="15" hidden="false" customHeight="false" outlineLevel="0" collapsed="false">
      <c r="A507" s="37" t="s">
        <v>651</v>
      </c>
      <c r="B507" s="38" t="n">
        <v>45874</v>
      </c>
      <c r="C507" s="37" t="n">
        <f aca="false">MONTH(B507)</f>
        <v>8</v>
      </c>
      <c r="D507" s="37" t="s">
        <v>154</v>
      </c>
      <c r="E507" s="37" t="s">
        <v>47</v>
      </c>
      <c r="F507" s="37" t="s">
        <v>97</v>
      </c>
      <c r="G507" s="37" t="s">
        <v>90</v>
      </c>
      <c r="H507" s="37" t="s">
        <v>108</v>
      </c>
      <c r="I507" s="37" t="n">
        <v>2</v>
      </c>
      <c r="J507" s="39" t="n">
        <v>1999</v>
      </c>
      <c r="K507" s="40" t="n">
        <v>0</v>
      </c>
      <c r="L507" s="39" t="n">
        <f aca="false">VLOOKUP(H507,'Product List'!$A$3:$D$18,4,FALSE())</f>
        <v>1560</v>
      </c>
      <c r="M507" s="39" t="n">
        <f aca="false">I507*J507*(1-K507)</f>
        <v>3998</v>
      </c>
      <c r="N507" s="39" t="n">
        <f aca="false">I507*L507</f>
        <v>3120</v>
      </c>
      <c r="O507" s="39" t="n">
        <f aca="false">M507-N507</f>
        <v>878</v>
      </c>
      <c r="P507" s="41" t="n">
        <f aca="false">IF(M507=0,0,O507/M507)</f>
        <v>0.219609804902451</v>
      </c>
      <c r="Q507" s="37" t="str">
        <f aca="false">IF(K507=0,"No discount",IF(K507&lt;=0.1,"1-10%",IF(K507&lt;=0.2,"11-20%",IF(K507&lt;=0.3,"21-30%","Above 30%"))))</f>
        <v>No discount</v>
      </c>
      <c r="R507" s="39" t="n">
        <f aca="false">I507*J507*MAX(0,K507-DiscountCap)</f>
        <v>0</v>
      </c>
    </row>
    <row r="508" customFormat="false" ht="15" hidden="false" customHeight="false" outlineLevel="0" collapsed="false">
      <c r="A508" s="37" t="s">
        <v>652</v>
      </c>
      <c r="B508" s="38" t="n">
        <v>45893</v>
      </c>
      <c r="C508" s="37" t="n">
        <f aca="false">MONTH(B508)</f>
        <v>8</v>
      </c>
      <c r="D508" s="37" t="s">
        <v>140</v>
      </c>
      <c r="E508" s="37" t="s">
        <v>44</v>
      </c>
      <c r="F508" s="37" t="s">
        <v>96</v>
      </c>
      <c r="G508" s="37" t="s">
        <v>90</v>
      </c>
      <c r="H508" s="37" t="s">
        <v>108</v>
      </c>
      <c r="I508" s="37" t="n">
        <v>1</v>
      </c>
      <c r="J508" s="39" t="n">
        <v>1999</v>
      </c>
      <c r="K508" s="40" t="n">
        <v>0.15</v>
      </c>
      <c r="L508" s="39" t="n">
        <f aca="false">VLOOKUP(H508,'Product List'!$A$3:$D$18,4,FALSE())</f>
        <v>1560</v>
      </c>
      <c r="M508" s="39" t="n">
        <f aca="false">I508*J508*(1-K508)</f>
        <v>1699.15</v>
      </c>
      <c r="N508" s="39" t="n">
        <f aca="false">I508*L508</f>
        <v>1560</v>
      </c>
      <c r="O508" s="39" t="n">
        <f aca="false">M508-N508</f>
        <v>139.15</v>
      </c>
      <c r="P508" s="41" t="n">
        <f aca="false">IF(M508=0,0,O508/M508)</f>
        <v>0.0818938881205308</v>
      </c>
      <c r="Q508" s="37" t="str">
        <f aca="false">IF(K508=0,"No discount",IF(K508&lt;=0.1,"1-10%",IF(K508&lt;=0.2,"11-20%",IF(K508&lt;=0.3,"21-30%","Above 30%"))))</f>
        <v>11-20%</v>
      </c>
      <c r="R508" s="39" t="n">
        <f aca="false">I508*J508*MAX(0,K508-DiscountCap)</f>
        <v>0</v>
      </c>
    </row>
    <row r="509" customFormat="false" ht="15" hidden="false" customHeight="false" outlineLevel="0" collapsed="false">
      <c r="A509" s="37" t="s">
        <v>653</v>
      </c>
      <c r="B509" s="38" t="n">
        <v>45889</v>
      </c>
      <c r="C509" s="37" t="n">
        <f aca="false">MONTH(B509)</f>
        <v>8</v>
      </c>
      <c r="D509" s="37" t="s">
        <v>144</v>
      </c>
      <c r="E509" s="37" t="s">
        <v>45</v>
      </c>
      <c r="F509" s="37" t="s">
        <v>97</v>
      </c>
      <c r="G509" s="37" t="s">
        <v>92</v>
      </c>
      <c r="H509" s="37" t="s">
        <v>112</v>
      </c>
      <c r="I509" s="37" t="n">
        <v>2</v>
      </c>
      <c r="J509" s="39" t="n">
        <v>3299</v>
      </c>
      <c r="K509" s="40" t="n">
        <v>0</v>
      </c>
      <c r="L509" s="39" t="n">
        <f aca="false">VLOOKUP(H509,'Product List'!$A$3:$D$18,4,FALSE())</f>
        <v>2250</v>
      </c>
      <c r="M509" s="39" t="n">
        <f aca="false">I509*J509*(1-K509)</f>
        <v>6598</v>
      </c>
      <c r="N509" s="39" t="n">
        <f aca="false">I509*L509</f>
        <v>4500</v>
      </c>
      <c r="O509" s="39" t="n">
        <f aca="false">M509-N509</f>
        <v>2098</v>
      </c>
      <c r="P509" s="41" t="n">
        <f aca="false">IF(M509=0,0,O509/M509)</f>
        <v>0.317975143983025</v>
      </c>
      <c r="Q509" s="37" t="str">
        <f aca="false">IF(K509=0,"No discount",IF(K509&lt;=0.1,"1-10%",IF(K509&lt;=0.2,"11-20%",IF(K509&lt;=0.3,"21-30%","Above 30%"))))</f>
        <v>No discount</v>
      </c>
      <c r="R509" s="39" t="n">
        <f aca="false">I509*J509*MAX(0,K509-DiscountCap)</f>
        <v>0</v>
      </c>
    </row>
    <row r="510" customFormat="false" ht="15" hidden="false" customHeight="false" outlineLevel="0" collapsed="false">
      <c r="A510" s="37" t="s">
        <v>654</v>
      </c>
      <c r="B510" s="38" t="n">
        <v>45884</v>
      </c>
      <c r="C510" s="37" t="n">
        <f aca="false">MONTH(B510)</f>
        <v>8</v>
      </c>
      <c r="D510" s="37" t="s">
        <v>144</v>
      </c>
      <c r="E510" s="37" t="s">
        <v>45</v>
      </c>
      <c r="F510" s="37" t="s">
        <v>97</v>
      </c>
      <c r="G510" s="37" t="s">
        <v>90</v>
      </c>
      <c r="H510" s="37" t="s">
        <v>110</v>
      </c>
      <c r="I510" s="37" t="n">
        <v>1</v>
      </c>
      <c r="J510" s="39" t="n">
        <v>1299</v>
      </c>
      <c r="K510" s="40" t="n">
        <v>0</v>
      </c>
      <c r="L510" s="39" t="n">
        <f aca="false">VLOOKUP(H510,'Product List'!$A$3:$D$18,4,FALSE())</f>
        <v>1000</v>
      </c>
      <c r="M510" s="39" t="n">
        <f aca="false">I510*J510*(1-K510)</f>
        <v>1299</v>
      </c>
      <c r="N510" s="39" t="n">
        <f aca="false">I510*L510</f>
        <v>1000</v>
      </c>
      <c r="O510" s="39" t="n">
        <f aca="false">M510-N510</f>
        <v>299</v>
      </c>
      <c r="P510" s="41" t="n">
        <f aca="false">IF(M510=0,0,O510/M510)</f>
        <v>0.230177059276366</v>
      </c>
      <c r="Q510" s="37" t="str">
        <f aca="false">IF(K510=0,"No discount",IF(K510&lt;=0.1,"1-10%",IF(K510&lt;=0.2,"11-20%",IF(K510&lt;=0.3,"21-30%","Above 30%"))))</f>
        <v>No discount</v>
      </c>
      <c r="R510" s="39" t="n">
        <f aca="false">I510*J510*MAX(0,K510-DiscountCap)</f>
        <v>0</v>
      </c>
    </row>
    <row r="511" customFormat="false" ht="15" hidden="false" customHeight="false" outlineLevel="0" collapsed="false">
      <c r="A511" s="37" t="s">
        <v>655</v>
      </c>
      <c r="B511" s="38" t="n">
        <v>45889</v>
      </c>
      <c r="C511" s="37" t="n">
        <f aca="false">MONTH(B511)</f>
        <v>8</v>
      </c>
      <c r="D511" s="37" t="s">
        <v>142</v>
      </c>
      <c r="E511" s="37" t="s">
        <v>47</v>
      </c>
      <c r="F511" s="37" t="s">
        <v>97</v>
      </c>
      <c r="G511" s="37" t="s">
        <v>92</v>
      </c>
      <c r="H511" s="37" t="s">
        <v>113</v>
      </c>
      <c r="I511" s="37" t="n">
        <v>4</v>
      </c>
      <c r="J511" s="39" t="n">
        <v>2199</v>
      </c>
      <c r="K511" s="40" t="n">
        <v>0</v>
      </c>
      <c r="L511" s="39" t="n">
        <f aca="false">VLOOKUP(H511,'Product List'!$A$3:$D$18,4,FALSE())</f>
        <v>1400</v>
      </c>
      <c r="M511" s="39" t="n">
        <f aca="false">I511*J511*(1-K511)</f>
        <v>8796</v>
      </c>
      <c r="N511" s="39" t="n">
        <f aca="false">I511*L511</f>
        <v>5600</v>
      </c>
      <c r="O511" s="39" t="n">
        <f aca="false">M511-N511</f>
        <v>3196</v>
      </c>
      <c r="P511" s="41" t="n">
        <f aca="false">IF(M511=0,0,O511/M511)</f>
        <v>0.363346975898136</v>
      </c>
      <c r="Q511" s="37" t="str">
        <f aca="false">IF(K511=0,"No discount",IF(K511&lt;=0.1,"1-10%",IF(K511&lt;=0.2,"11-20%",IF(K511&lt;=0.3,"21-30%","Above 30%"))))</f>
        <v>No discount</v>
      </c>
      <c r="R511" s="39" t="n">
        <f aca="false">I511*J511*MAX(0,K511-DiscountCap)</f>
        <v>0</v>
      </c>
    </row>
    <row r="512" customFormat="false" ht="15" hidden="false" customHeight="false" outlineLevel="0" collapsed="false">
      <c r="A512" s="37" t="s">
        <v>656</v>
      </c>
      <c r="B512" s="38" t="n">
        <v>45884</v>
      </c>
      <c r="C512" s="37" t="n">
        <f aca="false">MONTH(B512)</f>
        <v>8</v>
      </c>
      <c r="D512" s="37" t="s">
        <v>154</v>
      </c>
      <c r="E512" s="37" t="s">
        <v>47</v>
      </c>
      <c r="F512" s="37" t="s">
        <v>96</v>
      </c>
      <c r="G512" s="37" t="s">
        <v>91</v>
      </c>
      <c r="H512" s="37" t="s">
        <v>117</v>
      </c>
      <c r="I512" s="37" t="n">
        <v>1</v>
      </c>
      <c r="J512" s="39" t="n">
        <v>1499</v>
      </c>
      <c r="K512" s="40" t="n">
        <v>0.05</v>
      </c>
      <c r="L512" s="39" t="n">
        <f aca="false">VLOOKUP(H512,'Product List'!$A$3:$D$18,4,FALSE())</f>
        <v>780</v>
      </c>
      <c r="M512" s="39" t="n">
        <f aca="false">I512*J512*(1-K512)</f>
        <v>1424.05</v>
      </c>
      <c r="N512" s="39" t="n">
        <f aca="false">I512*L512</f>
        <v>780</v>
      </c>
      <c r="O512" s="39" t="n">
        <f aca="false">M512-N512</f>
        <v>644.05</v>
      </c>
      <c r="P512" s="41" t="n">
        <f aca="false">IF(M512=0,0,O512/M512)</f>
        <v>0.452266423229521</v>
      </c>
      <c r="Q512" s="37" t="str">
        <f aca="false">IF(K512=0,"No discount",IF(K512&lt;=0.1,"1-10%",IF(K512&lt;=0.2,"11-20%",IF(K512&lt;=0.3,"21-30%","Above 30%"))))</f>
        <v>1-10%</v>
      </c>
      <c r="R512" s="39" t="n">
        <f aca="false">I512*J512*MAX(0,K512-DiscountCap)</f>
        <v>0</v>
      </c>
    </row>
    <row r="513" customFormat="false" ht="15" hidden="false" customHeight="false" outlineLevel="0" collapsed="false">
      <c r="A513" s="37" t="s">
        <v>657</v>
      </c>
      <c r="B513" s="38" t="n">
        <v>45876</v>
      </c>
      <c r="C513" s="37" t="n">
        <f aca="false">MONTH(B513)</f>
        <v>8</v>
      </c>
      <c r="D513" s="37" t="s">
        <v>142</v>
      </c>
      <c r="E513" s="37" t="s">
        <v>47</v>
      </c>
      <c r="F513" s="37" t="s">
        <v>97</v>
      </c>
      <c r="G513" s="37" t="s">
        <v>90</v>
      </c>
      <c r="H513" s="37" t="s">
        <v>109</v>
      </c>
      <c r="I513" s="37" t="n">
        <v>2</v>
      </c>
      <c r="J513" s="39" t="n">
        <v>3499</v>
      </c>
      <c r="K513" s="40" t="n">
        <v>0.25</v>
      </c>
      <c r="L513" s="39" t="n">
        <f aca="false">VLOOKUP(H513,'Product List'!$A$3:$D$18,4,FALSE())</f>
        <v>2750</v>
      </c>
      <c r="M513" s="39" t="n">
        <f aca="false">I513*J513*(1-K513)</f>
        <v>5248.5</v>
      </c>
      <c r="N513" s="39" t="n">
        <f aca="false">I513*L513</f>
        <v>5500</v>
      </c>
      <c r="O513" s="39" t="n">
        <f aca="false">M513-N513</f>
        <v>-251.5</v>
      </c>
      <c r="P513" s="41" t="n">
        <f aca="false">IF(M513=0,0,O513/M513)</f>
        <v>-0.0479184528913023</v>
      </c>
      <c r="Q513" s="37" t="str">
        <f aca="false">IF(K513=0,"No discount",IF(K513&lt;=0.1,"1-10%",IF(K513&lt;=0.2,"11-20%",IF(K513&lt;=0.3,"21-30%","Above 30%"))))</f>
        <v>21-30%</v>
      </c>
      <c r="R513" s="39" t="n">
        <f aca="false">I513*J513*MAX(0,K513-DiscountCap)</f>
        <v>349.9</v>
      </c>
    </row>
    <row r="514" customFormat="false" ht="15" hidden="false" customHeight="false" outlineLevel="0" collapsed="false">
      <c r="A514" s="37" t="s">
        <v>658</v>
      </c>
      <c r="B514" s="38" t="n">
        <v>45890</v>
      </c>
      <c r="C514" s="37" t="n">
        <f aca="false">MONTH(B514)</f>
        <v>8</v>
      </c>
      <c r="D514" s="37" t="s">
        <v>146</v>
      </c>
      <c r="E514" s="37" t="s">
        <v>45</v>
      </c>
      <c r="F514" s="37" t="s">
        <v>96</v>
      </c>
      <c r="G514" s="37" t="s">
        <v>90</v>
      </c>
      <c r="H514" s="37" t="s">
        <v>109</v>
      </c>
      <c r="I514" s="37" t="n">
        <v>1</v>
      </c>
      <c r="J514" s="39" t="n">
        <v>3499</v>
      </c>
      <c r="K514" s="40" t="n">
        <v>0.05</v>
      </c>
      <c r="L514" s="39" t="n">
        <f aca="false">VLOOKUP(H514,'Product List'!$A$3:$D$18,4,FALSE())</f>
        <v>2750</v>
      </c>
      <c r="M514" s="39" t="n">
        <f aca="false">I514*J514*(1-K514)</f>
        <v>3324.05</v>
      </c>
      <c r="N514" s="39" t="n">
        <f aca="false">I514*L514</f>
        <v>2750</v>
      </c>
      <c r="O514" s="39" t="n">
        <f aca="false">M514-N514</f>
        <v>574.05</v>
      </c>
      <c r="P514" s="41" t="n">
        <f aca="false">IF(M514=0,0,O514/M514)</f>
        <v>0.172695958243709</v>
      </c>
      <c r="Q514" s="37" t="str">
        <f aca="false">IF(K514=0,"No discount",IF(K514&lt;=0.1,"1-10%",IF(K514&lt;=0.2,"11-20%",IF(K514&lt;=0.3,"21-30%","Above 30%"))))</f>
        <v>1-10%</v>
      </c>
      <c r="R514" s="39" t="n">
        <f aca="false">I514*J514*MAX(0,K514-DiscountCap)</f>
        <v>0</v>
      </c>
    </row>
    <row r="515" customFormat="false" ht="15" hidden="false" customHeight="false" outlineLevel="0" collapsed="false">
      <c r="A515" s="37" t="s">
        <v>659</v>
      </c>
      <c r="B515" s="38" t="n">
        <v>45878</v>
      </c>
      <c r="C515" s="37" t="n">
        <f aca="false">MONTH(B515)</f>
        <v>8</v>
      </c>
      <c r="D515" s="37" t="s">
        <v>169</v>
      </c>
      <c r="E515" s="37" t="s">
        <v>44</v>
      </c>
      <c r="F515" s="37" t="s">
        <v>96</v>
      </c>
      <c r="G515" s="37" t="s">
        <v>91</v>
      </c>
      <c r="H515" s="37" t="s">
        <v>118</v>
      </c>
      <c r="I515" s="37" t="n">
        <v>1</v>
      </c>
      <c r="J515" s="39" t="n">
        <v>2299</v>
      </c>
      <c r="K515" s="40" t="n">
        <v>0.05</v>
      </c>
      <c r="L515" s="39" t="n">
        <f aca="false">VLOOKUP(H515,'Product List'!$A$3:$D$18,4,FALSE())</f>
        <v>1300</v>
      </c>
      <c r="M515" s="39" t="n">
        <f aca="false">I515*J515*(1-K515)</f>
        <v>2184.05</v>
      </c>
      <c r="N515" s="39" t="n">
        <f aca="false">I515*L515</f>
        <v>1300</v>
      </c>
      <c r="O515" s="39" t="n">
        <f aca="false">M515-N515</f>
        <v>884.05</v>
      </c>
      <c r="P515" s="41" t="n">
        <f aca="false">IF(M515=0,0,O515/M515)</f>
        <v>0.404775531695703</v>
      </c>
      <c r="Q515" s="37" t="str">
        <f aca="false">IF(K515=0,"No discount",IF(K515&lt;=0.1,"1-10%",IF(K515&lt;=0.2,"11-20%",IF(K515&lt;=0.3,"21-30%","Above 30%"))))</f>
        <v>1-10%</v>
      </c>
      <c r="R515" s="39" t="n">
        <f aca="false">I515*J515*MAX(0,K515-DiscountCap)</f>
        <v>0</v>
      </c>
    </row>
    <row r="516" customFormat="false" ht="15" hidden="false" customHeight="false" outlineLevel="0" collapsed="false">
      <c r="A516" s="37" t="s">
        <v>660</v>
      </c>
      <c r="B516" s="38" t="n">
        <v>45875</v>
      </c>
      <c r="C516" s="37" t="n">
        <f aca="false">MONTH(B516)</f>
        <v>8</v>
      </c>
      <c r="D516" s="37" t="s">
        <v>154</v>
      </c>
      <c r="E516" s="37" t="s">
        <v>47</v>
      </c>
      <c r="F516" s="37" t="s">
        <v>97</v>
      </c>
      <c r="G516" s="37" t="s">
        <v>90</v>
      </c>
      <c r="H516" s="37" t="s">
        <v>111</v>
      </c>
      <c r="I516" s="37" t="n">
        <v>1</v>
      </c>
      <c r="J516" s="39" t="n">
        <v>2499</v>
      </c>
      <c r="K516" s="40" t="n">
        <v>0</v>
      </c>
      <c r="L516" s="39" t="n">
        <f aca="false">VLOOKUP(H516,'Product List'!$A$3:$D$18,4,FALSE())</f>
        <v>1950</v>
      </c>
      <c r="M516" s="39" t="n">
        <f aca="false">I516*J516*(1-K516)</f>
        <v>2499</v>
      </c>
      <c r="N516" s="39" t="n">
        <f aca="false">I516*L516</f>
        <v>1950</v>
      </c>
      <c r="O516" s="39" t="n">
        <f aca="false">M516-N516</f>
        <v>549</v>
      </c>
      <c r="P516" s="41" t="n">
        <f aca="false">IF(M516=0,0,O516/M516)</f>
        <v>0.21968787515006</v>
      </c>
      <c r="Q516" s="37" t="str">
        <f aca="false">IF(K516=0,"No discount",IF(K516&lt;=0.1,"1-10%",IF(K516&lt;=0.2,"11-20%",IF(K516&lt;=0.3,"21-30%","Above 30%"))))</f>
        <v>No discount</v>
      </c>
      <c r="R516" s="39" t="n">
        <f aca="false">I516*J516*MAX(0,K516-DiscountCap)</f>
        <v>0</v>
      </c>
    </row>
    <row r="517" customFormat="false" ht="15" hidden="false" customHeight="false" outlineLevel="0" collapsed="false">
      <c r="A517" s="37" t="s">
        <v>661</v>
      </c>
      <c r="B517" s="38" t="n">
        <v>45872</v>
      </c>
      <c r="C517" s="37" t="n">
        <f aca="false">MONTH(B517)</f>
        <v>8</v>
      </c>
      <c r="D517" s="37" t="s">
        <v>146</v>
      </c>
      <c r="E517" s="37" t="s">
        <v>45</v>
      </c>
      <c r="F517" s="37" t="s">
        <v>97</v>
      </c>
      <c r="G517" s="37" t="s">
        <v>91</v>
      </c>
      <c r="H517" s="37" t="s">
        <v>118</v>
      </c>
      <c r="I517" s="37" t="n">
        <v>4</v>
      </c>
      <c r="J517" s="39" t="n">
        <v>2299</v>
      </c>
      <c r="K517" s="40" t="n">
        <v>0</v>
      </c>
      <c r="L517" s="39" t="n">
        <f aca="false">VLOOKUP(H517,'Product List'!$A$3:$D$18,4,FALSE())</f>
        <v>1300</v>
      </c>
      <c r="M517" s="39" t="n">
        <f aca="false">I517*J517*(1-K517)</f>
        <v>9196</v>
      </c>
      <c r="N517" s="39" t="n">
        <f aca="false">I517*L517</f>
        <v>5200</v>
      </c>
      <c r="O517" s="39" t="n">
        <f aca="false">M517-N517</f>
        <v>3996</v>
      </c>
      <c r="P517" s="41" t="n">
        <f aca="false">IF(M517=0,0,O517/M517)</f>
        <v>0.434536755110918</v>
      </c>
      <c r="Q517" s="37" t="str">
        <f aca="false">IF(K517=0,"No discount",IF(K517&lt;=0.1,"1-10%",IF(K517&lt;=0.2,"11-20%",IF(K517&lt;=0.3,"21-30%","Above 30%"))))</f>
        <v>No discount</v>
      </c>
      <c r="R517" s="39" t="n">
        <f aca="false">I517*J517*MAX(0,K517-DiscountCap)</f>
        <v>0</v>
      </c>
    </row>
    <row r="518" customFormat="false" ht="15" hidden="false" customHeight="false" outlineLevel="0" collapsed="false">
      <c r="A518" s="37" t="s">
        <v>662</v>
      </c>
      <c r="B518" s="38" t="n">
        <v>45889</v>
      </c>
      <c r="C518" s="37" t="n">
        <f aca="false">MONTH(B518)</f>
        <v>8</v>
      </c>
      <c r="D518" s="37" t="s">
        <v>146</v>
      </c>
      <c r="E518" s="37" t="s">
        <v>45</v>
      </c>
      <c r="F518" s="37" t="s">
        <v>97</v>
      </c>
      <c r="G518" s="37" t="s">
        <v>93</v>
      </c>
      <c r="H518" s="37" t="s">
        <v>123</v>
      </c>
      <c r="I518" s="37" t="n">
        <v>2</v>
      </c>
      <c r="J518" s="39" t="n">
        <v>1299</v>
      </c>
      <c r="K518" s="40" t="n">
        <v>0</v>
      </c>
      <c r="L518" s="39" t="n">
        <f aca="false">VLOOKUP(H518,'Product List'!$A$3:$D$18,4,FALSE())</f>
        <v>700</v>
      </c>
      <c r="M518" s="39" t="n">
        <f aca="false">I518*J518*(1-K518)</f>
        <v>2598</v>
      </c>
      <c r="N518" s="39" t="n">
        <f aca="false">I518*L518</f>
        <v>1400</v>
      </c>
      <c r="O518" s="39" t="n">
        <f aca="false">M518-N518</f>
        <v>1198</v>
      </c>
      <c r="P518" s="41" t="n">
        <f aca="false">IF(M518=0,0,O518/M518)</f>
        <v>0.461123941493457</v>
      </c>
      <c r="Q518" s="37" t="str">
        <f aca="false">IF(K518=0,"No discount",IF(K518&lt;=0.1,"1-10%",IF(K518&lt;=0.2,"11-20%",IF(K518&lt;=0.3,"21-30%","Above 30%"))))</f>
        <v>No discount</v>
      </c>
      <c r="R518" s="39" t="n">
        <f aca="false">I518*J518*MAX(0,K518-DiscountCap)</f>
        <v>0</v>
      </c>
    </row>
    <row r="519" customFormat="false" ht="15" hidden="false" customHeight="false" outlineLevel="0" collapsed="false">
      <c r="A519" s="37" t="s">
        <v>663</v>
      </c>
      <c r="B519" s="38" t="n">
        <v>45878</v>
      </c>
      <c r="C519" s="37" t="n">
        <f aca="false">MONTH(B519)</f>
        <v>8</v>
      </c>
      <c r="D519" s="37" t="s">
        <v>136</v>
      </c>
      <c r="E519" s="37" t="s">
        <v>47</v>
      </c>
      <c r="F519" s="37" t="s">
        <v>96</v>
      </c>
      <c r="G519" s="37" t="s">
        <v>90</v>
      </c>
      <c r="H519" s="37" t="s">
        <v>111</v>
      </c>
      <c r="I519" s="37" t="n">
        <v>2</v>
      </c>
      <c r="J519" s="39" t="n">
        <v>2499</v>
      </c>
      <c r="K519" s="40" t="n">
        <v>0.25</v>
      </c>
      <c r="L519" s="39" t="n">
        <f aca="false">VLOOKUP(H519,'Product List'!$A$3:$D$18,4,FALSE())</f>
        <v>1950</v>
      </c>
      <c r="M519" s="39" t="n">
        <f aca="false">I519*J519*(1-K519)</f>
        <v>3748.5</v>
      </c>
      <c r="N519" s="39" t="n">
        <f aca="false">I519*L519</f>
        <v>3900</v>
      </c>
      <c r="O519" s="39" t="n">
        <f aca="false">M519-N519</f>
        <v>-151.5</v>
      </c>
      <c r="P519" s="41" t="n">
        <f aca="false">IF(M519=0,0,O519/M519)</f>
        <v>-0.0404161664665866</v>
      </c>
      <c r="Q519" s="37" t="str">
        <f aca="false">IF(K519=0,"No discount",IF(K519&lt;=0.1,"1-10%",IF(K519&lt;=0.2,"11-20%",IF(K519&lt;=0.3,"21-30%","Above 30%"))))</f>
        <v>21-30%</v>
      </c>
      <c r="R519" s="39" t="n">
        <f aca="false">I519*J519*MAX(0,K519-DiscountCap)</f>
        <v>249.9</v>
      </c>
    </row>
    <row r="520" customFormat="false" ht="15" hidden="false" customHeight="false" outlineLevel="0" collapsed="false">
      <c r="A520" s="37" t="s">
        <v>664</v>
      </c>
      <c r="B520" s="38" t="n">
        <v>45880</v>
      </c>
      <c r="C520" s="37" t="n">
        <f aca="false">MONTH(B520)</f>
        <v>8</v>
      </c>
      <c r="D520" s="37" t="s">
        <v>134</v>
      </c>
      <c r="E520" s="37" t="s">
        <v>45</v>
      </c>
      <c r="F520" s="37" t="s">
        <v>97</v>
      </c>
      <c r="G520" s="37" t="s">
        <v>91</v>
      </c>
      <c r="H520" s="37" t="s">
        <v>116</v>
      </c>
      <c r="I520" s="37" t="n">
        <v>2</v>
      </c>
      <c r="J520" s="39" t="n">
        <v>899</v>
      </c>
      <c r="K520" s="40" t="n">
        <v>0</v>
      </c>
      <c r="L520" s="39" t="n">
        <f aca="false">VLOOKUP(H520,'Product List'!$A$3:$D$18,4,FALSE())</f>
        <v>430</v>
      </c>
      <c r="M520" s="39" t="n">
        <f aca="false">I520*J520*(1-K520)</f>
        <v>1798</v>
      </c>
      <c r="N520" s="39" t="n">
        <f aca="false">I520*L520</f>
        <v>860</v>
      </c>
      <c r="O520" s="39" t="n">
        <f aca="false">M520-N520</f>
        <v>938</v>
      </c>
      <c r="P520" s="41" t="n">
        <f aca="false">IF(M520=0,0,O520/M520)</f>
        <v>0.521690767519466</v>
      </c>
      <c r="Q520" s="37" t="str">
        <f aca="false">IF(K520=0,"No discount",IF(K520&lt;=0.1,"1-10%",IF(K520&lt;=0.2,"11-20%",IF(K520&lt;=0.3,"21-30%","Above 30%"))))</f>
        <v>No discount</v>
      </c>
      <c r="R520" s="39" t="n">
        <f aca="false">I520*J520*MAX(0,K520-DiscountCap)</f>
        <v>0</v>
      </c>
    </row>
    <row r="521" customFormat="false" ht="15" hidden="false" customHeight="false" outlineLevel="0" collapsed="false">
      <c r="A521" s="37" t="s">
        <v>665</v>
      </c>
      <c r="B521" s="38" t="n">
        <v>45882</v>
      </c>
      <c r="C521" s="37" t="n">
        <f aca="false">MONTH(B521)</f>
        <v>8</v>
      </c>
      <c r="D521" s="37" t="s">
        <v>144</v>
      </c>
      <c r="E521" s="37" t="s">
        <v>45</v>
      </c>
      <c r="F521" s="37" t="s">
        <v>96</v>
      </c>
      <c r="G521" s="37" t="s">
        <v>92</v>
      </c>
      <c r="H521" s="37" t="s">
        <v>112</v>
      </c>
      <c r="I521" s="37" t="n">
        <v>5</v>
      </c>
      <c r="J521" s="39" t="n">
        <v>3299</v>
      </c>
      <c r="K521" s="40" t="n">
        <v>0.1</v>
      </c>
      <c r="L521" s="39" t="n">
        <f aca="false">VLOOKUP(H521,'Product List'!$A$3:$D$18,4,FALSE())</f>
        <v>2250</v>
      </c>
      <c r="M521" s="39" t="n">
        <f aca="false">I521*J521*(1-K521)</f>
        <v>14845.5</v>
      </c>
      <c r="N521" s="39" t="n">
        <f aca="false">I521*L521</f>
        <v>11250</v>
      </c>
      <c r="O521" s="39" t="n">
        <f aca="false">M521-N521</f>
        <v>3595.5</v>
      </c>
      <c r="P521" s="41" t="n">
        <f aca="false">IF(M521=0,0,O521/M521)</f>
        <v>0.242194604425584</v>
      </c>
      <c r="Q521" s="37" t="str">
        <f aca="false">IF(K521=0,"No discount",IF(K521&lt;=0.1,"1-10%",IF(K521&lt;=0.2,"11-20%",IF(K521&lt;=0.3,"21-30%","Above 30%"))))</f>
        <v>1-10%</v>
      </c>
      <c r="R521" s="39" t="n">
        <f aca="false">I521*J521*MAX(0,K521-DiscountCap)</f>
        <v>0</v>
      </c>
    </row>
    <row r="522" customFormat="false" ht="15" hidden="false" customHeight="false" outlineLevel="0" collapsed="false">
      <c r="A522" s="37" t="s">
        <v>666</v>
      </c>
      <c r="B522" s="38" t="n">
        <v>45892</v>
      </c>
      <c r="C522" s="37" t="n">
        <f aca="false">MONTH(B522)</f>
        <v>8</v>
      </c>
      <c r="D522" s="37" t="s">
        <v>146</v>
      </c>
      <c r="E522" s="37" t="s">
        <v>45</v>
      </c>
      <c r="F522" s="37" t="s">
        <v>96</v>
      </c>
      <c r="G522" s="37" t="s">
        <v>92</v>
      </c>
      <c r="H522" s="37" t="s">
        <v>112</v>
      </c>
      <c r="I522" s="37" t="n">
        <v>2</v>
      </c>
      <c r="J522" s="39" t="n">
        <v>3299</v>
      </c>
      <c r="K522" s="40" t="n">
        <v>0.3</v>
      </c>
      <c r="L522" s="39" t="n">
        <f aca="false">VLOOKUP(H522,'Product List'!$A$3:$D$18,4,FALSE())</f>
        <v>2250</v>
      </c>
      <c r="M522" s="39" t="n">
        <f aca="false">I522*J522*(1-K522)</f>
        <v>4618.6</v>
      </c>
      <c r="N522" s="39" t="n">
        <f aca="false">I522*L522</f>
        <v>4500</v>
      </c>
      <c r="O522" s="39" t="n">
        <f aca="false">M522-N522</f>
        <v>118.599999999999</v>
      </c>
      <c r="P522" s="41" t="n">
        <f aca="false">IF(M522=0,0,O522/M522)</f>
        <v>0.0256787771186073</v>
      </c>
      <c r="Q522" s="37" t="str">
        <f aca="false">IF(K522=0,"No discount",IF(K522&lt;=0.1,"1-10%",IF(K522&lt;=0.2,"11-20%",IF(K522&lt;=0.3,"21-30%","Above 30%"))))</f>
        <v>21-30%</v>
      </c>
      <c r="R522" s="39" t="n">
        <f aca="false">I522*J522*MAX(0,K522-DiscountCap)</f>
        <v>659.8</v>
      </c>
    </row>
    <row r="523" customFormat="false" ht="15" hidden="false" customHeight="false" outlineLevel="0" collapsed="false">
      <c r="A523" s="37" t="s">
        <v>667</v>
      </c>
      <c r="B523" s="38" t="n">
        <v>45873</v>
      </c>
      <c r="C523" s="37" t="n">
        <f aca="false">MONTH(B523)</f>
        <v>8</v>
      </c>
      <c r="D523" s="37" t="s">
        <v>134</v>
      </c>
      <c r="E523" s="37" t="s">
        <v>45</v>
      </c>
      <c r="F523" s="37" t="s">
        <v>96</v>
      </c>
      <c r="G523" s="37" t="s">
        <v>92</v>
      </c>
      <c r="H523" s="37" t="s">
        <v>115</v>
      </c>
      <c r="I523" s="37" t="n">
        <v>2</v>
      </c>
      <c r="J523" s="39" t="n">
        <v>1799</v>
      </c>
      <c r="K523" s="40" t="n">
        <v>0</v>
      </c>
      <c r="L523" s="39" t="n">
        <f aca="false">VLOOKUP(H523,'Product List'!$A$3:$D$18,4,FALSE())</f>
        <v>1150</v>
      </c>
      <c r="M523" s="39" t="n">
        <f aca="false">I523*J523*(1-K523)</f>
        <v>3598</v>
      </c>
      <c r="N523" s="39" t="n">
        <f aca="false">I523*L523</f>
        <v>2300</v>
      </c>
      <c r="O523" s="39" t="n">
        <f aca="false">M523-N523</f>
        <v>1298</v>
      </c>
      <c r="P523" s="41" t="n">
        <f aca="false">IF(M523=0,0,O523/M523)</f>
        <v>0.360755975541968</v>
      </c>
      <c r="Q523" s="37" t="str">
        <f aca="false">IF(K523=0,"No discount",IF(K523&lt;=0.1,"1-10%",IF(K523&lt;=0.2,"11-20%",IF(K523&lt;=0.3,"21-30%","Above 30%"))))</f>
        <v>No discount</v>
      </c>
      <c r="R523" s="39" t="n">
        <f aca="false">I523*J523*MAX(0,K523-DiscountCap)</f>
        <v>0</v>
      </c>
    </row>
    <row r="524" customFormat="false" ht="15" hidden="false" customHeight="false" outlineLevel="0" collapsed="false">
      <c r="A524" s="37" t="s">
        <v>668</v>
      </c>
      <c r="B524" s="38" t="n">
        <v>45900</v>
      </c>
      <c r="C524" s="37" t="n">
        <f aca="false">MONTH(B524)</f>
        <v>8</v>
      </c>
      <c r="D524" s="37" t="s">
        <v>136</v>
      </c>
      <c r="E524" s="37" t="s">
        <v>47</v>
      </c>
      <c r="F524" s="37" t="s">
        <v>96</v>
      </c>
      <c r="G524" s="37" t="s">
        <v>93</v>
      </c>
      <c r="H524" s="37" t="s">
        <v>120</v>
      </c>
      <c r="I524" s="37" t="n">
        <v>3</v>
      </c>
      <c r="J524" s="39" t="n">
        <v>449</v>
      </c>
      <c r="K524" s="40" t="n">
        <v>0.1</v>
      </c>
      <c r="L524" s="39" t="n">
        <f aca="false">VLOOKUP(H524,'Product List'!$A$3:$D$18,4,FALSE())</f>
        <v>240</v>
      </c>
      <c r="M524" s="39" t="n">
        <f aca="false">I524*J524*(1-K524)</f>
        <v>1212.3</v>
      </c>
      <c r="N524" s="39" t="n">
        <f aca="false">I524*L524</f>
        <v>720</v>
      </c>
      <c r="O524" s="39" t="n">
        <f aca="false">M524-N524</f>
        <v>492.3</v>
      </c>
      <c r="P524" s="41" t="n">
        <f aca="false">IF(M524=0,0,O524/M524)</f>
        <v>0.406087602078693</v>
      </c>
      <c r="Q524" s="37" t="str">
        <f aca="false">IF(K524=0,"No discount",IF(K524&lt;=0.1,"1-10%",IF(K524&lt;=0.2,"11-20%",IF(K524&lt;=0.3,"21-30%","Above 30%"))))</f>
        <v>1-10%</v>
      </c>
      <c r="R524" s="39" t="n">
        <f aca="false">I524*J524*MAX(0,K524-DiscountCap)</f>
        <v>0</v>
      </c>
    </row>
    <row r="525" customFormat="false" ht="15" hidden="false" customHeight="false" outlineLevel="0" collapsed="false">
      <c r="A525" s="37" t="s">
        <v>669</v>
      </c>
      <c r="B525" s="38" t="n">
        <v>45875</v>
      </c>
      <c r="C525" s="37" t="n">
        <f aca="false">MONTH(B525)</f>
        <v>8</v>
      </c>
      <c r="D525" s="37" t="s">
        <v>142</v>
      </c>
      <c r="E525" s="37" t="s">
        <v>47</v>
      </c>
      <c r="F525" s="37" t="s">
        <v>96</v>
      </c>
      <c r="G525" s="37" t="s">
        <v>92</v>
      </c>
      <c r="H525" s="37" t="s">
        <v>115</v>
      </c>
      <c r="I525" s="37" t="n">
        <v>3</v>
      </c>
      <c r="J525" s="39" t="n">
        <v>1799</v>
      </c>
      <c r="K525" s="40" t="n">
        <v>0.15</v>
      </c>
      <c r="L525" s="39" t="n">
        <f aca="false">VLOOKUP(H525,'Product List'!$A$3:$D$18,4,FALSE())</f>
        <v>1150</v>
      </c>
      <c r="M525" s="39" t="n">
        <f aca="false">I525*J525*(1-K525)</f>
        <v>4587.45</v>
      </c>
      <c r="N525" s="39" t="n">
        <f aca="false">I525*L525</f>
        <v>3450</v>
      </c>
      <c r="O525" s="39" t="n">
        <f aca="false">M525-N525</f>
        <v>1137.45</v>
      </c>
      <c r="P525" s="41" t="n">
        <f aca="false">IF(M525=0,0,O525/M525)</f>
        <v>0.247948206519962</v>
      </c>
      <c r="Q525" s="37" t="str">
        <f aca="false">IF(K525=0,"No discount",IF(K525&lt;=0.1,"1-10%",IF(K525&lt;=0.2,"11-20%",IF(K525&lt;=0.3,"21-30%","Above 30%"))))</f>
        <v>11-20%</v>
      </c>
      <c r="R525" s="39" t="n">
        <f aca="false">I525*J525*MAX(0,K525-DiscountCap)</f>
        <v>0</v>
      </c>
    </row>
    <row r="526" customFormat="false" ht="15" hidden="false" customHeight="false" outlineLevel="0" collapsed="false">
      <c r="A526" s="37" t="s">
        <v>670</v>
      </c>
      <c r="B526" s="38" t="n">
        <v>45878</v>
      </c>
      <c r="C526" s="37" t="n">
        <f aca="false">MONTH(B526)</f>
        <v>8</v>
      </c>
      <c r="D526" s="37" t="s">
        <v>169</v>
      </c>
      <c r="E526" s="37" t="s">
        <v>44</v>
      </c>
      <c r="F526" s="37" t="s">
        <v>96</v>
      </c>
      <c r="G526" s="37" t="s">
        <v>91</v>
      </c>
      <c r="H526" s="37" t="s">
        <v>117</v>
      </c>
      <c r="I526" s="37" t="n">
        <v>2</v>
      </c>
      <c r="J526" s="39" t="n">
        <v>1499</v>
      </c>
      <c r="K526" s="40" t="n">
        <v>0.15</v>
      </c>
      <c r="L526" s="39" t="n">
        <f aca="false">VLOOKUP(H526,'Product List'!$A$3:$D$18,4,FALSE())</f>
        <v>780</v>
      </c>
      <c r="M526" s="39" t="n">
        <f aca="false">I526*J526*(1-K526)</f>
        <v>2548.3</v>
      </c>
      <c r="N526" s="39" t="n">
        <f aca="false">I526*L526</f>
        <v>1560</v>
      </c>
      <c r="O526" s="39" t="n">
        <f aca="false">M526-N526</f>
        <v>988.3</v>
      </c>
      <c r="P526" s="41" t="n">
        <f aca="false">IF(M526=0,0,O526/M526)</f>
        <v>0.387827178903583</v>
      </c>
      <c r="Q526" s="37" t="str">
        <f aca="false">IF(K526=0,"No discount",IF(K526&lt;=0.1,"1-10%",IF(K526&lt;=0.2,"11-20%",IF(K526&lt;=0.3,"21-30%","Above 30%"))))</f>
        <v>11-20%</v>
      </c>
      <c r="R526" s="39" t="n">
        <f aca="false">I526*J526*MAX(0,K526-DiscountCap)</f>
        <v>0</v>
      </c>
    </row>
    <row r="527" customFormat="false" ht="15" hidden="false" customHeight="false" outlineLevel="0" collapsed="false">
      <c r="A527" s="37" t="s">
        <v>671</v>
      </c>
      <c r="B527" s="38" t="n">
        <v>45888</v>
      </c>
      <c r="C527" s="37" t="n">
        <f aca="false">MONTH(B527)</f>
        <v>8</v>
      </c>
      <c r="D527" s="37" t="s">
        <v>169</v>
      </c>
      <c r="E527" s="37" t="s">
        <v>44</v>
      </c>
      <c r="F527" s="37" t="s">
        <v>96</v>
      </c>
      <c r="G527" s="37" t="s">
        <v>92</v>
      </c>
      <c r="H527" s="37" t="s">
        <v>115</v>
      </c>
      <c r="I527" s="37" t="n">
        <v>2</v>
      </c>
      <c r="J527" s="39" t="n">
        <v>1799</v>
      </c>
      <c r="K527" s="40" t="n">
        <v>0.2</v>
      </c>
      <c r="L527" s="39" t="n">
        <f aca="false">VLOOKUP(H527,'Product List'!$A$3:$D$18,4,FALSE())</f>
        <v>1150</v>
      </c>
      <c r="M527" s="39" t="n">
        <f aca="false">I527*J527*(1-K527)</f>
        <v>2878.4</v>
      </c>
      <c r="N527" s="39" t="n">
        <f aca="false">I527*L527</f>
        <v>2300</v>
      </c>
      <c r="O527" s="39" t="n">
        <f aca="false">M527-N527</f>
        <v>578.4</v>
      </c>
      <c r="P527" s="41" t="n">
        <f aca="false">IF(M527=0,0,O527/M527)</f>
        <v>0.20094496942746</v>
      </c>
      <c r="Q527" s="37" t="str">
        <f aca="false">IF(K527=0,"No discount",IF(K527&lt;=0.1,"1-10%",IF(K527&lt;=0.2,"11-20%",IF(K527&lt;=0.3,"21-30%","Above 30%"))))</f>
        <v>11-20%</v>
      </c>
      <c r="R527" s="39" t="n">
        <f aca="false">I527*J527*MAX(0,K527-DiscountCap)</f>
        <v>0</v>
      </c>
    </row>
    <row r="528" customFormat="false" ht="15" hidden="false" customHeight="false" outlineLevel="0" collapsed="false">
      <c r="A528" s="37" t="s">
        <v>672</v>
      </c>
      <c r="B528" s="38" t="n">
        <v>45873</v>
      </c>
      <c r="C528" s="37" t="n">
        <f aca="false">MONTH(B528)</f>
        <v>8</v>
      </c>
      <c r="D528" s="37" t="s">
        <v>166</v>
      </c>
      <c r="E528" s="37" t="s">
        <v>44</v>
      </c>
      <c r="F528" s="37" t="s">
        <v>97</v>
      </c>
      <c r="G528" s="37" t="s">
        <v>90</v>
      </c>
      <c r="H528" s="37" t="s">
        <v>109</v>
      </c>
      <c r="I528" s="37" t="n">
        <v>2</v>
      </c>
      <c r="J528" s="39" t="n">
        <v>3499</v>
      </c>
      <c r="K528" s="40" t="n">
        <v>0.05</v>
      </c>
      <c r="L528" s="39" t="n">
        <f aca="false">VLOOKUP(H528,'Product List'!$A$3:$D$18,4,FALSE())</f>
        <v>2750</v>
      </c>
      <c r="M528" s="39" t="n">
        <f aca="false">I528*J528*(1-K528)</f>
        <v>6648.1</v>
      </c>
      <c r="N528" s="39" t="n">
        <f aca="false">I528*L528</f>
        <v>5500</v>
      </c>
      <c r="O528" s="39" t="n">
        <f aca="false">M528-N528</f>
        <v>1148.1</v>
      </c>
      <c r="P528" s="41" t="n">
        <f aca="false">IF(M528=0,0,O528/M528)</f>
        <v>0.172695958243709</v>
      </c>
      <c r="Q528" s="37" t="str">
        <f aca="false">IF(K528=0,"No discount",IF(K528&lt;=0.1,"1-10%",IF(K528&lt;=0.2,"11-20%",IF(K528&lt;=0.3,"21-30%","Above 30%"))))</f>
        <v>1-10%</v>
      </c>
      <c r="R528" s="39" t="n">
        <f aca="false">I528*J528*MAX(0,K528-DiscountCap)</f>
        <v>0</v>
      </c>
    </row>
    <row r="529" customFormat="false" ht="15" hidden="false" customHeight="false" outlineLevel="0" collapsed="false">
      <c r="A529" s="37" t="s">
        <v>673</v>
      </c>
      <c r="B529" s="38" t="n">
        <v>45870</v>
      </c>
      <c r="C529" s="37" t="n">
        <f aca="false">MONTH(B529)</f>
        <v>8</v>
      </c>
      <c r="D529" s="37" t="s">
        <v>144</v>
      </c>
      <c r="E529" s="37" t="s">
        <v>45</v>
      </c>
      <c r="F529" s="37" t="s">
        <v>97</v>
      </c>
      <c r="G529" s="37" t="s">
        <v>93</v>
      </c>
      <c r="H529" s="37" t="s">
        <v>123</v>
      </c>
      <c r="I529" s="37" t="n">
        <v>1</v>
      </c>
      <c r="J529" s="39" t="n">
        <v>1299</v>
      </c>
      <c r="K529" s="40" t="n">
        <v>0.05</v>
      </c>
      <c r="L529" s="39" t="n">
        <f aca="false">VLOOKUP(H529,'Product List'!$A$3:$D$18,4,FALSE())</f>
        <v>700</v>
      </c>
      <c r="M529" s="39" t="n">
        <f aca="false">I529*J529*(1-K529)</f>
        <v>1234.05</v>
      </c>
      <c r="N529" s="39" t="n">
        <f aca="false">I529*L529</f>
        <v>700</v>
      </c>
      <c r="O529" s="39" t="n">
        <f aca="false">M529-N529</f>
        <v>534.05</v>
      </c>
      <c r="P529" s="41" t="n">
        <f aca="false">IF(M529=0,0,O529/M529)</f>
        <v>0.432762043677323</v>
      </c>
      <c r="Q529" s="37" t="str">
        <f aca="false">IF(K529=0,"No discount",IF(K529&lt;=0.1,"1-10%",IF(K529&lt;=0.2,"11-20%",IF(K529&lt;=0.3,"21-30%","Above 30%"))))</f>
        <v>1-10%</v>
      </c>
      <c r="R529" s="39" t="n">
        <f aca="false">I529*J529*MAX(0,K529-DiscountCap)</f>
        <v>0</v>
      </c>
    </row>
    <row r="530" customFormat="false" ht="15" hidden="false" customHeight="false" outlineLevel="0" collapsed="false">
      <c r="A530" s="37" t="s">
        <v>674</v>
      </c>
      <c r="B530" s="38" t="n">
        <v>45884</v>
      </c>
      <c r="C530" s="37" t="n">
        <f aca="false">MONTH(B530)</f>
        <v>8</v>
      </c>
      <c r="D530" s="37" t="s">
        <v>146</v>
      </c>
      <c r="E530" s="37" t="s">
        <v>45</v>
      </c>
      <c r="F530" s="37" t="s">
        <v>96</v>
      </c>
      <c r="G530" s="37" t="s">
        <v>90</v>
      </c>
      <c r="H530" s="37" t="s">
        <v>110</v>
      </c>
      <c r="I530" s="37" t="n">
        <v>2</v>
      </c>
      <c r="J530" s="39" t="n">
        <v>1299</v>
      </c>
      <c r="K530" s="40" t="n">
        <v>0.2</v>
      </c>
      <c r="L530" s="39" t="n">
        <f aca="false">VLOOKUP(H530,'Product List'!$A$3:$D$18,4,FALSE())</f>
        <v>1000</v>
      </c>
      <c r="M530" s="39" t="n">
        <f aca="false">I530*J530*(1-K530)</f>
        <v>2078.4</v>
      </c>
      <c r="N530" s="39" t="n">
        <f aca="false">I530*L530</f>
        <v>2000</v>
      </c>
      <c r="O530" s="39" t="n">
        <f aca="false">M530-N530</f>
        <v>78.4000000000001</v>
      </c>
      <c r="P530" s="41" t="n">
        <f aca="false">IF(M530=0,0,O530/M530)</f>
        <v>0.0377213240954581</v>
      </c>
      <c r="Q530" s="37" t="str">
        <f aca="false">IF(K530=0,"No discount",IF(K530&lt;=0.1,"1-10%",IF(K530&lt;=0.2,"11-20%",IF(K530&lt;=0.3,"21-30%","Above 30%"))))</f>
        <v>11-20%</v>
      </c>
      <c r="R530" s="39" t="n">
        <f aca="false">I530*J530*MAX(0,K530-DiscountCap)</f>
        <v>0</v>
      </c>
    </row>
    <row r="531" customFormat="false" ht="15" hidden="false" customHeight="false" outlineLevel="0" collapsed="false">
      <c r="A531" s="37" t="s">
        <v>675</v>
      </c>
      <c r="B531" s="38" t="n">
        <v>45893</v>
      </c>
      <c r="C531" s="37" t="n">
        <f aca="false">MONTH(B531)</f>
        <v>8</v>
      </c>
      <c r="D531" s="37" t="s">
        <v>172</v>
      </c>
      <c r="E531" s="37" t="s">
        <v>46</v>
      </c>
      <c r="F531" s="37" t="s">
        <v>96</v>
      </c>
      <c r="G531" s="37" t="s">
        <v>93</v>
      </c>
      <c r="H531" s="37" t="s">
        <v>122</v>
      </c>
      <c r="I531" s="37" t="n">
        <v>2</v>
      </c>
      <c r="J531" s="39" t="n">
        <v>1799</v>
      </c>
      <c r="K531" s="40" t="n">
        <v>0.05</v>
      </c>
      <c r="L531" s="39" t="n">
        <f aca="false">VLOOKUP(H531,'Product List'!$A$3:$D$18,4,FALSE())</f>
        <v>1250</v>
      </c>
      <c r="M531" s="39" t="n">
        <f aca="false">I531*J531*(1-K531)</f>
        <v>3418.1</v>
      </c>
      <c r="N531" s="39" t="n">
        <f aca="false">I531*L531</f>
        <v>2500</v>
      </c>
      <c r="O531" s="39" t="n">
        <f aca="false">M531-N531</f>
        <v>918.1</v>
      </c>
      <c r="P531" s="41" t="n">
        <f aca="false">IF(M531=0,0,O531/M531)</f>
        <v>0.268599514350078</v>
      </c>
      <c r="Q531" s="37" t="str">
        <f aca="false">IF(K531=0,"No discount",IF(K531&lt;=0.1,"1-10%",IF(K531&lt;=0.2,"11-20%",IF(K531&lt;=0.3,"21-30%","Above 30%"))))</f>
        <v>1-10%</v>
      </c>
      <c r="R531" s="39" t="n">
        <f aca="false">I531*J531*MAX(0,K531-DiscountCap)</f>
        <v>0</v>
      </c>
    </row>
    <row r="532" customFormat="false" ht="15" hidden="false" customHeight="false" outlineLevel="0" collapsed="false">
      <c r="A532" s="37" t="s">
        <v>676</v>
      </c>
      <c r="B532" s="38" t="n">
        <v>45894</v>
      </c>
      <c r="C532" s="37" t="n">
        <f aca="false">MONTH(B532)</f>
        <v>8</v>
      </c>
      <c r="D532" s="37" t="s">
        <v>146</v>
      </c>
      <c r="E532" s="37" t="s">
        <v>45</v>
      </c>
      <c r="F532" s="37" t="s">
        <v>97</v>
      </c>
      <c r="G532" s="37" t="s">
        <v>90</v>
      </c>
      <c r="H532" s="37" t="s">
        <v>109</v>
      </c>
      <c r="I532" s="37" t="n">
        <v>5</v>
      </c>
      <c r="J532" s="39" t="n">
        <v>3499</v>
      </c>
      <c r="K532" s="40" t="n">
        <v>0.1</v>
      </c>
      <c r="L532" s="39" t="n">
        <f aca="false">VLOOKUP(H532,'Product List'!$A$3:$D$18,4,FALSE())</f>
        <v>2750</v>
      </c>
      <c r="M532" s="39" t="n">
        <f aca="false">I532*J532*(1-K532)</f>
        <v>15745.5</v>
      </c>
      <c r="N532" s="39" t="n">
        <f aca="false">I532*L532</f>
        <v>13750</v>
      </c>
      <c r="O532" s="39" t="n">
        <f aca="false">M532-N532</f>
        <v>1995.5</v>
      </c>
      <c r="P532" s="41" t="n">
        <f aca="false">IF(M532=0,0,O532/M532)</f>
        <v>0.126734622590581</v>
      </c>
      <c r="Q532" s="37" t="str">
        <f aca="false">IF(K532=0,"No discount",IF(K532&lt;=0.1,"1-10%",IF(K532&lt;=0.2,"11-20%",IF(K532&lt;=0.3,"21-30%","Above 30%"))))</f>
        <v>1-10%</v>
      </c>
      <c r="R532" s="39" t="n">
        <f aca="false">I532*J532*MAX(0,K532-DiscountCap)</f>
        <v>0</v>
      </c>
    </row>
    <row r="533" customFormat="false" ht="15" hidden="false" customHeight="false" outlineLevel="0" collapsed="false">
      <c r="A533" s="37" t="s">
        <v>677</v>
      </c>
      <c r="B533" s="38" t="n">
        <v>45877</v>
      </c>
      <c r="C533" s="37" t="n">
        <f aca="false">MONTH(B533)</f>
        <v>8</v>
      </c>
      <c r="D533" s="37" t="s">
        <v>154</v>
      </c>
      <c r="E533" s="37" t="s">
        <v>47</v>
      </c>
      <c r="F533" s="37" t="s">
        <v>97</v>
      </c>
      <c r="G533" s="37" t="s">
        <v>93</v>
      </c>
      <c r="H533" s="37" t="s">
        <v>122</v>
      </c>
      <c r="I533" s="37" t="n">
        <v>3</v>
      </c>
      <c r="J533" s="39" t="n">
        <v>1799</v>
      </c>
      <c r="K533" s="40" t="n">
        <v>0.05</v>
      </c>
      <c r="L533" s="39" t="n">
        <f aca="false">VLOOKUP(H533,'Product List'!$A$3:$D$18,4,FALSE())</f>
        <v>1250</v>
      </c>
      <c r="M533" s="39" t="n">
        <f aca="false">I533*J533*(1-K533)</f>
        <v>5127.15</v>
      </c>
      <c r="N533" s="39" t="n">
        <f aca="false">I533*L533</f>
        <v>3750</v>
      </c>
      <c r="O533" s="39" t="n">
        <f aca="false">M533-N533</f>
        <v>1377.15</v>
      </c>
      <c r="P533" s="41" t="n">
        <f aca="false">IF(M533=0,0,O533/M533)</f>
        <v>0.268599514350077</v>
      </c>
      <c r="Q533" s="37" t="str">
        <f aca="false">IF(K533=0,"No discount",IF(K533&lt;=0.1,"1-10%",IF(K533&lt;=0.2,"11-20%",IF(K533&lt;=0.3,"21-30%","Above 30%"))))</f>
        <v>1-10%</v>
      </c>
      <c r="R533" s="39" t="n">
        <f aca="false">I533*J533*MAX(0,K533-DiscountCap)</f>
        <v>0</v>
      </c>
    </row>
    <row r="534" customFormat="false" ht="15" hidden="false" customHeight="false" outlineLevel="0" collapsed="false">
      <c r="A534" s="37" t="s">
        <v>678</v>
      </c>
      <c r="B534" s="38" t="n">
        <v>45882</v>
      </c>
      <c r="C534" s="37" t="n">
        <f aca="false">MONTH(B534)</f>
        <v>8</v>
      </c>
      <c r="D534" s="37" t="s">
        <v>146</v>
      </c>
      <c r="E534" s="37" t="s">
        <v>45</v>
      </c>
      <c r="F534" s="37" t="s">
        <v>96</v>
      </c>
      <c r="G534" s="37" t="s">
        <v>90</v>
      </c>
      <c r="H534" s="37" t="s">
        <v>110</v>
      </c>
      <c r="I534" s="37" t="n">
        <v>2</v>
      </c>
      <c r="J534" s="39" t="n">
        <v>1299</v>
      </c>
      <c r="K534" s="40" t="n">
        <v>0.15</v>
      </c>
      <c r="L534" s="39" t="n">
        <f aca="false">VLOOKUP(H534,'Product List'!$A$3:$D$18,4,FALSE())</f>
        <v>1000</v>
      </c>
      <c r="M534" s="39" t="n">
        <f aca="false">I534*J534*(1-K534)</f>
        <v>2208.3</v>
      </c>
      <c r="N534" s="39" t="n">
        <f aca="false">I534*L534</f>
        <v>2000</v>
      </c>
      <c r="O534" s="39" t="n">
        <f aca="false">M534-N534</f>
        <v>208.3</v>
      </c>
      <c r="P534" s="41" t="n">
        <f aca="false">IF(M534=0,0,O534/M534)</f>
        <v>0.0943259520898428</v>
      </c>
      <c r="Q534" s="37" t="str">
        <f aca="false">IF(K534=0,"No discount",IF(K534&lt;=0.1,"1-10%",IF(K534&lt;=0.2,"11-20%",IF(K534&lt;=0.3,"21-30%","Above 30%"))))</f>
        <v>11-20%</v>
      </c>
      <c r="R534" s="39" t="n">
        <f aca="false">I534*J534*MAX(0,K534-DiscountCap)</f>
        <v>0</v>
      </c>
    </row>
    <row r="535" customFormat="false" ht="15" hidden="false" customHeight="false" outlineLevel="0" collapsed="false">
      <c r="A535" s="37" t="s">
        <v>679</v>
      </c>
      <c r="B535" s="38" t="n">
        <v>45882</v>
      </c>
      <c r="C535" s="37" t="n">
        <f aca="false">MONTH(B535)</f>
        <v>8</v>
      </c>
      <c r="D535" s="37" t="s">
        <v>144</v>
      </c>
      <c r="E535" s="37" t="s">
        <v>45</v>
      </c>
      <c r="F535" s="37" t="s">
        <v>97</v>
      </c>
      <c r="G535" s="37" t="s">
        <v>93</v>
      </c>
      <c r="H535" s="37" t="s">
        <v>120</v>
      </c>
      <c r="I535" s="37" t="n">
        <v>1</v>
      </c>
      <c r="J535" s="39" t="n">
        <v>449</v>
      </c>
      <c r="K535" s="40" t="n">
        <v>0</v>
      </c>
      <c r="L535" s="39" t="n">
        <f aca="false">VLOOKUP(H535,'Product List'!$A$3:$D$18,4,FALSE())</f>
        <v>240</v>
      </c>
      <c r="M535" s="39" t="n">
        <f aca="false">I535*J535*(1-K535)</f>
        <v>449</v>
      </c>
      <c r="N535" s="39" t="n">
        <f aca="false">I535*L535</f>
        <v>240</v>
      </c>
      <c r="O535" s="39" t="n">
        <f aca="false">M535-N535</f>
        <v>209</v>
      </c>
      <c r="P535" s="41" t="n">
        <f aca="false">IF(M535=0,0,O535/M535)</f>
        <v>0.465478841870824</v>
      </c>
      <c r="Q535" s="37" t="str">
        <f aca="false">IF(K535=0,"No discount",IF(K535&lt;=0.1,"1-10%",IF(K535&lt;=0.2,"11-20%",IF(K535&lt;=0.3,"21-30%","Above 30%"))))</f>
        <v>No discount</v>
      </c>
      <c r="R535" s="39" t="n">
        <f aca="false">I535*J535*MAX(0,K535-DiscountCap)</f>
        <v>0</v>
      </c>
    </row>
    <row r="536" customFormat="false" ht="15" hidden="false" customHeight="false" outlineLevel="0" collapsed="false">
      <c r="A536" s="37" t="s">
        <v>680</v>
      </c>
      <c r="B536" s="38" t="n">
        <v>45874</v>
      </c>
      <c r="C536" s="37" t="n">
        <f aca="false">MONTH(B536)</f>
        <v>8</v>
      </c>
      <c r="D536" s="37" t="s">
        <v>166</v>
      </c>
      <c r="E536" s="37" t="s">
        <v>44</v>
      </c>
      <c r="F536" s="37" t="s">
        <v>96</v>
      </c>
      <c r="G536" s="37" t="s">
        <v>91</v>
      </c>
      <c r="H536" s="37" t="s">
        <v>118</v>
      </c>
      <c r="I536" s="37" t="n">
        <v>1</v>
      </c>
      <c r="J536" s="39" t="n">
        <v>2299</v>
      </c>
      <c r="K536" s="40" t="n">
        <v>0.1</v>
      </c>
      <c r="L536" s="39" t="n">
        <f aca="false">VLOOKUP(H536,'Product List'!$A$3:$D$18,4,FALSE())</f>
        <v>1300</v>
      </c>
      <c r="M536" s="39" t="n">
        <f aca="false">I536*J536*(1-K536)</f>
        <v>2069.1</v>
      </c>
      <c r="N536" s="39" t="n">
        <f aca="false">I536*L536</f>
        <v>1300</v>
      </c>
      <c r="O536" s="39" t="n">
        <f aca="false">M536-N536</f>
        <v>769.1</v>
      </c>
      <c r="P536" s="41" t="n">
        <f aca="false">IF(M536=0,0,O536/M536)</f>
        <v>0.371707505678798</v>
      </c>
      <c r="Q536" s="37" t="str">
        <f aca="false">IF(K536=0,"No discount",IF(K536&lt;=0.1,"1-10%",IF(K536&lt;=0.2,"11-20%",IF(K536&lt;=0.3,"21-30%","Above 30%"))))</f>
        <v>1-10%</v>
      </c>
      <c r="R536" s="39" t="n">
        <f aca="false">I536*J536*MAX(0,K536-DiscountCap)</f>
        <v>0</v>
      </c>
    </row>
    <row r="537" customFormat="false" ht="15" hidden="false" customHeight="false" outlineLevel="0" collapsed="false">
      <c r="A537" s="37" t="s">
        <v>681</v>
      </c>
      <c r="B537" s="38" t="n">
        <v>45887</v>
      </c>
      <c r="C537" s="37" t="n">
        <f aca="false">MONTH(B537)</f>
        <v>8</v>
      </c>
      <c r="D537" s="37" t="s">
        <v>140</v>
      </c>
      <c r="E537" s="37" t="s">
        <v>44</v>
      </c>
      <c r="F537" s="37" t="s">
        <v>97</v>
      </c>
      <c r="G537" s="37" t="s">
        <v>90</v>
      </c>
      <c r="H537" s="37" t="s">
        <v>109</v>
      </c>
      <c r="I537" s="37" t="n">
        <v>1</v>
      </c>
      <c r="J537" s="39" t="n">
        <v>3499</v>
      </c>
      <c r="K537" s="40" t="n">
        <v>0.1</v>
      </c>
      <c r="L537" s="39" t="n">
        <f aca="false">VLOOKUP(H537,'Product List'!$A$3:$D$18,4,FALSE())</f>
        <v>2750</v>
      </c>
      <c r="M537" s="39" t="n">
        <f aca="false">I537*J537*(1-K537)</f>
        <v>3149.1</v>
      </c>
      <c r="N537" s="39" t="n">
        <f aca="false">I537*L537</f>
        <v>2750</v>
      </c>
      <c r="O537" s="39" t="n">
        <f aca="false">M537-N537</f>
        <v>399.1</v>
      </c>
      <c r="P537" s="41" t="n">
        <f aca="false">IF(M537=0,0,O537/M537)</f>
        <v>0.126734622590581</v>
      </c>
      <c r="Q537" s="37" t="str">
        <f aca="false">IF(K537=0,"No discount",IF(K537&lt;=0.1,"1-10%",IF(K537&lt;=0.2,"11-20%",IF(K537&lt;=0.3,"21-30%","Above 30%"))))</f>
        <v>1-10%</v>
      </c>
      <c r="R537" s="39" t="n">
        <f aca="false">I537*J537*MAX(0,K537-DiscountCap)</f>
        <v>0</v>
      </c>
    </row>
    <row r="538" customFormat="false" ht="15" hidden="false" customHeight="false" outlineLevel="0" collapsed="false">
      <c r="A538" s="37" t="s">
        <v>682</v>
      </c>
      <c r="B538" s="38" t="n">
        <v>45891</v>
      </c>
      <c r="C538" s="37" t="n">
        <f aca="false">MONTH(B538)</f>
        <v>8</v>
      </c>
      <c r="D538" s="37" t="s">
        <v>146</v>
      </c>
      <c r="E538" s="37" t="s">
        <v>45</v>
      </c>
      <c r="F538" s="37" t="s">
        <v>96</v>
      </c>
      <c r="G538" s="37" t="s">
        <v>90</v>
      </c>
      <c r="H538" s="37" t="s">
        <v>109</v>
      </c>
      <c r="I538" s="37" t="n">
        <v>1</v>
      </c>
      <c r="J538" s="39" t="n">
        <v>3499</v>
      </c>
      <c r="K538" s="40" t="n">
        <v>0.25</v>
      </c>
      <c r="L538" s="39" t="n">
        <f aca="false">VLOOKUP(H538,'Product List'!$A$3:$D$18,4,FALSE())</f>
        <v>2750</v>
      </c>
      <c r="M538" s="39" t="n">
        <f aca="false">I538*J538*(1-K538)</f>
        <v>2624.25</v>
      </c>
      <c r="N538" s="39" t="n">
        <f aca="false">I538*L538</f>
        <v>2750</v>
      </c>
      <c r="O538" s="39" t="n">
        <f aca="false">M538-N538</f>
        <v>-125.75</v>
      </c>
      <c r="P538" s="41" t="n">
        <f aca="false">IF(M538=0,0,O538/M538)</f>
        <v>-0.0479184528913023</v>
      </c>
      <c r="Q538" s="37" t="str">
        <f aca="false">IF(K538=0,"No discount",IF(K538&lt;=0.1,"1-10%",IF(K538&lt;=0.2,"11-20%",IF(K538&lt;=0.3,"21-30%","Above 30%"))))</f>
        <v>21-30%</v>
      </c>
      <c r="R538" s="39" t="n">
        <f aca="false">I538*J538*MAX(0,K538-DiscountCap)</f>
        <v>174.95</v>
      </c>
    </row>
    <row r="539" customFormat="false" ht="15" hidden="false" customHeight="false" outlineLevel="0" collapsed="false">
      <c r="A539" s="37" t="s">
        <v>683</v>
      </c>
      <c r="B539" s="38" t="n">
        <v>45899</v>
      </c>
      <c r="C539" s="37" t="n">
        <f aca="false">MONTH(B539)</f>
        <v>8</v>
      </c>
      <c r="D539" s="37" t="s">
        <v>136</v>
      </c>
      <c r="E539" s="37" t="s">
        <v>47</v>
      </c>
      <c r="F539" s="37" t="s">
        <v>97</v>
      </c>
      <c r="G539" s="37" t="s">
        <v>92</v>
      </c>
      <c r="H539" s="37" t="s">
        <v>112</v>
      </c>
      <c r="I539" s="37" t="n">
        <v>1</v>
      </c>
      <c r="J539" s="39" t="n">
        <v>3299</v>
      </c>
      <c r="K539" s="40" t="n">
        <v>0</v>
      </c>
      <c r="L539" s="39" t="n">
        <f aca="false">VLOOKUP(H539,'Product List'!$A$3:$D$18,4,FALSE())</f>
        <v>2250</v>
      </c>
      <c r="M539" s="39" t="n">
        <f aca="false">I539*J539*(1-K539)</f>
        <v>3299</v>
      </c>
      <c r="N539" s="39" t="n">
        <f aca="false">I539*L539</f>
        <v>2250</v>
      </c>
      <c r="O539" s="39" t="n">
        <f aca="false">M539-N539</f>
        <v>1049</v>
      </c>
      <c r="P539" s="41" t="n">
        <f aca="false">IF(M539=0,0,O539/M539)</f>
        <v>0.317975143983025</v>
      </c>
      <c r="Q539" s="37" t="str">
        <f aca="false">IF(K539=0,"No discount",IF(K539&lt;=0.1,"1-10%",IF(K539&lt;=0.2,"11-20%",IF(K539&lt;=0.3,"21-30%","Above 30%"))))</f>
        <v>No discount</v>
      </c>
      <c r="R539" s="39" t="n">
        <f aca="false">I539*J539*MAX(0,K539-DiscountCap)</f>
        <v>0</v>
      </c>
    </row>
    <row r="540" customFormat="false" ht="15" hidden="false" customHeight="false" outlineLevel="0" collapsed="false">
      <c r="A540" s="37" t="s">
        <v>684</v>
      </c>
      <c r="B540" s="38" t="n">
        <v>45878</v>
      </c>
      <c r="C540" s="37" t="n">
        <f aca="false">MONTH(B540)</f>
        <v>8</v>
      </c>
      <c r="D540" s="37" t="s">
        <v>169</v>
      </c>
      <c r="E540" s="37" t="s">
        <v>44</v>
      </c>
      <c r="F540" s="37" t="s">
        <v>96</v>
      </c>
      <c r="G540" s="37" t="s">
        <v>90</v>
      </c>
      <c r="H540" s="37" t="s">
        <v>108</v>
      </c>
      <c r="I540" s="37" t="n">
        <v>1</v>
      </c>
      <c r="J540" s="39" t="n">
        <v>1999</v>
      </c>
      <c r="K540" s="40" t="n">
        <v>0.1</v>
      </c>
      <c r="L540" s="39" t="n">
        <f aca="false">VLOOKUP(H540,'Product List'!$A$3:$D$18,4,FALSE())</f>
        <v>1560</v>
      </c>
      <c r="M540" s="39" t="n">
        <f aca="false">I540*J540*(1-K540)</f>
        <v>1799.1</v>
      </c>
      <c r="N540" s="39" t="n">
        <f aca="false">I540*L540</f>
        <v>1560</v>
      </c>
      <c r="O540" s="39" t="n">
        <f aca="false">M540-N540</f>
        <v>239.1</v>
      </c>
      <c r="P540" s="41" t="n">
        <f aca="false">IF(M540=0,0,O540/M540)</f>
        <v>0.132899783224946</v>
      </c>
      <c r="Q540" s="37" t="str">
        <f aca="false">IF(K540=0,"No discount",IF(K540&lt;=0.1,"1-10%",IF(K540&lt;=0.2,"11-20%",IF(K540&lt;=0.3,"21-30%","Above 30%"))))</f>
        <v>1-10%</v>
      </c>
      <c r="R540" s="39" t="n">
        <f aca="false">I540*J540*MAX(0,K540-DiscountCap)</f>
        <v>0</v>
      </c>
    </row>
    <row r="541" customFormat="false" ht="15" hidden="false" customHeight="false" outlineLevel="0" collapsed="false">
      <c r="A541" s="37" t="s">
        <v>685</v>
      </c>
      <c r="B541" s="38" t="n">
        <v>45876</v>
      </c>
      <c r="C541" s="37" t="n">
        <f aca="false">MONTH(B541)</f>
        <v>8</v>
      </c>
      <c r="D541" s="37" t="s">
        <v>144</v>
      </c>
      <c r="E541" s="37" t="s">
        <v>45</v>
      </c>
      <c r="F541" s="37" t="s">
        <v>96</v>
      </c>
      <c r="G541" s="37" t="s">
        <v>90</v>
      </c>
      <c r="H541" s="37" t="s">
        <v>108</v>
      </c>
      <c r="I541" s="37" t="n">
        <v>3</v>
      </c>
      <c r="J541" s="39" t="n">
        <v>1999</v>
      </c>
      <c r="K541" s="40" t="n">
        <v>0.2</v>
      </c>
      <c r="L541" s="39" t="n">
        <f aca="false">VLOOKUP(H541,'Product List'!$A$3:$D$18,4,FALSE())</f>
        <v>1560</v>
      </c>
      <c r="M541" s="39" t="n">
        <f aca="false">I541*J541*(1-K541)</f>
        <v>4797.6</v>
      </c>
      <c r="N541" s="39" t="n">
        <f aca="false">I541*L541</f>
        <v>4680</v>
      </c>
      <c r="O541" s="39" t="n">
        <f aca="false">M541-N541</f>
        <v>117.6</v>
      </c>
      <c r="P541" s="41" t="n">
        <f aca="false">IF(M541=0,0,O541/M541)</f>
        <v>0.0245122561280641</v>
      </c>
      <c r="Q541" s="37" t="str">
        <f aca="false">IF(K541=0,"No discount",IF(K541&lt;=0.1,"1-10%",IF(K541&lt;=0.2,"11-20%",IF(K541&lt;=0.3,"21-30%","Above 30%"))))</f>
        <v>11-20%</v>
      </c>
      <c r="R541" s="39" t="n">
        <f aca="false">I541*J541*MAX(0,K541-DiscountCap)</f>
        <v>0</v>
      </c>
    </row>
    <row r="542" customFormat="false" ht="15" hidden="false" customHeight="false" outlineLevel="0" collapsed="false">
      <c r="A542" s="37" t="s">
        <v>686</v>
      </c>
      <c r="B542" s="38" t="n">
        <v>45900</v>
      </c>
      <c r="C542" s="37" t="n">
        <f aca="false">MONTH(B542)</f>
        <v>8</v>
      </c>
      <c r="D542" s="37" t="s">
        <v>140</v>
      </c>
      <c r="E542" s="37" t="s">
        <v>44</v>
      </c>
      <c r="F542" s="37" t="s">
        <v>97</v>
      </c>
      <c r="G542" s="37" t="s">
        <v>91</v>
      </c>
      <c r="H542" s="37" t="s">
        <v>118</v>
      </c>
      <c r="I542" s="37" t="n">
        <v>2</v>
      </c>
      <c r="J542" s="39" t="n">
        <v>2299</v>
      </c>
      <c r="K542" s="40" t="n">
        <v>0.15</v>
      </c>
      <c r="L542" s="39" t="n">
        <f aca="false">VLOOKUP(H542,'Product List'!$A$3:$D$18,4,FALSE())</f>
        <v>1300</v>
      </c>
      <c r="M542" s="39" t="n">
        <f aca="false">I542*J542*(1-K542)</f>
        <v>3908.3</v>
      </c>
      <c r="N542" s="39" t="n">
        <f aca="false">I542*L542</f>
        <v>2600</v>
      </c>
      <c r="O542" s="39" t="n">
        <f aca="false">M542-N542</f>
        <v>1308.3</v>
      </c>
      <c r="P542" s="41" t="n">
        <f aca="false">IF(M542=0,0,O542/M542)</f>
        <v>0.334749123659903</v>
      </c>
      <c r="Q542" s="37" t="str">
        <f aca="false">IF(K542=0,"No discount",IF(K542&lt;=0.1,"1-10%",IF(K542&lt;=0.2,"11-20%",IF(K542&lt;=0.3,"21-30%","Above 30%"))))</f>
        <v>11-20%</v>
      </c>
      <c r="R542" s="39" t="n">
        <f aca="false">I542*J542*MAX(0,K542-DiscountCap)</f>
        <v>0</v>
      </c>
    </row>
    <row r="543" customFormat="false" ht="15" hidden="false" customHeight="false" outlineLevel="0" collapsed="false">
      <c r="A543" s="37" t="s">
        <v>687</v>
      </c>
      <c r="B543" s="38" t="n">
        <v>45895</v>
      </c>
      <c r="C543" s="37" t="n">
        <f aca="false">MONTH(B543)</f>
        <v>8</v>
      </c>
      <c r="D543" s="37" t="s">
        <v>144</v>
      </c>
      <c r="E543" s="37" t="s">
        <v>45</v>
      </c>
      <c r="F543" s="37" t="s">
        <v>96</v>
      </c>
      <c r="G543" s="37" t="s">
        <v>91</v>
      </c>
      <c r="H543" s="37" t="s">
        <v>116</v>
      </c>
      <c r="I543" s="37" t="n">
        <v>1</v>
      </c>
      <c r="J543" s="39" t="n">
        <v>899</v>
      </c>
      <c r="K543" s="40" t="n">
        <v>0.1</v>
      </c>
      <c r="L543" s="39" t="n">
        <f aca="false">VLOOKUP(H543,'Product List'!$A$3:$D$18,4,FALSE())</f>
        <v>430</v>
      </c>
      <c r="M543" s="39" t="n">
        <f aca="false">I543*J543*(1-K543)</f>
        <v>809.1</v>
      </c>
      <c r="N543" s="39" t="n">
        <f aca="false">I543*L543</f>
        <v>430</v>
      </c>
      <c r="O543" s="39" t="n">
        <f aca="false">M543-N543</f>
        <v>379.1</v>
      </c>
      <c r="P543" s="41" t="n">
        <f aca="false">IF(M543=0,0,O543/M543)</f>
        <v>0.468545297243851</v>
      </c>
      <c r="Q543" s="37" t="str">
        <f aca="false">IF(K543=0,"No discount",IF(K543&lt;=0.1,"1-10%",IF(K543&lt;=0.2,"11-20%",IF(K543&lt;=0.3,"21-30%","Above 30%"))))</f>
        <v>1-10%</v>
      </c>
      <c r="R543" s="39" t="n">
        <f aca="false">I543*J543*MAX(0,K543-DiscountCap)</f>
        <v>0</v>
      </c>
    </row>
    <row r="544" customFormat="false" ht="15" hidden="false" customHeight="false" outlineLevel="0" collapsed="false">
      <c r="A544" s="37" t="s">
        <v>688</v>
      </c>
      <c r="B544" s="38" t="n">
        <v>45879</v>
      </c>
      <c r="C544" s="37" t="n">
        <f aca="false">MONTH(B544)</f>
        <v>8</v>
      </c>
      <c r="D544" s="37" t="s">
        <v>136</v>
      </c>
      <c r="E544" s="37" t="s">
        <v>47</v>
      </c>
      <c r="F544" s="37" t="s">
        <v>96</v>
      </c>
      <c r="G544" s="37" t="s">
        <v>92</v>
      </c>
      <c r="H544" s="37" t="s">
        <v>112</v>
      </c>
      <c r="I544" s="37" t="n">
        <v>1</v>
      </c>
      <c r="J544" s="39" t="n">
        <v>3299</v>
      </c>
      <c r="K544" s="40" t="n">
        <v>0.1</v>
      </c>
      <c r="L544" s="39" t="n">
        <f aca="false">VLOOKUP(H544,'Product List'!$A$3:$D$18,4,FALSE())</f>
        <v>2250</v>
      </c>
      <c r="M544" s="39" t="n">
        <f aca="false">I544*J544*(1-K544)</f>
        <v>2969.1</v>
      </c>
      <c r="N544" s="39" t="n">
        <f aca="false">I544*L544</f>
        <v>2250</v>
      </c>
      <c r="O544" s="39" t="n">
        <f aca="false">M544-N544</f>
        <v>719.1</v>
      </c>
      <c r="P544" s="41" t="n">
        <f aca="false">IF(M544=0,0,O544/M544)</f>
        <v>0.242194604425584</v>
      </c>
      <c r="Q544" s="37" t="str">
        <f aca="false">IF(K544=0,"No discount",IF(K544&lt;=0.1,"1-10%",IF(K544&lt;=0.2,"11-20%",IF(K544&lt;=0.3,"21-30%","Above 30%"))))</f>
        <v>1-10%</v>
      </c>
      <c r="R544" s="39" t="n">
        <f aca="false">I544*J544*MAX(0,K544-DiscountCap)</f>
        <v>0</v>
      </c>
    </row>
    <row r="545" customFormat="false" ht="15" hidden="false" customHeight="false" outlineLevel="0" collapsed="false">
      <c r="A545" s="37" t="s">
        <v>689</v>
      </c>
      <c r="B545" s="38" t="n">
        <v>45888</v>
      </c>
      <c r="C545" s="37" t="n">
        <f aca="false">MONTH(B545)</f>
        <v>8</v>
      </c>
      <c r="D545" s="37" t="s">
        <v>138</v>
      </c>
      <c r="E545" s="37" t="s">
        <v>46</v>
      </c>
      <c r="F545" s="37" t="s">
        <v>96</v>
      </c>
      <c r="G545" s="37" t="s">
        <v>90</v>
      </c>
      <c r="H545" s="37" t="s">
        <v>108</v>
      </c>
      <c r="I545" s="37" t="n">
        <v>3</v>
      </c>
      <c r="J545" s="39" t="n">
        <v>1999</v>
      </c>
      <c r="K545" s="40" t="n">
        <v>0.15</v>
      </c>
      <c r="L545" s="39" t="n">
        <f aca="false">VLOOKUP(H545,'Product List'!$A$3:$D$18,4,FALSE())</f>
        <v>1560</v>
      </c>
      <c r="M545" s="39" t="n">
        <f aca="false">I545*J545*(1-K545)</f>
        <v>5097.45</v>
      </c>
      <c r="N545" s="39" t="n">
        <f aca="false">I545*L545</f>
        <v>4680</v>
      </c>
      <c r="O545" s="39" t="n">
        <f aca="false">M545-N545</f>
        <v>417.45</v>
      </c>
      <c r="P545" s="41" t="n">
        <f aca="false">IF(M545=0,0,O545/M545)</f>
        <v>0.0818938881205308</v>
      </c>
      <c r="Q545" s="37" t="str">
        <f aca="false">IF(K545=0,"No discount",IF(K545&lt;=0.1,"1-10%",IF(K545&lt;=0.2,"11-20%",IF(K545&lt;=0.3,"21-30%","Above 30%"))))</f>
        <v>11-20%</v>
      </c>
      <c r="R545" s="39" t="n">
        <f aca="false">I545*J545*MAX(0,K545-DiscountCap)</f>
        <v>0</v>
      </c>
    </row>
    <row r="546" customFormat="false" ht="15" hidden="false" customHeight="false" outlineLevel="0" collapsed="false">
      <c r="A546" s="37" t="s">
        <v>690</v>
      </c>
      <c r="B546" s="38" t="n">
        <v>45887</v>
      </c>
      <c r="C546" s="37" t="n">
        <f aca="false">MONTH(B546)</f>
        <v>8</v>
      </c>
      <c r="D546" s="37" t="s">
        <v>142</v>
      </c>
      <c r="E546" s="37" t="s">
        <v>47</v>
      </c>
      <c r="F546" s="37" t="s">
        <v>96</v>
      </c>
      <c r="G546" s="37" t="s">
        <v>90</v>
      </c>
      <c r="H546" s="37" t="s">
        <v>109</v>
      </c>
      <c r="I546" s="37" t="n">
        <v>1</v>
      </c>
      <c r="J546" s="39" t="n">
        <v>3499</v>
      </c>
      <c r="K546" s="40" t="n">
        <v>0.1</v>
      </c>
      <c r="L546" s="39" t="n">
        <f aca="false">VLOOKUP(H546,'Product List'!$A$3:$D$18,4,FALSE())</f>
        <v>2750</v>
      </c>
      <c r="M546" s="39" t="n">
        <f aca="false">I546*J546*(1-K546)</f>
        <v>3149.1</v>
      </c>
      <c r="N546" s="39" t="n">
        <f aca="false">I546*L546</f>
        <v>2750</v>
      </c>
      <c r="O546" s="39" t="n">
        <f aca="false">M546-N546</f>
        <v>399.1</v>
      </c>
      <c r="P546" s="41" t="n">
        <f aca="false">IF(M546=0,0,O546/M546)</f>
        <v>0.126734622590581</v>
      </c>
      <c r="Q546" s="37" t="str">
        <f aca="false">IF(K546=0,"No discount",IF(K546&lt;=0.1,"1-10%",IF(K546&lt;=0.2,"11-20%",IF(K546&lt;=0.3,"21-30%","Above 30%"))))</f>
        <v>1-10%</v>
      </c>
      <c r="R546" s="39" t="n">
        <f aca="false">I546*J546*MAX(0,K546-DiscountCap)</f>
        <v>0</v>
      </c>
    </row>
    <row r="547" customFormat="false" ht="15" hidden="false" customHeight="false" outlineLevel="0" collapsed="false">
      <c r="A547" s="37" t="s">
        <v>691</v>
      </c>
      <c r="B547" s="38" t="n">
        <v>45884</v>
      </c>
      <c r="C547" s="37" t="n">
        <f aca="false">MONTH(B547)</f>
        <v>8</v>
      </c>
      <c r="D547" s="37" t="s">
        <v>146</v>
      </c>
      <c r="E547" s="37" t="s">
        <v>45</v>
      </c>
      <c r="F547" s="37" t="s">
        <v>96</v>
      </c>
      <c r="G547" s="37" t="s">
        <v>91</v>
      </c>
      <c r="H547" s="37" t="s">
        <v>118</v>
      </c>
      <c r="I547" s="37" t="n">
        <v>1</v>
      </c>
      <c r="J547" s="39" t="n">
        <v>2299</v>
      </c>
      <c r="K547" s="40" t="n">
        <v>0.05</v>
      </c>
      <c r="L547" s="39" t="n">
        <f aca="false">VLOOKUP(H547,'Product List'!$A$3:$D$18,4,FALSE())</f>
        <v>1300</v>
      </c>
      <c r="M547" s="39" t="n">
        <f aca="false">I547*J547*(1-K547)</f>
        <v>2184.05</v>
      </c>
      <c r="N547" s="39" t="n">
        <f aca="false">I547*L547</f>
        <v>1300</v>
      </c>
      <c r="O547" s="39" t="n">
        <f aca="false">M547-N547</f>
        <v>884.05</v>
      </c>
      <c r="P547" s="41" t="n">
        <f aca="false">IF(M547=0,0,O547/M547)</f>
        <v>0.404775531695703</v>
      </c>
      <c r="Q547" s="37" t="str">
        <f aca="false">IF(K547=0,"No discount",IF(K547&lt;=0.1,"1-10%",IF(K547&lt;=0.2,"11-20%",IF(K547&lt;=0.3,"21-30%","Above 30%"))))</f>
        <v>1-10%</v>
      </c>
      <c r="R547" s="39" t="n">
        <f aca="false">I547*J547*MAX(0,K547-DiscountCap)</f>
        <v>0</v>
      </c>
    </row>
    <row r="548" customFormat="false" ht="15" hidden="false" customHeight="false" outlineLevel="0" collapsed="false">
      <c r="A548" s="37" t="s">
        <v>692</v>
      </c>
      <c r="B548" s="38" t="n">
        <v>45872</v>
      </c>
      <c r="C548" s="37" t="n">
        <f aca="false">MONTH(B548)</f>
        <v>8</v>
      </c>
      <c r="D548" s="37" t="s">
        <v>140</v>
      </c>
      <c r="E548" s="37" t="s">
        <v>44</v>
      </c>
      <c r="F548" s="37" t="s">
        <v>97</v>
      </c>
      <c r="G548" s="37" t="s">
        <v>93</v>
      </c>
      <c r="H548" s="37" t="s">
        <v>121</v>
      </c>
      <c r="I548" s="37" t="n">
        <v>2</v>
      </c>
      <c r="J548" s="39" t="n">
        <v>999</v>
      </c>
      <c r="K548" s="40" t="n">
        <v>0.1</v>
      </c>
      <c r="L548" s="39" t="n">
        <f aca="false">VLOOKUP(H548,'Product List'!$A$3:$D$18,4,FALSE())</f>
        <v>500</v>
      </c>
      <c r="M548" s="39" t="n">
        <f aca="false">I548*J548*(1-K548)</f>
        <v>1798.2</v>
      </c>
      <c r="N548" s="39" t="n">
        <f aca="false">I548*L548</f>
        <v>1000</v>
      </c>
      <c r="O548" s="39" t="n">
        <f aca="false">M548-N548</f>
        <v>798.2</v>
      </c>
      <c r="P548" s="41" t="n">
        <f aca="false">IF(M548=0,0,O548/M548)</f>
        <v>0.443888332777222</v>
      </c>
      <c r="Q548" s="37" t="str">
        <f aca="false">IF(K548=0,"No discount",IF(K548&lt;=0.1,"1-10%",IF(K548&lt;=0.2,"11-20%",IF(K548&lt;=0.3,"21-30%","Above 30%"))))</f>
        <v>1-10%</v>
      </c>
      <c r="R548" s="39" t="n">
        <f aca="false">I548*J548*MAX(0,K548-DiscountCap)</f>
        <v>0</v>
      </c>
    </row>
    <row r="549" customFormat="false" ht="15" hidden="false" customHeight="false" outlineLevel="0" collapsed="false">
      <c r="A549" s="37" t="s">
        <v>693</v>
      </c>
      <c r="B549" s="38" t="n">
        <v>45873</v>
      </c>
      <c r="C549" s="37" t="n">
        <f aca="false">MONTH(B549)</f>
        <v>8</v>
      </c>
      <c r="D549" s="37" t="s">
        <v>144</v>
      </c>
      <c r="E549" s="37" t="s">
        <v>45</v>
      </c>
      <c r="F549" s="37" t="s">
        <v>97</v>
      </c>
      <c r="G549" s="37" t="s">
        <v>91</v>
      </c>
      <c r="H549" s="37" t="s">
        <v>119</v>
      </c>
      <c r="I549" s="37" t="n">
        <v>1</v>
      </c>
      <c r="J549" s="39" t="n">
        <v>1099</v>
      </c>
      <c r="K549" s="40" t="n">
        <v>0</v>
      </c>
      <c r="L549" s="39" t="n">
        <f aca="false">VLOOKUP(H549,'Product List'!$A$3:$D$18,4,FALSE())</f>
        <v>560</v>
      </c>
      <c r="M549" s="39" t="n">
        <f aca="false">I549*J549*(1-K549)</f>
        <v>1099</v>
      </c>
      <c r="N549" s="39" t="n">
        <f aca="false">I549*L549</f>
        <v>560</v>
      </c>
      <c r="O549" s="39" t="n">
        <f aca="false">M549-N549</f>
        <v>539</v>
      </c>
      <c r="P549" s="41" t="n">
        <f aca="false">IF(M549=0,0,O549/M549)</f>
        <v>0.490445859872611</v>
      </c>
      <c r="Q549" s="37" t="str">
        <f aca="false">IF(K549=0,"No discount",IF(K549&lt;=0.1,"1-10%",IF(K549&lt;=0.2,"11-20%",IF(K549&lt;=0.3,"21-30%","Above 30%"))))</f>
        <v>No discount</v>
      </c>
      <c r="R549" s="39" t="n">
        <f aca="false">I549*J549*MAX(0,K549-DiscountCap)</f>
        <v>0</v>
      </c>
    </row>
    <row r="550" customFormat="false" ht="15" hidden="false" customHeight="false" outlineLevel="0" collapsed="false">
      <c r="A550" s="37" t="s">
        <v>694</v>
      </c>
      <c r="B550" s="38" t="n">
        <v>45893</v>
      </c>
      <c r="C550" s="37" t="n">
        <f aca="false">MONTH(B550)</f>
        <v>8</v>
      </c>
      <c r="D550" s="37" t="s">
        <v>160</v>
      </c>
      <c r="E550" s="37" t="s">
        <v>46</v>
      </c>
      <c r="F550" s="37" t="s">
        <v>96</v>
      </c>
      <c r="G550" s="37" t="s">
        <v>92</v>
      </c>
      <c r="H550" s="37" t="s">
        <v>113</v>
      </c>
      <c r="I550" s="37" t="n">
        <v>3</v>
      </c>
      <c r="J550" s="39" t="n">
        <v>2199</v>
      </c>
      <c r="K550" s="40" t="n">
        <v>0.2</v>
      </c>
      <c r="L550" s="39" t="n">
        <f aca="false">VLOOKUP(H550,'Product List'!$A$3:$D$18,4,FALSE())</f>
        <v>1400</v>
      </c>
      <c r="M550" s="39" t="n">
        <f aca="false">I550*J550*(1-K550)</f>
        <v>5277.6</v>
      </c>
      <c r="N550" s="39" t="n">
        <f aca="false">I550*L550</f>
        <v>4200</v>
      </c>
      <c r="O550" s="39" t="n">
        <f aca="false">M550-N550</f>
        <v>1077.6</v>
      </c>
      <c r="P550" s="41" t="n">
        <f aca="false">IF(M550=0,0,O550/M550)</f>
        <v>0.204183719872669</v>
      </c>
      <c r="Q550" s="37" t="str">
        <f aca="false">IF(K550=0,"No discount",IF(K550&lt;=0.1,"1-10%",IF(K550&lt;=0.2,"11-20%",IF(K550&lt;=0.3,"21-30%","Above 30%"))))</f>
        <v>11-20%</v>
      </c>
      <c r="R550" s="39" t="n">
        <f aca="false">I550*J550*MAX(0,K550-DiscountCap)</f>
        <v>0</v>
      </c>
    </row>
    <row r="551" customFormat="false" ht="15" hidden="false" customHeight="false" outlineLevel="0" collapsed="false">
      <c r="A551" s="37" t="s">
        <v>695</v>
      </c>
      <c r="B551" s="38" t="n">
        <v>45871</v>
      </c>
      <c r="C551" s="37" t="n">
        <f aca="false">MONTH(B551)</f>
        <v>8</v>
      </c>
      <c r="D551" s="37" t="s">
        <v>136</v>
      </c>
      <c r="E551" s="37" t="s">
        <v>47</v>
      </c>
      <c r="F551" s="37" t="s">
        <v>97</v>
      </c>
      <c r="G551" s="37" t="s">
        <v>90</v>
      </c>
      <c r="H551" s="37" t="s">
        <v>108</v>
      </c>
      <c r="I551" s="37" t="n">
        <v>4</v>
      </c>
      <c r="J551" s="39" t="n">
        <v>1999</v>
      </c>
      <c r="K551" s="40" t="n">
        <v>0</v>
      </c>
      <c r="L551" s="39" t="n">
        <f aca="false">VLOOKUP(H551,'Product List'!$A$3:$D$18,4,FALSE())</f>
        <v>1560</v>
      </c>
      <c r="M551" s="39" t="n">
        <f aca="false">I551*J551*(1-K551)</f>
        <v>7996</v>
      </c>
      <c r="N551" s="39" t="n">
        <f aca="false">I551*L551</f>
        <v>6240</v>
      </c>
      <c r="O551" s="39" t="n">
        <f aca="false">M551-N551</f>
        <v>1756</v>
      </c>
      <c r="P551" s="41" t="n">
        <f aca="false">IF(M551=0,0,O551/M551)</f>
        <v>0.219609804902451</v>
      </c>
      <c r="Q551" s="37" t="str">
        <f aca="false">IF(K551=0,"No discount",IF(K551&lt;=0.1,"1-10%",IF(K551&lt;=0.2,"11-20%",IF(K551&lt;=0.3,"21-30%","Above 30%"))))</f>
        <v>No discount</v>
      </c>
      <c r="R551" s="39" t="n">
        <f aca="false">I551*J551*MAX(0,K551-DiscountCap)</f>
        <v>0</v>
      </c>
    </row>
    <row r="552" customFormat="false" ht="15" hidden="false" customHeight="false" outlineLevel="0" collapsed="false">
      <c r="A552" s="37" t="s">
        <v>696</v>
      </c>
      <c r="B552" s="38" t="n">
        <v>45890</v>
      </c>
      <c r="C552" s="37" t="n">
        <f aca="false">MONTH(B552)</f>
        <v>8</v>
      </c>
      <c r="D552" s="37" t="s">
        <v>169</v>
      </c>
      <c r="E552" s="37" t="s">
        <v>44</v>
      </c>
      <c r="F552" s="37" t="s">
        <v>97</v>
      </c>
      <c r="G552" s="37" t="s">
        <v>91</v>
      </c>
      <c r="H552" s="37" t="s">
        <v>116</v>
      </c>
      <c r="I552" s="37" t="n">
        <v>2</v>
      </c>
      <c r="J552" s="39" t="n">
        <v>899</v>
      </c>
      <c r="K552" s="40" t="n">
        <v>0.1</v>
      </c>
      <c r="L552" s="39" t="n">
        <f aca="false">VLOOKUP(H552,'Product List'!$A$3:$D$18,4,FALSE())</f>
        <v>430</v>
      </c>
      <c r="M552" s="39" t="n">
        <f aca="false">I552*J552*(1-K552)</f>
        <v>1618.2</v>
      </c>
      <c r="N552" s="39" t="n">
        <f aca="false">I552*L552</f>
        <v>860</v>
      </c>
      <c r="O552" s="39" t="n">
        <f aca="false">M552-N552</f>
        <v>758.2</v>
      </c>
      <c r="P552" s="41" t="n">
        <f aca="false">IF(M552=0,0,O552/M552)</f>
        <v>0.468545297243851</v>
      </c>
      <c r="Q552" s="37" t="str">
        <f aca="false">IF(K552=0,"No discount",IF(K552&lt;=0.1,"1-10%",IF(K552&lt;=0.2,"11-20%",IF(K552&lt;=0.3,"21-30%","Above 30%"))))</f>
        <v>1-10%</v>
      </c>
      <c r="R552" s="39" t="n">
        <f aca="false">I552*J552*MAX(0,K552-DiscountCap)</f>
        <v>0</v>
      </c>
    </row>
    <row r="553" customFormat="false" ht="15" hidden="false" customHeight="false" outlineLevel="0" collapsed="false">
      <c r="A553" s="37" t="s">
        <v>697</v>
      </c>
      <c r="B553" s="38" t="n">
        <v>45887</v>
      </c>
      <c r="C553" s="37" t="n">
        <f aca="false">MONTH(B553)</f>
        <v>8</v>
      </c>
      <c r="D553" s="37" t="s">
        <v>134</v>
      </c>
      <c r="E553" s="37" t="s">
        <v>45</v>
      </c>
      <c r="F553" s="37" t="s">
        <v>96</v>
      </c>
      <c r="G553" s="37" t="s">
        <v>91</v>
      </c>
      <c r="H553" s="37" t="s">
        <v>118</v>
      </c>
      <c r="I553" s="37" t="n">
        <v>5</v>
      </c>
      <c r="J553" s="39" t="n">
        <v>2299</v>
      </c>
      <c r="K553" s="40" t="n">
        <v>0.15</v>
      </c>
      <c r="L553" s="39" t="n">
        <f aca="false">VLOOKUP(H553,'Product List'!$A$3:$D$18,4,FALSE())</f>
        <v>1300</v>
      </c>
      <c r="M553" s="39" t="n">
        <f aca="false">I553*J553*(1-K553)</f>
        <v>9770.75</v>
      </c>
      <c r="N553" s="39" t="n">
        <f aca="false">I553*L553</f>
        <v>6500</v>
      </c>
      <c r="O553" s="39" t="n">
        <f aca="false">M553-N553</f>
        <v>3270.75</v>
      </c>
      <c r="P553" s="41" t="n">
        <f aca="false">IF(M553=0,0,O553/M553)</f>
        <v>0.334749123659903</v>
      </c>
      <c r="Q553" s="37" t="str">
        <f aca="false">IF(K553=0,"No discount",IF(K553&lt;=0.1,"1-10%",IF(K553&lt;=0.2,"11-20%",IF(K553&lt;=0.3,"21-30%","Above 30%"))))</f>
        <v>11-20%</v>
      </c>
      <c r="R553" s="39" t="n">
        <f aca="false">I553*J553*MAX(0,K553-DiscountCap)</f>
        <v>0</v>
      </c>
    </row>
    <row r="554" customFormat="false" ht="15" hidden="false" customHeight="false" outlineLevel="0" collapsed="false">
      <c r="A554" s="37" t="s">
        <v>698</v>
      </c>
      <c r="B554" s="38" t="n">
        <v>45876</v>
      </c>
      <c r="C554" s="37" t="n">
        <f aca="false">MONTH(B554)</f>
        <v>8</v>
      </c>
      <c r="D554" s="37" t="s">
        <v>142</v>
      </c>
      <c r="E554" s="37" t="s">
        <v>47</v>
      </c>
      <c r="F554" s="37" t="s">
        <v>96</v>
      </c>
      <c r="G554" s="37" t="s">
        <v>90</v>
      </c>
      <c r="H554" s="37" t="s">
        <v>108</v>
      </c>
      <c r="I554" s="37" t="n">
        <v>1</v>
      </c>
      <c r="J554" s="39" t="n">
        <v>1999</v>
      </c>
      <c r="K554" s="40" t="n">
        <v>0.15</v>
      </c>
      <c r="L554" s="39" t="n">
        <f aca="false">VLOOKUP(H554,'Product List'!$A$3:$D$18,4,FALSE())</f>
        <v>1560</v>
      </c>
      <c r="M554" s="39" t="n">
        <f aca="false">I554*J554*(1-K554)</f>
        <v>1699.15</v>
      </c>
      <c r="N554" s="39" t="n">
        <f aca="false">I554*L554</f>
        <v>1560</v>
      </c>
      <c r="O554" s="39" t="n">
        <f aca="false">M554-N554</f>
        <v>139.15</v>
      </c>
      <c r="P554" s="41" t="n">
        <f aca="false">IF(M554=0,0,O554/M554)</f>
        <v>0.0818938881205308</v>
      </c>
      <c r="Q554" s="37" t="str">
        <f aca="false">IF(K554=0,"No discount",IF(K554&lt;=0.1,"1-10%",IF(K554&lt;=0.2,"11-20%",IF(K554&lt;=0.3,"21-30%","Above 30%"))))</f>
        <v>11-20%</v>
      </c>
      <c r="R554" s="39" t="n">
        <f aca="false">I554*J554*MAX(0,K554-DiscountCap)</f>
        <v>0</v>
      </c>
    </row>
    <row r="555" customFormat="false" ht="15" hidden="false" customHeight="false" outlineLevel="0" collapsed="false">
      <c r="A555" s="37" t="s">
        <v>699</v>
      </c>
      <c r="B555" s="38" t="n">
        <v>45883</v>
      </c>
      <c r="C555" s="37" t="n">
        <f aca="false">MONTH(B555)</f>
        <v>8</v>
      </c>
      <c r="D555" s="37" t="s">
        <v>154</v>
      </c>
      <c r="E555" s="37" t="s">
        <v>47</v>
      </c>
      <c r="F555" s="37" t="s">
        <v>96</v>
      </c>
      <c r="G555" s="37" t="s">
        <v>93</v>
      </c>
      <c r="H555" s="37" t="s">
        <v>121</v>
      </c>
      <c r="I555" s="37" t="n">
        <v>1</v>
      </c>
      <c r="J555" s="39" t="n">
        <v>999</v>
      </c>
      <c r="K555" s="40" t="n">
        <v>0</v>
      </c>
      <c r="L555" s="39" t="n">
        <f aca="false">VLOOKUP(H555,'Product List'!$A$3:$D$18,4,FALSE())</f>
        <v>500</v>
      </c>
      <c r="M555" s="39" t="n">
        <f aca="false">I555*J555*(1-K555)</f>
        <v>999</v>
      </c>
      <c r="N555" s="39" t="n">
        <f aca="false">I555*L555</f>
        <v>500</v>
      </c>
      <c r="O555" s="39" t="n">
        <f aca="false">M555-N555</f>
        <v>499</v>
      </c>
      <c r="P555" s="41" t="n">
        <f aca="false">IF(M555=0,0,O555/M555)</f>
        <v>0.4994994994995</v>
      </c>
      <c r="Q555" s="37" t="str">
        <f aca="false">IF(K555=0,"No discount",IF(K555&lt;=0.1,"1-10%",IF(K555&lt;=0.2,"11-20%",IF(K555&lt;=0.3,"21-30%","Above 30%"))))</f>
        <v>No discount</v>
      </c>
      <c r="R555" s="39" t="n">
        <f aca="false">I555*J555*MAX(0,K555-DiscountCap)</f>
        <v>0</v>
      </c>
    </row>
    <row r="556" customFormat="false" ht="15" hidden="false" customHeight="false" outlineLevel="0" collapsed="false">
      <c r="A556" s="37" t="s">
        <v>700</v>
      </c>
      <c r="B556" s="38" t="n">
        <v>45887</v>
      </c>
      <c r="C556" s="37" t="n">
        <f aca="false">MONTH(B556)</f>
        <v>8</v>
      </c>
      <c r="D556" s="37" t="s">
        <v>160</v>
      </c>
      <c r="E556" s="37" t="s">
        <v>46</v>
      </c>
      <c r="F556" s="37" t="s">
        <v>97</v>
      </c>
      <c r="G556" s="37" t="s">
        <v>92</v>
      </c>
      <c r="H556" s="37" t="s">
        <v>113</v>
      </c>
      <c r="I556" s="37" t="n">
        <v>2</v>
      </c>
      <c r="J556" s="39" t="n">
        <v>2199</v>
      </c>
      <c r="K556" s="40" t="n">
        <v>0</v>
      </c>
      <c r="L556" s="39" t="n">
        <f aca="false">VLOOKUP(H556,'Product List'!$A$3:$D$18,4,FALSE())</f>
        <v>1400</v>
      </c>
      <c r="M556" s="39" t="n">
        <f aca="false">I556*J556*(1-K556)</f>
        <v>4398</v>
      </c>
      <c r="N556" s="39" t="n">
        <f aca="false">I556*L556</f>
        <v>2800</v>
      </c>
      <c r="O556" s="39" t="n">
        <f aca="false">M556-N556</f>
        <v>1598</v>
      </c>
      <c r="P556" s="41" t="n">
        <f aca="false">IF(M556=0,0,O556/M556)</f>
        <v>0.363346975898136</v>
      </c>
      <c r="Q556" s="37" t="str">
        <f aca="false">IF(K556=0,"No discount",IF(K556&lt;=0.1,"1-10%",IF(K556&lt;=0.2,"11-20%",IF(K556&lt;=0.3,"21-30%","Above 30%"))))</f>
        <v>No discount</v>
      </c>
      <c r="R556" s="39" t="n">
        <f aca="false">I556*J556*MAX(0,K556-DiscountCap)</f>
        <v>0</v>
      </c>
    </row>
    <row r="557" customFormat="false" ht="15" hidden="false" customHeight="false" outlineLevel="0" collapsed="false">
      <c r="A557" s="37" t="s">
        <v>701</v>
      </c>
      <c r="B557" s="38" t="n">
        <v>45878</v>
      </c>
      <c r="C557" s="37" t="n">
        <f aca="false">MONTH(B557)</f>
        <v>8</v>
      </c>
      <c r="D557" s="37" t="s">
        <v>136</v>
      </c>
      <c r="E557" s="37" t="s">
        <v>47</v>
      </c>
      <c r="F557" s="37" t="s">
        <v>97</v>
      </c>
      <c r="G557" s="37" t="s">
        <v>91</v>
      </c>
      <c r="H557" s="37" t="s">
        <v>119</v>
      </c>
      <c r="I557" s="37" t="n">
        <v>1</v>
      </c>
      <c r="J557" s="39" t="n">
        <v>1099</v>
      </c>
      <c r="K557" s="40" t="n">
        <v>0.1</v>
      </c>
      <c r="L557" s="39" t="n">
        <f aca="false">VLOOKUP(H557,'Product List'!$A$3:$D$18,4,FALSE())</f>
        <v>560</v>
      </c>
      <c r="M557" s="39" t="n">
        <f aca="false">I557*J557*(1-K557)</f>
        <v>989.1</v>
      </c>
      <c r="N557" s="39" t="n">
        <f aca="false">I557*L557</f>
        <v>560</v>
      </c>
      <c r="O557" s="39" t="n">
        <f aca="false">M557-N557</f>
        <v>429.1</v>
      </c>
      <c r="P557" s="41" t="n">
        <f aca="false">IF(M557=0,0,O557/M557)</f>
        <v>0.433828733191791</v>
      </c>
      <c r="Q557" s="37" t="str">
        <f aca="false">IF(K557=0,"No discount",IF(K557&lt;=0.1,"1-10%",IF(K557&lt;=0.2,"11-20%",IF(K557&lt;=0.3,"21-30%","Above 30%"))))</f>
        <v>1-10%</v>
      </c>
      <c r="R557" s="39" t="n">
        <f aca="false">I557*J557*MAX(0,K557-DiscountCap)</f>
        <v>0</v>
      </c>
    </row>
    <row r="558" customFormat="false" ht="15" hidden="false" customHeight="false" outlineLevel="0" collapsed="false">
      <c r="A558" s="37" t="s">
        <v>702</v>
      </c>
      <c r="B558" s="38" t="n">
        <v>45881</v>
      </c>
      <c r="C558" s="37" t="n">
        <f aca="false">MONTH(B558)</f>
        <v>8</v>
      </c>
      <c r="D558" s="37" t="s">
        <v>172</v>
      </c>
      <c r="E558" s="37" t="s">
        <v>46</v>
      </c>
      <c r="F558" s="37" t="s">
        <v>96</v>
      </c>
      <c r="G558" s="37" t="s">
        <v>91</v>
      </c>
      <c r="H558" s="37" t="s">
        <v>117</v>
      </c>
      <c r="I558" s="37" t="n">
        <v>1</v>
      </c>
      <c r="J558" s="39" t="n">
        <v>1499</v>
      </c>
      <c r="K558" s="40" t="n">
        <v>0.1</v>
      </c>
      <c r="L558" s="39" t="n">
        <f aca="false">VLOOKUP(H558,'Product List'!$A$3:$D$18,4,FALSE())</f>
        <v>780</v>
      </c>
      <c r="M558" s="39" t="n">
        <f aca="false">I558*J558*(1-K558)</f>
        <v>1349.1</v>
      </c>
      <c r="N558" s="39" t="n">
        <f aca="false">I558*L558</f>
        <v>780</v>
      </c>
      <c r="O558" s="39" t="n">
        <f aca="false">M558-N558</f>
        <v>569.1</v>
      </c>
      <c r="P558" s="41" t="n">
        <f aca="false">IF(M558=0,0,O558/M558)</f>
        <v>0.421836780075606</v>
      </c>
      <c r="Q558" s="37" t="str">
        <f aca="false">IF(K558=0,"No discount",IF(K558&lt;=0.1,"1-10%",IF(K558&lt;=0.2,"11-20%",IF(K558&lt;=0.3,"21-30%","Above 30%"))))</f>
        <v>1-10%</v>
      </c>
      <c r="R558" s="39" t="n">
        <f aca="false">I558*J558*MAX(0,K558-DiscountCap)</f>
        <v>0</v>
      </c>
    </row>
    <row r="559" customFormat="false" ht="15" hidden="false" customHeight="false" outlineLevel="0" collapsed="false">
      <c r="A559" s="37" t="s">
        <v>703</v>
      </c>
      <c r="B559" s="38" t="n">
        <v>45875</v>
      </c>
      <c r="C559" s="37" t="n">
        <f aca="false">MONTH(B559)</f>
        <v>8</v>
      </c>
      <c r="D559" s="37" t="s">
        <v>166</v>
      </c>
      <c r="E559" s="37" t="s">
        <v>44</v>
      </c>
      <c r="F559" s="37" t="s">
        <v>96</v>
      </c>
      <c r="G559" s="37" t="s">
        <v>92</v>
      </c>
      <c r="H559" s="37" t="s">
        <v>115</v>
      </c>
      <c r="I559" s="37" t="n">
        <v>5</v>
      </c>
      <c r="J559" s="39" t="n">
        <v>1799</v>
      </c>
      <c r="K559" s="40" t="n">
        <v>0.1</v>
      </c>
      <c r="L559" s="39" t="n">
        <f aca="false">VLOOKUP(H559,'Product List'!$A$3:$D$18,4,FALSE())</f>
        <v>1150</v>
      </c>
      <c r="M559" s="39" t="n">
        <f aca="false">I559*J559*(1-K559)</f>
        <v>8095.5</v>
      </c>
      <c r="N559" s="39" t="n">
        <f aca="false">I559*L559</f>
        <v>5750</v>
      </c>
      <c r="O559" s="39" t="n">
        <f aca="false">M559-N559</f>
        <v>2345.5</v>
      </c>
      <c r="P559" s="41" t="n">
        <f aca="false">IF(M559=0,0,O559/M559)</f>
        <v>0.289728861713298</v>
      </c>
      <c r="Q559" s="37" t="str">
        <f aca="false">IF(K559=0,"No discount",IF(K559&lt;=0.1,"1-10%",IF(K559&lt;=0.2,"11-20%",IF(K559&lt;=0.3,"21-30%","Above 30%"))))</f>
        <v>1-10%</v>
      </c>
      <c r="R559" s="39" t="n">
        <f aca="false">I559*J559*MAX(0,K559-DiscountCap)</f>
        <v>0</v>
      </c>
    </row>
    <row r="560" customFormat="false" ht="15" hidden="false" customHeight="false" outlineLevel="0" collapsed="false">
      <c r="A560" s="37" t="s">
        <v>704</v>
      </c>
      <c r="B560" s="38" t="n">
        <v>45893</v>
      </c>
      <c r="C560" s="37" t="n">
        <f aca="false">MONTH(B560)</f>
        <v>8</v>
      </c>
      <c r="D560" s="37" t="s">
        <v>146</v>
      </c>
      <c r="E560" s="37" t="s">
        <v>45</v>
      </c>
      <c r="F560" s="37" t="s">
        <v>96</v>
      </c>
      <c r="G560" s="37" t="s">
        <v>92</v>
      </c>
      <c r="H560" s="37" t="s">
        <v>115</v>
      </c>
      <c r="I560" s="37" t="n">
        <v>1</v>
      </c>
      <c r="J560" s="39" t="n">
        <v>1799</v>
      </c>
      <c r="K560" s="40" t="n">
        <v>0.1</v>
      </c>
      <c r="L560" s="39" t="n">
        <f aca="false">VLOOKUP(H560,'Product List'!$A$3:$D$18,4,FALSE())</f>
        <v>1150</v>
      </c>
      <c r="M560" s="39" t="n">
        <f aca="false">I560*J560*(1-K560)</f>
        <v>1619.1</v>
      </c>
      <c r="N560" s="39" t="n">
        <f aca="false">I560*L560</f>
        <v>1150</v>
      </c>
      <c r="O560" s="39" t="n">
        <f aca="false">M560-N560</f>
        <v>469.1</v>
      </c>
      <c r="P560" s="41" t="n">
        <f aca="false">IF(M560=0,0,O560/M560)</f>
        <v>0.289728861713298</v>
      </c>
      <c r="Q560" s="37" t="str">
        <f aca="false">IF(K560=0,"No discount",IF(K560&lt;=0.1,"1-10%",IF(K560&lt;=0.2,"11-20%",IF(K560&lt;=0.3,"21-30%","Above 30%"))))</f>
        <v>1-10%</v>
      </c>
      <c r="R560" s="39" t="n">
        <f aca="false">I560*J560*MAX(0,K560-DiscountCap)</f>
        <v>0</v>
      </c>
    </row>
    <row r="561" customFormat="false" ht="15" hidden="false" customHeight="false" outlineLevel="0" collapsed="false">
      <c r="A561" s="37" t="s">
        <v>705</v>
      </c>
      <c r="B561" s="38" t="n">
        <v>45875</v>
      </c>
      <c r="C561" s="37" t="n">
        <f aca="false">MONTH(B561)</f>
        <v>8</v>
      </c>
      <c r="D561" s="37" t="s">
        <v>144</v>
      </c>
      <c r="E561" s="37" t="s">
        <v>45</v>
      </c>
      <c r="F561" s="37" t="s">
        <v>96</v>
      </c>
      <c r="G561" s="37" t="s">
        <v>91</v>
      </c>
      <c r="H561" s="37" t="s">
        <v>117</v>
      </c>
      <c r="I561" s="37" t="n">
        <v>1</v>
      </c>
      <c r="J561" s="39" t="n">
        <v>1499</v>
      </c>
      <c r="K561" s="40" t="n">
        <v>0</v>
      </c>
      <c r="L561" s="39" t="n">
        <f aca="false">VLOOKUP(H561,'Product List'!$A$3:$D$18,4,FALSE())</f>
        <v>780</v>
      </c>
      <c r="M561" s="39" t="n">
        <f aca="false">I561*J561*(1-K561)</f>
        <v>1499</v>
      </c>
      <c r="N561" s="39" t="n">
        <f aca="false">I561*L561</f>
        <v>780</v>
      </c>
      <c r="O561" s="39" t="n">
        <f aca="false">M561-N561</f>
        <v>719</v>
      </c>
      <c r="P561" s="41" t="n">
        <f aca="false">IF(M561=0,0,O561/M561)</f>
        <v>0.479653102068045</v>
      </c>
      <c r="Q561" s="37" t="str">
        <f aca="false">IF(K561=0,"No discount",IF(K561&lt;=0.1,"1-10%",IF(K561&lt;=0.2,"11-20%",IF(K561&lt;=0.3,"21-30%","Above 30%"))))</f>
        <v>No discount</v>
      </c>
      <c r="R561" s="39" t="n">
        <f aca="false">I561*J561*MAX(0,K561-DiscountCap)</f>
        <v>0</v>
      </c>
    </row>
    <row r="562" customFormat="false" ht="15" hidden="false" customHeight="false" outlineLevel="0" collapsed="false">
      <c r="A562" s="37" t="s">
        <v>706</v>
      </c>
      <c r="B562" s="38" t="n">
        <v>45889</v>
      </c>
      <c r="C562" s="37" t="n">
        <f aca="false">MONTH(B562)</f>
        <v>8</v>
      </c>
      <c r="D562" s="37" t="s">
        <v>169</v>
      </c>
      <c r="E562" s="37" t="s">
        <v>44</v>
      </c>
      <c r="F562" s="37" t="s">
        <v>97</v>
      </c>
      <c r="G562" s="37" t="s">
        <v>90</v>
      </c>
      <c r="H562" s="37" t="s">
        <v>110</v>
      </c>
      <c r="I562" s="37" t="n">
        <v>2</v>
      </c>
      <c r="J562" s="39" t="n">
        <v>1299</v>
      </c>
      <c r="K562" s="40" t="n">
        <v>0</v>
      </c>
      <c r="L562" s="39" t="n">
        <f aca="false">VLOOKUP(H562,'Product List'!$A$3:$D$18,4,FALSE())</f>
        <v>1000</v>
      </c>
      <c r="M562" s="39" t="n">
        <f aca="false">I562*J562*(1-K562)</f>
        <v>2598</v>
      </c>
      <c r="N562" s="39" t="n">
        <f aca="false">I562*L562</f>
        <v>2000</v>
      </c>
      <c r="O562" s="39" t="n">
        <f aca="false">M562-N562</f>
        <v>598</v>
      </c>
      <c r="P562" s="41" t="n">
        <f aca="false">IF(M562=0,0,O562/M562)</f>
        <v>0.230177059276366</v>
      </c>
      <c r="Q562" s="37" t="str">
        <f aca="false">IF(K562=0,"No discount",IF(K562&lt;=0.1,"1-10%",IF(K562&lt;=0.2,"11-20%",IF(K562&lt;=0.3,"21-30%","Above 30%"))))</f>
        <v>No discount</v>
      </c>
      <c r="R562" s="39" t="n">
        <f aca="false">I562*J562*MAX(0,K562-DiscountCap)</f>
        <v>0</v>
      </c>
    </row>
    <row r="563" customFormat="false" ht="15" hidden="false" customHeight="false" outlineLevel="0" collapsed="false">
      <c r="A563" s="37" t="s">
        <v>707</v>
      </c>
      <c r="B563" s="38" t="n">
        <v>45890</v>
      </c>
      <c r="C563" s="37" t="n">
        <f aca="false">MONTH(B563)</f>
        <v>8</v>
      </c>
      <c r="D563" s="37" t="s">
        <v>146</v>
      </c>
      <c r="E563" s="37" t="s">
        <v>45</v>
      </c>
      <c r="F563" s="37" t="s">
        <v>96</v>
      </c>
      <c r="G563" s="37" t="s">
        <v>90</v>
      </c>
      <c r="H563" s="37" t="s">
        <v>110</v>
      </c>
      <c r="I563" s="37" t="n">
        <v>2</v>
      </c>
      <c r="J563" s="39" t="n">
        <v>1299</v>
      </c>
      <c r="K563" s="40" t="n">
        <v>0.1</v>
      </c>
      <c r="L563" s="39" t="n">
        <f aca="false">VLOOKUP(H563,'Product List'!$A$3:$D$18,4,FALSE())</f>
        <v>1000</v>
      </c>
      <c r="M563" s="39" t="n">
        <f aca="false">I563*J563*(1-K563)</f>
        <v>2338.2</v>
      </c>
      <c r="N563" s="39" t="n">
        <f aca="false">I563*L563</f>
        <v>2000</v>
      </c>
      <c r="O563" s="39" t="n">
        <f aca="false">M563-N563</f>
        <v>338.2</v>
      </c>
      <c r="P563" s="41" t="n">
        <f aca="false">IF(M563=0,0,O563/M563)</f>
        <v>0.144641176973741</v>
      </c>
      <c r="Q563" s="37" t="str">
        <f aca="false">IF(K563=0,"No discount",IF(K563&lt;=0.1,"1-10%",IF(K563&lt;=0.2,"11-20%",IF(K563&lt;=0.3,"21-30%","Above 30%"))))</f>
        <v>1-10%</v>
      </c>
      <c r="R563" s="39" t="n">
        <f aca="false">I563*J563*MAX(0,K563-DiscountCap)</f>
        <v>0</v>
      </c>
    </row>
    <row r="564" customFormat="false" ht="15" hidden="false" customHeight="false" outlineLevel="0" collapsed="false">
      <c r="A564" s="37" t="s">
        <v>708</v>
      </c>
      <c r="B564" s="38" t="n">
        <v>45888</v>
      </c>
      <c r="C564" s="37" t="n">
        <f aca="false">MONTH(B564)</f>
        <v>8</v>
      </c>
      <c r="D564" s="37" t="s">
        <v>136</v>
      </c>
      <c r="E564" s="37" t="s">
        <v>47</v>
      </c>
      <c r="F564" s="37" t="s">
        <v>97</v>
      </c>
      <c r="G564" s="37" t="s">
        <v>90</v>
      </c>
      <c r="H564" s="37" t="s">
        <v>108</v>
      </c>
      <c r="I564" s="37" t="n">
        <v>1</v>
      </c>
      <c r="J564" s="39" t="n">
        <v>1999</v>
      </c>
      <c r="K564" s="40" t="n">
        <v>0.05</v>
      </c>
      <c r="L564" s="39" t="n">
        <f aca="false">VLOOKUP(H564,'Product List'!$A$3:$D$18,4,FALSE())</f>
        <v>1560</v>
      </c>
      <c r="M564" s="39" t="n">
        <f aca="false">I564*J564*(1-K564)</f>
        <v>1899.05</v>
      </c>
      <c r="N564" s="39" t="n">
        <f aca="false">I564*L564</f>
        <v>1560</v>
      </c>
      <c r="O564" s="39" t="n">
        <f aca="false">M564-N564</f>
        <v>339.05</v>
      </c>
      <c r="P564" s="41" t="n">
        <f aca="false">IF(M564=0,0,O564/M564)</f>
        <v>0.178536636739422</v>
      </c>
      <c r="Q564" s="37" t="str">
        <f aca="false">IF(K564=0,"No discount",IF(K564&lt;=0.1,"1-10%",IF(K564&lt;=0.2,"11-20%",IF(K564&lt;=0.3,"21-30%","Above 30%"))))</f>
        <v>1-10%</v>
      </c>
      <c r="R564" s="39" t="n">
        <f aca="false">I564*J564*MAX(0,K564-DiscountCap)</f>
        <v>0</v>
      </c>
    </row>
    <row r="565" customFormat="false" ht="15" hidden="false" customHeight="false" outlineLevel="0" collapsed="false">
      <c r="A565" s="37" t="s">
        <v>709</v>
      </c>
      <c r="B565" s="38" t="n">
        <v>45886</v>
      </c>
      <c r="C565" s="37" t="n">
        <f aca="false">MONTH(B565)</f>
        <v>8</v>
      </c>
      <c r="D565" s="37" t="s">
        <v>144</v>
      </c>
      <c r="E565" s="37" t="s">
        <v>45</v>
      </c>
      <c r="F565" s="37" t="s">
        <v>96</v>
      </c>
      <c r="G565" s="37" t="s">
        <v>90</v>
      </c>
      <c r="H565" s="37" t="s">
        <v>108</v>
      </c>
      <c r="I565" s="37" t="n">
        <v>1</v>
      </c>
      <c r="J565" s="39" t="n">
        <v>1999</v>
      </c>
      <c r="K565" s="40" t="n">
        <v>0.15</v>
      </c>
      <c r="L565" s="39" t="n">
        <f aca="false">VLOOKUP(H565,'Product List'!$A$3:$D$18,4,FALSE())</f>
        <v>1560</v>
      </c>
      <c r="M565" s="39" t="n">
        <f aca="false">I565*J565*(1-K565)</f>
        <v>1699.15</v>
      </c>
      <c r="N565" s="39" t="n">
        <f aca="false">I565*L565</f>
        <v>1560</v>
      </c>
      <c r="O565" s="39" t="n">
        <f aca="false">M565-N565</f>
        <v>139.15</v>
      </c>
      <c r="P565" s="41" t="n">
        <f aca="false">IF(M565=0,0,O565/M565)</f>
        <v>0.0818938881205308</v>
      </c>
      <c r="Q565" s="37" t="str">
        <f aca="false">IF(K565=0,"No discount",IF(K565&lt;=0.1,"1-10%",IF(K565&lt;=0.2,"11-20%",IF(K565&lt;=0.3,"21-30%","Above 30%"))))</f>
        <v>11-20%</v>
      </c>
      <c r="R565" s="39" t="n">
        <f aca="false">I565*J565*MAX(0,K565-DiscountCap)</f>
        <v>0</v>
      </c>
    </row>
    <row r="566" customFormat="false" ht="15" hidden="false" customHeight="false" outlineLevel="0" collapsed="false">
      <c r="A566" s="37" t="s">
        <v>710</v>
      </c>
      <c r="B566" s="38" t="n">
        <v>45870</v>
      </c>
      <c r="C566" s="37" t="n">
        <f aca="false">MONTH(B566)</f>
        <v>8</v>
      </c>
      <c r="D566" s="37" t="s">
        <v>169</v>
      </c>
      <c r="E566" s="37" t="s">
        <v>44</v>
      </c>
      <c r="F566" s="37" t="s">
        <v>96</v>
      </c>
      <c r="G566" s="37" t="s">
        <v>90</v>
      </c>
      <c r="H566" s="37" t="s">
        <v>109</v>
      </c>
      <c r="I566" s="37" t="n">
        <v>1</v>
      </c>
      <c r="J566" s="39" t="n">
        <v>3499</v>
      </c>
      <c r="K566" s="40" t="n">
        <v>0.15</v>
      </c>
      <c r="L566" s="39" t="n">
        <f aca="false">VLOOKUP(H566,'Product List'!$A$3:$D$18,4,FALSE())</f>
        <v>2750</v>
      </c>
      <c r="M566" s="39" t="n">
        <f aca="false">I566*J566*(1-K566)</f>
        <v>2974.15</v>
      </c>
      <c r="N566" s="39" t="n">
        <f aca="false">I566*L566</f>
        <v>2750</v>
      </c>
      <c r="O566" s="39" t="n">
        <f aca="false">M566-N566</f>
        <v>224.15</v>
      </c>
      <c r="P566" s="41" t="n">
        <f aca="false">IF(M566=0,0,O566/M566)</f>
        <v>0.0753660709782627</v>
      </c>
      <c r="Q566" s="37" t="str">
        <f aca="false">IF(K566=0,"No discount",IF(K566&lt;=0.1,"1-10%",IF(K566&lt;=0.2,"11-20%",IF(K566&lt;=0.3,"21-30%","Above 30%"))))</f>
        <v>11-20%</v>
      </c>
      <c r="R566" s="39" t="n">
        <f aca="false">I566*J566*MAX(0,K566-DiscountCap)</f>
        <v>0</v>
      </c>
    </row>
    <row r="567" customFormat="false" ht="15" hidden="false" customHeight="false" outlineLevel="0" collapsed="false">
      <c r="A567" s="37" t="s">
        <v>711</v>
      </c>
      <c r="B567" s="38" t="n">
        <v>45895</v>
      </c>
      <c r="C567" s="37" t="n">
        <f aca="false">MONTH(B567)</f>
        <v>8</v>
      </c>
      <c r="D567" s="37" t="s">
        <v>140</v>
      </c>
      <c r="E567" s="37" t="s">
        <v>44</v>
      </c>
      <c r="F567" s="37" t="s">
        <v>96</v>
      </c>
      <c r="G567" s="37" t="s">
        <v>91</v>
      </c>
      <c r="H567" s="37" t="s">
        <v>116</v>
      </c>
      <c r="I567" s="37" t="n">
        <v>1</v>
      </c>
      <c r="J567" s="39" t="n">
        <v>899</v>
      </c>
      <c r="K567" s="40" t="n">
        <v>0.25</v>
      </c>
      <c r="L567" s="39" t="n">
        <f aca="false">VLOOKUP(H567,'Product List'!$A$3:$D$18,4,FALSE())</f>
        <v>430</v>
      </c>
      <c r="M567" s="39" t="n">
        <f aca="false">I567*J567*(1-K567)</f>
        <v>674.25</v>
      </c>
      <c r="N567" s="39" t="n">
        <f aca="false">I567*L567</f>
        <v>430</v>
      </c>
      <c r="O567" s="39" t="n">
        <f aca="false">M567-N567</f>
        <v>244.25</v>
      </c>
      <c r="P567" s="41" t="n">
        <f aca="false">IF(M567=0,0,O567/M567)</f>
        <v>0.362254356692621</v>
      </c>
      <c r="Q567" s="37" t="str">
        <f aca="false">IF(K567=0,"No discount",IF(K567&lt;=0.1,"1-10%",IF(K567&lt;=0.2,"11-20%",IF(K567&lt;=0.3,"21-30%","Above 30%"))))</f>
        <v>21-30%</v>
      </c>
      <c r="R567" s="39" t="n">
        <f aca="false">I567*J567*MAX(0,K567-DiscountCap)</f>
        <v>44.95</v>
      </c>
    </row>
    <row r="568" customFormat="false" ht="15" hidden="false" customHeight="false" outlineLevel="0" collapsed="false">
      <c r="A568" s="37" t="s">
        <v>712</v>
      </c>
      <c r="B568" s="38" t="n">
        <v>45898</v>
      </c>
      <c r="C568" s="37" t="n">
        <f aca="false">MONTH(B568)</f>
        <v>8</v>
      </c>
      <c r="D568" s="37" t="s">
        <v>169</v>
      </c>
      <c r="E568" s="37" t="s">
        <v>44</v>
      </c>
      <c r="F568" s="37" t="s">
        <v>96</v>
      </c>
      <c r="G568" s="37" t="s">
        <v>92</v>
      </c>
      <c r="H568" s="37" t="s">
        <v>115</v>
      </c>
      <c r="I568" s="37" t="n">
        <v>1</v>
      </c>
      <c r="J568" s="39" t="n">
        <v>1799</v>
      </c>
      <c r="K568" s="40" t="n">
        <v>0.2</v>
      </c>
      <c r="L568" s="39" t="n">
        <f aca="false">VLOOKUP(H568,'Product List'!$A$3:$D$18,4,FALSE())</f>
        <v>1150</v>
      </c>
      <c r="M568" s="39" t="n">
        <f aca="false">I568*J568*(1-K568)</f>
        <v>1439.2</v>
      </c>
      <c r="N568" s="39" t="n">
        <f aca="false">I568*L568</f>
        <v>1150</v>
      </c>
      <c r="O568" s="39" t="n">
        <f aca="false">M568-N568</f>
        <v>289.2</v>
      </c>
      <c r="P568" s="41" t="n">
        <f aca="false">IF(M568=0,0,O568/M568)</f>
        <v>0.20094496942746</v>
      </c>
      <c r="Q568" s="37" t="str">
        <f aca="false">IF(K568=0,"No discount",IF(K568&lt;=0.1,"1-10%",IF(K568&lt;=0.2,"11-20%",IF(K568&lt;=0.3,"21-30%","Above 30%"))))</f>
        <v>11-20%</v>
      </c>
      <c r="R568" s="39" t="n">
        <f aca="false">I568*J568*MAX(0,K568-DiscountCap)</f>
        <v>0</v>
      </c>
    </row>
    <row r="569" customFormat="false" ht="15" hidden="false" customHeight="false" outlineLevel="0" collapsed="false">
      <c r="A569" s="37" t="s">
        <v>713</v>
      </c>
      <c r="B569" s="38" t="n">
        <v>45889</v>
      </c>
      <c r="C569" s="37" t="n">
        <f aca="false">MONTH(B569)</f>
        <v>8</v>
      </c>
      <c r="D569" s="37" t="s">
        <v>134</v>
      </c>
      <c r="E569" s="37" t="s">
        <v>45</v>
      </c>
      <c r="F569" s="37" t="s">
        <v>96</v>
      </c>
      <c r="G569" s="37" t="s">
        <v>91</v>
      </c>
      <c r="H569" s="37" t="s">
        <v>116</v>
      </c>
      <c r="I569" s="37" t="n">
        <v>4</v>
      </c>
      <c r="J569" s="39" t="n">
        <v>899</v>
      </c>
      <c r="K569" s="40" t="n">
        <v>0</v>
      </c>
      <c r="L569" s="39" t="n">
        <f aca="false">VLOOKUP(H569,'Product List'!$A$3:$D$18,4,FALSE())</f>
        <v>430</v>
      </c>
      <c r="M569" s="39" t="n">
        <f aca="false">I569*J569*(1-K569)</f>
        <v>3596</v>
      </c>
      <c r="N569" s="39" t="n">
        <f aca="false">I569*L569</f>
        <v>1720</v>
      </c>
      <c r="O569" s="39" t="n">
        <f aca="false">M569-N569</f>
        <v>1876</v>
      </c>
      <c r="P569" s="41" t="n">
        <f aca="false">IF(M569=0,0,O569/M569)</f>
        <v>0.521690767519466</v>
      </c>
      <c r="Q569" s="37" t="str">
        <f aca="false">IF(K569=0,"No discount",IF(K569&lt;=0.1,"1-10%",IF(K569&lt;=0.2,"11-20%",IF(K569&lt;=0.3,"21-30%","Above 30%"))))</f>
        <v>No discount</v>
      </c>
      <c r="R569" s="39" t="n">
        <f aca="false">I569*J569*MAX(0,K569-DiscountCap)</f>
        <v>0</v>
      </c>
    </row>
    <row r="570" customFormat="false" ht="15" hidden="false" customHeight="false" outlineLevel="0" collapsed="false">
      <c r="A570" s="37" t="s">
        <v>714</v>
      </c>
      <c r="B570" s="38" t="n">
        <v>45890</v>
      </c>
      <c r="C570" s="37" t="n">
        <f aca="false">MONTH(B570)</f>
        <v>8</v>
      </c>
      <c r="D570" s="37" t="s">
        <v>134</v>
      </c>
      <c r="E570" s="37" t="s">
        <v>45</v>
      </c>
      <c r="F570" s="37" t="s">
        <v>96</v>
      </c>
      <c r="G570" s="37" t="s">
        <v>91</v>
      </c>
      <c r="H570" s="37" t="s">
        <v>117</v>
      </c>
      <c r="I570" s="37" t="n">
        <v>1</v>
      </c>
      <c r="J570" s="39" t="n">
        <v>1499</v>
      </c>
      <c r="K570" s="40" t="n">
        <v>0.25</v>
      </c>
      <c r="L570" s="39" t="n">
        <f aca="false">VLOOKUP(H570,'Product List'!$A$3:$D$18,4,FALSE())</f>
        <v>780</v>
      </c>
      <c r="M570" s="39" t="n">
        <f aca="false">I570*J570*(1-K570)</f>
        <v>1124.25</v>
      </c>
      <c r="N570" s="39" t="n">
        <f aca="false">I570*L570</f>
        <v>780</v>
      </c>
      <c r="O570" s="39" t="n">
        <f aca="false">M570-N570</f>
        <v>344.25</v>
      </c>
      <c r="P570" s="41" t="n">
        <f aca="false">IF(M570=0,0,O570/M570)</f>
        <v>0.306204136090727</v>
      </c>
      <c r="Q570" s="37" t="str">
        <f aca="false">IF(K570=0,"No discount",IF(K570&lt;=0.1,"1-10%",IF(K570&lt;=0.2,"11-20%",IF(K570&lt;=0.3,"21-30%","Above 30%"))))</f>
        <v>21-30%</v>
      </c>
      <c r="R570" s="39" t="n">
        <f aca="false">I570*J570*MAX(0,K570-DiscountCap)</f>
        <v>74.95</v>
      </c>
    </row>
    <row r="571" customFormat="false" ht="15" hidden="false" customHeight="false" outlineLevel="0" collapsed="false">
      <c r="A571" s="37" t="s">
        <v>715</v>
      </c>
      <c r="B571" s="38" t="n">
        <v>45880</v>
      </c>
      <c r="C571" s="37" t="n">
        <f aca="false">MONTH(B571)</f>
        <v>8</v>
      </c>
      <c r="D571" s="37" t="s">
        <v>144</v>
      </c>
      <c r="E571" s="37" t="s">
        <v>45</v>
      </c>
      <c r="F571" s="37" t="s">
        <v>97</v>
      </c>
      <c r="G571" s="37" t="s">
        <v>92</v>
      </c>
      <c r="H571" s="37" t="s">
        <v>114</v>
      </c>
      <c r="I571" s="37" t="n">
        <v>3</v>
      </c>
      <c r="J571" s="39" t="n">
        <v>1199</v>
      </c>
      <c r="K571" s="40" t="n">
        <v>0</v>
      </c>
      <c r="L571" s="39" t="n">
        <f aca="false">VLOOKUP(H571,'Product List'!$A$3:$D$18,4,FALSE())</f>
        <v>780</v>
      </c>
      <c r="M571" s="39" t="n">
        <f aca="false">I571*J571*(1-K571)</f>
        <v>3597</v>
      </c>
      <c r="N571" s="39" t="n">
        <f aca="false">I571*L571</f>
        <v>2340</v>
      </c>
      <c r="O571" s="39" t="n">
        <f aca="false">M571-N571</f>
        <v>1257</v>
      </c>
      <c r="P571" s="41" t="n">
        <f aca="false">IF(M571=0,0,O571/M571)</f>
        <v>0.349457881567973</v>
      </c>
      <c r="Q571" s="37" t="str">
        <f aca="false">IF(K571=0,"No discount",IF(K571&lt;=0.1,"1-10%",IF(K571&lt;=0.2,"11-20%",IF(K571&lt;=0.3,"21-30%","Above 30%"))))</f>
        <v>No discount</v>
      </c>
      <c r="R571" s="39" t="n">
        <f aca="false">I571*J571*MAX(0,K571-DiscountCap)</f>
        <v>0</v>
      </c>
    </row>
    <row r="572" customFormat="false" ht="15" hidden="false" customHeight="false" outlineLevel="0" collapsed="false">
      <c r="A572" s="37" t="s">
        <v>716</v>
      </c>
      <c r="B572" s="38" t="n">
        <v>45892</v>
      </c>
      <c r="C572" s="37" t="n">
        <f aca="false">MONTH(B572)</f>
        <v>8</v>
      </c>
      <c r="D572" s="37" t="s">
        <v>160</v>
      </c>
      <c r="E572" s="37" t="s">
        <v>46</v>
      </c>
      <c r="F572" s="37" t="s">
        <v>96</v>
      </c>
      <c r="G572" s="37" t="s">
        <v>90</v>
      </c>
      <c r="H572" s="37" t="s">
        <v>111</v>
      </c>
      <c r="I572" s="37" t="n">
        <v>2</v>
      </c>
      <c r="J572" s="39" t="n">
        <v>2499</v>
      </c>
      <c r="K572" s="40" t="n">
        <v>0.3</v>
      </c>
      <c r="L572" s="39" t="n">
        <f aca="false">VLOOKUP(H572,'Product List'!$A$3:$D$18,4,FALSE())</f>
        <v>1950</v>
      </c>
      <c r="M572" s="39" t="n">
        <f aca="false">I572*J572*(1-K572)</f>
        <v>3498.6</v>
      </c>
      <c r="N572" s="39" t="n">
        <f aca="false">I572*L572</f>
        <v>3900</v>
      </c>
      <c r="O572" s="39" t="n">
        <f aca="false">M572-N572</f>
        <v>-401.4</v>
      </c>
      <c r="P572" s="41" t="n">
        <f aca="false">IF(M572=0,0,O572/M572)</f>
        <v>-0.114731606928486</v>
      </c>
      <c r="Q572" s="37" t="str">
        <f aca="false">IF(K572=0,"No discount",IF(K572&lt;=0.1,"1-10%",IF(K572&lt;=0.2,"11-20%",IF(K572&lt;=0.3,"21-30%","Above 30%"))))</f>
        <v>21-30%</v>
      </c>
      <c r="R572" s="39" t="n">
        <f aca="false">I572*J572*MAX(0,K572-DiscountCap)</f>
        <v>499.8</v>
      </c>
    </row>
    <row r="573" customFormat="false" ht="15" hidden="false" customHeight="false" outlineLevel="0" collapsed="false">
      <c r="A573" s="37" t="s">
        <v>717</v>
      </c>
      <c r="B573" s="38" t="n">
        <v>45882</v>
      </c>
      <c r="C573" s="37" t="n">
        <f aca="false">MONTH(B573)</f>
        <v>8</v>
      </c>
      <c r="D573" s="37" t="s">
        <v>166</v>
      </c>
      <c r="E573" s="37" t="s">
        <v>44</v>
      </c>
      <c r="F573" s="37" t="s">
        <v>96</v>
      </c>
      <c r="G573" s="37" t="s">
        <v>92</v>
      </c>
      <c r="H573" s="37" t="s">
        <v>115</v>
      </c>
      <c r="I573" s="37" t="n">
        <v>2</v>
      </c>
      <c r="J573" s="39" t="n">
        <v>1799</v>
      </c>
      <c r="K573" s="40" t="n">
        <v>0.15</v>
      </c>
      <c r="L573" s="39" t="n">
        <f aca="false">VLOOKUP(H573,'Product List'!$A$3:$D$18,4,FALSE())</f>
        <v>1150</v>
      </c>
      <c r="M573" s="39" t="n">
        <f aca="false">I573*J573*(1-K573)</f>
        <v>3058.3</v>
      </c>
      <c r="N573" s="39" t="n">
        <f aca="false">I573*L573</f>
        <v>2300</v>
      </c>
      <c r="O573" s="39" t="n">
        <f aca="false">M573-N573</f>
        <v>758.3</v>
      </c>
      <c r="P573" s="41" t="n">
        <f aca="false">IF(M573=0,0,O573/M573)</f>
        <v>0.247948206519962</v>
      </c>
      <c r="Q573" s="37" t="str">
        <f aca="false">IF(K573=0,"No discount",IF(K573&lt;=0.1,"1-10%",IF(K573&lt;=0.2,"11-20%",IF(K573&lt;=0.3,"21-30%","Above 30%"))))</f>
        <v>11-20%</v>
      </c>
      <c r="R573" s="39" t="n">
        <f aca="false">I573*J573*MAX(0,K573-DiscountCap)</f>
        <v>0</v>
      </c>
    </row>
    <row r="574" customFormat="false" ht="15" hidden="false" customHeight="false" outlineLevel="0" collapsed="false">
      <c r="A574" s="37" t="s">
        <v>718</v>
      </c>
      <c r="B574" s="38" t="n">
        <v>45884</v>
      </c>
      <c r="C574" s="37" t="n">
        <f aca="false">MONTH(B574)</f>
        <v>8</v>
      </c>
      <c r="D574" s="37" t="s">
        <v>140</v>
      </c>
      <c r="E574" s="37" t="s">
        <v>44</v>
      </c>
      <c r="F574" s="37" t="s">
        <v>97</v>
      </c>
      <c r="G574" s="37" t="s">
        <v>93</v>
      </c>
      <c r="H574" s="37" t="s">
        <v>123</v>
      </c>
      <c r="I574" s="37" t="n">
        <v>1</v>
      </c>
      <c r="J574" s="39" t="n">
        <v>1299</v>
      </c>
      <c r="K574" s="40" t="n">
        <v>0</v>
      </c>
      <c r="L574" s="39" t="n">
        <f aca="false">VLOOKUP(H574,'Product List'!$A$3:$D$18,4,FALSE())</f>
        <v>700</v>
      </c>
      <c r="M574" s="39" t="n">
        <f aca="false">I574*J574*(1-K574)</f>
        <v>1299</v>
      </c>
      <c r="N574" s="39" t="n">
        <f aca="false">I574*L574</f>
        <v>700</v>
      </c>
      <c r="O574" s="39" t="n">
        <f aca="false">M574-N574</f>
        <v>599</v>
      </c>
      <c r="P574" s="41" t="n">
        <f aca="false">IF(M574=0,0,O574/M574)</f>
        <v>0.461123941493457</v>
      </c>
      <c r="Q574" s="37" t="str">
        <f aca="false">IF(K574=0,"No discount",IF(K574&lt;=0.1,"1-10%",IF(K574&lt;=0.2,"11-20%",IF(K574&lt;=0.3,"21-30%","Above 30%"))))</f>
        <v>No discount</v>
      </c>
      <c r="R574" s="39" t="n">
        <f aca="false">I574*J574*MAX(0,K574-DiscountCap)</f>
        <v>0</v>
      </c>
    </row>
    <row r="575" customFormat="false" ht="15" hidden="false" customHeight="false" outlineLevel="0" collapsed="false">
      <c r="A575" s="37" t="s">
        <v>719</v>
      </c>
      <c r="B575" s="38" t="n">
        <v>45876</v>
      </c>
      <c r="C575" s="37" t="n">
        <f aca="false">MONTH(B575)</f>
        <v>8</v>
      </c>
      <c r="D575" s="37" t="s">
        <v>136</v>
      </c>
      <c r="E575" s="37" t="s">
        <v>47</v>
      </c>
      <c r="F575" s="37" t="s">
        <v>96</v>
      </c>
      <c r="G575" s="37" t="s">
        <v>92</v>
      </c>
      <c r="H575" s="37" t="s">
        <v>115</v>
      </c>
      <c r="I575" s="37" t="n">
        <v>1</v>
      </c>
      <c r="J575" s="39" t="n">
        <v>1799</v>
      </c>
      <c r="K575" s="40" t="n">
        <v>0.05</v>
      </c>
      <c r="L575" s="39" t="n">
        <f aca="false">VLOOKUP(H575,'Product List'!$A$3:$D$18,4,FALSE())</f>
        <v>1150</v>
      </c>
      <c r="M575" s="39" t="n">
        <f aca="false">I575*J575*(1-K575)</f>
        <v>1709.05</v>
      </c>
      <c r="N575" s="39" t="n">
        <f aca="false">I575*L575</f>
        <v>1150</v>
      </c>
      <c r="O575" s="39" t="n">
        <f aca="false">M575-N575</f>
        <v>559.05</v>
      </c>
      <c r="P575" s="41" t="n">
        <f aca="false">IF(M575=0,0,O575/M575)</f>
        <v>0.327111553202071</v>
      </c>
      <c r="Q575" s="37" t="str">
        <f aca="false">IF(K575=0,"No discount",IF(K575&lt;=0.1,"1-10%",IF(K575&lt;=0.2,"11-20%",IF(K575&lt;=0.3,"21-30%","Above 30%"))))</f>
        <v>1-10%</v>
      </c>
      <c r="R575" s="39" t="n">
        <f aca="false">I575*J575*MAX(0,K575-DiscountCap)</f>
        <v>0</v>
      </c>
    </row>
    <row r="576" customFormat="false" ht="15" hidden="false" customHeight="false" outlineLevel="0" collapsed="false">
      <c r="A576" s="37" t="s">
        <v>720</v>
      </c>
      <c r="B576" s="38" t="n">
        <v>45897</v>
      </c>
      <c r="C576" s="37" t="n">
        <f aca="false">MONTH(B576)</f>
        <v>8</v>
      </c>
      <c r="D576" s="37" t="s">
        <v>140</v>
      </c>
      <c r="E576" s="37" t="s">
        <v>44</v>
      </c>
      <c r="F576" s="37" t="s">
        <v>96</v>
      </c>
      <c r="G576" s="37" t="s">
        <v>91</v>
      </c>
      <c r="H576" s="37" t="s">
        <v>117</v>
      </c>
      <c r="I576" s="37" t="n">
        <v>2</v>
      </c>
      <c r="J576" s="39" t="n">
        <v>1499</v>
      </c>
      <c r="K576" s="40" t="n">
        <v>0.1</v>
      </c>
      <c r="L576" s="39" t="n">
        <f aca="false">VLOOKUP(H576,'Product List'!$A$3:$D$18,4,FALSE())</f>
        <v>780</v>
      </c>
      <c r="M576" s="39" t="n">
        <f aca="false">I576*J576*(1-K576)</f>
        <v>2698.2</v>
      </c>
      <c r="N576" s="39" t="n">
        <f aca="false">I576*L576</f>
        <v>1560</v>
      </c>
      <c r="O576" s="39" t="n">
        <f aca="false">M576-N576</f>
        <v>1138.2</v>
      </c>
      <c r="P576" s="41" t="n">
        <f aca="false">IF(M576=0,0,O576/M576)</f>
        <v>0.421836780075606</v>
      </c>
      <c r="Q576" s="37" t="str">
        <f aca="false">IF(K576=0,"No discount",IF(K576&lt;=0.1,"1-10%",IF(K576&lt;=0.2,"11-20%",IF(K576&lt;=0.3,"21-30%","Above 30%"))))</f>
        <v>1-10%</v>
      </c>
      <c r="R576" s="39" t="n">
        <f aca="false">I576*J576*MAX(0,K576-DiscountCap)</f>
        <v>0</v>
      </c>
    </row>
    <row r="577" customFormat="false" ht="15" hidden="false" customHeight="false" outlineLevel="0" collapsed="false">
      <c r="A577" s="37" t="s">
        <v>721</v>
      </c>
      <c r="B577" s="38" t="n">
        <v>45873</v>
      </c>
      <c r="C577" s="37" t="n">
        <f aca="false">MONTH(B577)</f>
        <v>8</v>
      </c>
      <c r="D577" s="37" t="s">
        <v>136</v>
      </c>
      <c r="E577" s="37" t="s">
        <v>47</v>
      </c>
      <c r="F577" s="37" t="s">
        <v>97</v>
      </c>
      <c r="G577" s="37" t="s">
        <v>91</v>
      </c>
      <c r="H577" s="37" t="s">
        <v>119</v>
      </c>
      <c r="I577" s="37" t="n">
        <v>1</v>
      </c>
      <c r="J577" s="39" t="n">
        <v>1099</v>
      </c>
      <c r="K577" s="40" t="n">
        <v>0.05</v>
      </c>
      <c r="L577" s="39" t="n">
        <f aca="false">VLOOKUP(H577,'Product List'!$A$3:$D$18,4,FALSE())</f>
        <v>560</v>
      </c>
      <c r="M577" s="39" t="n">
        <f aca="false">I577*J577*(1-K577)</f>
        <v>1044.05</v>
      </c>
      <c r="N577" s="39" t="n">
        <f aca="false">I577*L577</f>
        <v>560</v>
      </c>
      <c r="O577" s="39" t="n">
        <f aca="false">M577-N577</f>
        <v>484.05</v>
      </c>
      <c r="P577" s="41" t="n">
        <f aca="false">IF(M577=0,0,O577/M577)</f>
        <v>0.463627220918538</v>
      </c>
      <c r="Q577" s="37" t="str">
        <f aca="false">IF(K577=0,"No discount",IF(K577&lt;=0.1,"1-10%",IF(K577&lt;=0.2,"11-20%",IF(K577&lt;=0.3,"21-30%","Above 30%"))))</f>
        <v>1-10%</v>
      </c>
      <c r="R577" s="39" t="n">
        <f aca="false">I577*J577*MAX(0,K577-DiscountCap)</f>
        <v>0</v>
      </c>
    </row>
    <row r="578" customFormat="false" ht="15" hidden="false" customHeight="false" outlineLevel="0" collapsed="false">
      <c r="A578" s="37" t="s">
        <v>722</v>
      </c>
      <c r="B578" s="38" t="n">
        <v>45900</v>
      </c>
      <c r="C578" s="37" t="n">
        <f aca="false">MONTH(B578)</f>
        <v>8</v>
      </c>
      <c r="D578" s="37" t="s">
        <v>140</v>
      </c>
      <c r="E578" s="37" t="s">
        <v>44</v>
      </c>
      <c r="F578" s="37" t="s">
        <v>97</v>
      </c>
      <c r="G578" s="37" t="s">
        <v>91</v>
      </c>
      <c r="H578" s="37" t="s">
        <v>117</v>
      </c>
      <c r="I578" s="37" t="n">
        <v>3</v>
      </c>
      <c r="J578" s="39" t="n">
        <v>1499</v>
      </c>
      <c r="K578" s="40" t="n">
        <v>0.15</v>
      </c>
      <c r="L578" s="39" t="n">
        <f aca="false">VLOOKUP(H578,'Product List'!$A$3:$D$18,4,FALSE())</f>
        <v>780</v>
      </c>
      <c r="M578" s="39" t="n">
        <f aca="false">I578*J578*(1-K578)</f>
        <v>3822.45</v>
      </c>
      <c r="N578" s="39" t="n">
        <f aca="false">I578*L578</f>
        <v>2340</v>
      </c>
      <c r="O578" s="39" t="n">
        <f aca="false">M578-N578</f>
        <v>1482.45</v>
      </c>
      <c r="P578" s="41" t="n">
        <f aca="false">IF(M578=0,0,O578/M578)</f>
        <v>0.387827178903583</v>
      </c>
      <c r="Q578" s="37" t="str">
        <f aca="false">IF(K578=0,"No discount",IF(K578&lt;=0.1,"1-10%",IF(K578&lt;=0.2,"11-20%",IF(K578&lt;=0.3,"21-30%","Above 30%"))))</f>
        <v>11-20%</v>
      </c>
      <c r="R578" s="39" t="n">
        <f aca="false">I578*J578*MAX(0,K578-DiscountCap)</f>
        <v>0</v>
      </c>
    </row>
    <row r="579" customFormat="false" ht="15" hidden="false" customHeight="false" outlineLevel="0" collapsed="false">
      <c r="A579" s="37" t="s">
        <v>723</v>
      </c>
      <c r="B579" s="38" t="n">
        <v>45903</v>
      </c>
      <c r="C579" s="37" t="n">
        <f aca="false">MONTH(B579)</f>
        <v>9</v>
      </c>
      <c r="D579" s="37" t="s">
        <v>142</v>
      </c>
      <c r="E579" s="37" t="s">
        <v>47</v>
      </c>
      <c r="F579" s="37" t="s">
        <v>97</v>
      </c>
      <c r="G579" s="37" t="s">
        <v>92</v>
      </c>
      <c r="H579" s="37" t="s">
        <v>112</v>
      </c>
      <c r="I579" s="37" t="n">
        <v>3</v>
      </c>
      <c r="J579" s="39" t="n">
        <v>3299</v>
      </c>
      <c r="K579" s="40" t="n">
        <v>0.05</v>
      </c>
      <c r="L579" s="39" t="n">
        <f aca="false">VLOOKUP(H579,'Product List'!$A$3:$D$18,4,FALSE())</f>
        <v>2250</v>
      </c>
      <c r="M579" s="39" t="n">
        <f aca="false">I579*J579*(1-K579)</f>
        <v>9402.15</v>
      </c>
      <c r="N579" s="39" t="n">
        <f aca="false">I579*L579</f>
        <v>6750</v>
      </c>
      <c r="O579" s="39" t="n">
        <f aca="false">M579-N579</f>
        <v>2652.15</v>
      </c>
      <c r="P579" s="41" t="n">
        <f aca="false">IF(M579=0,0,O579/M579)</f>
        <v>0.2820790989295</v>
      </c>
      <c r="Q579" s="37" t="str">
        <f aca="false">IF(K579=0,"No discount",IF(K579&lt;=0.1,"1-10%",IF(K579&lt;=0.2,"11-20%",IF(K579&lt;=0.3,"21-30%","Above 30%"))))</f>
        <v>1-10%</v>
      </c>
      <c r="R579" s="39" t="n">
        <f aca="false">I579*J579*MAX(0,K579-DiscountCap)</f>
        <v>0</v>
      </c>
    </row>
    <row r="580" customFormat="false" ht="15" hidden="false" customHeight="false" outlineLevel="0" collapsed="false">
      <c r="A580" s="37" t="s">
        <v>724</v>
      </c>
      <c r="B580" s="38" t="n">
        <v>45901</v>
      </c>
      <c r="C580" s="37" t="n">
        <f aca="false">MONTH(B580)</f>
        <v>9</v>
      </c>
      <c r="D580" s="37" t="s">
        <v>169</v>
      </c>
      <c r="E580" s="37" t="s">
        <v>44</v>
      </c>
      <c r="F580" s="37" t="s">
        <v>96</v>
      </c>
      <c r="G580" s="37" t="s">
        <v>91</v>
      </c>
      <c r="H580" s="37" t="s">
        <v>119</v>
      </c>
      <c r="I580" s="37" t="n">
        <v>2</v>
      </c>
      <c r="J580" s="39" t="n">
        <v>1099</v>
      </c>
      <c r="K580" s="40" t="n">
        <v>0.1</v>
      </c>
      <c r="L580" s="39" t="n">
        <f aca="false">VLOOKUP(H580,'Product List'!$A$3:$D$18,4,FALSE())</f>
        <v>560</v>
      </c>
      <c r="M580" s="39" t="n">
        <f aca="false">I580*J580*(1-K580)</f>
        <v>1978.2</v>
      </c>
      <c r="N580" s="39" t="n">
        <f aca="false">I580*L580</f>
        <v>1120</v>
      </c>
      <c r="O580" s="39" t="n">
        <f aca="false">M580-N580</f>
        <v>858.2</v>
      </c>
      <c r="P580" s="41" t="n">
        <f aca="false">IF(M580=0,0,O580/M580)</f>
        <v>0.433828733191791</v>
      </c>
      <c r="Q580" s="37" t="str">
        <f aca="false">IF(K580=0,"No discount",IF(K580&lt;=0.1,"1-10%",IF(K580&lt;=0.2,"11-20%",IF(K580&lt;=0.3,"21-30%","Above 30%"))))</f>
        <v>1-10%</v>
      </c>
      <c r="R580" s="39" t="n">
        <f aca="false">I580*J580*MAX(0,K580-DiscountCap)</f>
        <v>0</v>
      </c>
    </row>
    <row r="581" customFormat="false" ht="15" hidden="false" customHeight="false" outlineLevel="0" collapsed="false">
      <c r="A581" s="37" t="s">
        <v>725</v>
      </c>
      <c r="B581" s="38" t="n">
        <v>45930</v>
      </c>
      <c r="C581" s="37" t="n">
        <f aca="false">MONTH(B581)</f>
        <v>9</v>
      </c>
      <c r="D581" s="37" t="s">
        <v>146</v>
      </c>
      <c r="E581" s="37" t="s">
        <v>45</v>
      </c>
      <c r="F581" s="37" t="s">
        <v>97</v>
      </c>
      <c r="G581" s="37" t="s">
        <v>90</v>
      </c>
      <c r="H581" s="37" t="s">
        <v>109</v>
      </c>
      <c r="I581" s="37" t="n">
        <v>4</v>
      </c>
      <c r="J581" s="39" t="n">
        <v>3499</v>
      </c>
      <c r="K581" s="40" t="n">
        <v>0</v>
      </c>
      <c r="L581" s="39" t="n">
        <f aca="false">VLOOKUP(H581,'Product List'!$A$3:$D$18,4,FALSE())</f>
        <v>2750</v>
      </c>
      <c r="M581" s="39" t="n">
        <f aca="false">I581*J581*(1-K581)</f>
        <v>13996</v>
      </c>
      <c r="N581" s="39" t="n">
        <f aca="false">I581*L581</f>
        <v>11000</v>
      </c>
      <c r="O581" s="39" t="n">
        <f aca="false">M581-N581</f>
        <v>2996</v>
      </c>
      <c r="P581" s="41" t="n">
        <f aca="false">IF(M581=0,0,O581/M581)</f>
        <v>0.214061160331523</v>
      </c>
      <c r="Q581" s="37" t="str">
        <f aca="false">IF(K581=0,"No discount",IF(K581&lt;=0.1,"1-10%",IF(K581&lt;=0.2,"11-20%",IF(K581&lt;=0.3,"21-30%","Above 30%"))))</f>
        <v>No discount</v>
      </c>
      <c r="R581" s="39" t="n">
        <f aca="false">I581*J581*MAX(0,K581-DiscountCap)</f>
        <v>0</v>
      </c>
    </row>
    <row r="582" customFormat="false" ht="15" hidden="false" customHeight="false" outlineLevel="0" collapsed="false">
      <c r="A582" s="37" t="s">
        <v>726</v>
      </c>
      <c r="B582" s="38" t="n">
        <v>45926</v>
      </c>
      <c r="C582" s="37" t="n">
        <f aca="false">MONTH(B582)</f>
        <v>9</v>
      </c>
      <c r="D582" s="37" t="s">
        <v>144</v>
      </c>
      <c r="E582" s="37" t="s">
        <v>45</v>
      </c>
      <c r="F582" s="37" t="s">
        <v>97</v>
      </c>
      <c r="G582" s="37" t="s">
        <v>91</v>
      </c>
      <c r="H582" s="37" t="s">
        <v>117</v>
      </c>
      <c r="I582" s="37" t="n">
        <v>3</v>
      </c>
      <c r="J582" s="39" t="n">
        <v>1499</v>
      </c>
      <c r="K582" s="40" t="n">
        <v>0.15</v>
      </c>
      <c r="L582" s="39" t="n">
        <f aca="false">VLOOKUP(H582,'Product List'!$A$3:$D$18,4,FALSE())</f>
        <v>780</v>
      </c>
      <c r="M582" s="39" t="n">
        <f aca="false">I582*J582*(1-K582)</f>
        <v>3822.45</v>
      </c>
      <c r="N582" s="39" t="n">
        <f aca="false">I582*L582</f>
        <v>2340</v>
      </c>
      <c r="O582" s="39" t="n">
        <f aca="false">M582-N582</f>
        <v>1482.45</v>
      </c>
      <c r="P582" s="41" t="n">
        <f aca="false">IF(M582=0,0,O582/M582)</f>
        <v>0.387827178903583</v>
      </c>
      <c r="Q582" s="37" t="str">
        <f aca="false">IF(K582=0,"No discount",IF(K582&lt;=0.1,"1-10%",IF(K582&lt;=0.2,"11-20%",IF(K582&lt;=0.3,"21-30%","Above 30%"))))</f>
        <v>11-20%</v>
      </c>
      <c r="R582" s="39" t="n">
        <f aca="false">I582*J582*MAX(0,K582-DiscountCap)</f>
        <v>0</v>
      </c>
    </row>
    <row r="583" customFormat="false" ht="15" hidden="false" customHeight="false" outlineLevel="0" collapsed="false">
      <c r="A583" s="37" t="s">
        <v>727</v>
      </c>
      <c r="B583" s="38" t="n">
        <v>45908</v>
      </c>
      <c r="C583" s="37" t="n">
        <f aca="false">MONTH(B583)</f>
        <v>9</v>
      </c>
      <c r="D583" s="37" t="s">
        <v>138</v>
      </c>
      <c r="E583" s="37" t="s">
        <v>46</v>
      </c>
      <c r="F583" s="37" t="s">
        <v>97</v>
      </c>
      <c r="G583" s="37" t="s">
        <v>90</v>
      </c>
      <c r="H583" s="37" t="s">
        <v>109</v>
      </c>
      <c r="I583" s="37" t="n">
        <v>1</v>
      </c>
      <c r="J583" s="39" t="n">
        <v>3499</v>
      </c>
      <c r="K583" s="40" t="n">
        <v>0.05</v>
      </c>
      <c r="L583" s="39" t="n">
        <f aca="false">VLOOKUP(H583,'Product List'!$A$3:$D$18,4,FALSE())</f>
        <v>2750</v>
      </c>
      <c r="M583" s="39" t="n">
        <f aca="false">I583*J583*(1-K583)</f>
        <v>3324.05</v>
      </c>
      <c r="N583" s="39" t="n">
        <f aca="false">I583*L583</f>
        <v>2750</v>
      </c>
      <c r="O583" s="39" t="n">
        <f aca="false">M583-N583</f>
        <v>574.05</v>
      </c>
      <c r="P583" s="41" t="n">
        <f aca="false">IF(M583=0,0,O583/M583)</f>
        <v>0.172695958243709</v>
      </c>
      <c r="Q583" s="37" t="str">
        <f aca="false">IF(K583=0,"No discount",IF(K583&lt;=0.1,"1-10%",IF(K583&lt;=0.2,"11-20%",IF(K583&lt;=0.3,"21-30%","Above 30%"))))</f>
        <v>1-10%</v>
      </c>
      <c r="R583" s="39" t="n">
        <f aca="false">I583*J583*MAX(0,K583-DiscountCap)</f>
        <v>0</v>
      </c>
    </row>
    <row r="584" customFormat="false" ht="15" hidden="false" customHeight="false" outlineLevel="0" collapsed="false">
      <c r="A584" s="37" t="s">
        <v>728</v>
      </c>
      <c r="B584" s="38" t="n">
        <v>45923</v>
      </c>
      <c r="C584" s="37" t="n">
        <f aca="false">MONTH(B584)</f>
        <v>9</v>
      </c>
      <c r="D584" s="37" t="s">
        <v>140</v>
      </c>
      <c r="E584" s="37" t="s">
        <v>44</v>
      </c>
      <c r="F584" s="37" t="s">
        <v>96</v>
      </c>
      <c r="G584" s="37" t="s">
        <v>93</v>
      </c>
      <c r="H584" s="37" t="s">
        <v>120</v>
      </c>
      <c r="I584" s="37" t="n">
        <v>1</v>
      </c>
      <c r="J584" s="39" t="n">
        <v>449</v>
      </c>
      <c r="K584" s="40" t="n">
        <v>0.05</v>
      </c>
      <c r="L584" s="39" t="n">
        <f aca="false">VLOOKUP(H584,'Product List'!$A$3:$D$18,4,FALSE())</f>
        <v>240</v>
      </c>
      <c r="M584" s="39" t="n">
        <f aca="false">I584*J584*(1-K584)</f>
        <v>426.55</v>
      </c>
      <c r="N584" s="39" t="n">
        <f aca="false">I584*L584</f>
        <v>240</v>
      </c>
      <c r="O584" s="39" t="n">
        <f aca="false">M584-N584</f>
        <v>186.55</v>
      </c>
      <c r="P584" s="41" t="n">
        <f aca="false">IF(M584=0,0,O584/M584)</f>
        <v>0.43734614933771</v>
      </c>
      <c r="Q584" s="37" t="str">
        <f aca="false">IF(K584=0,"No discount",IF(K584&lt;=0.1,"1-10%",IF(K584&lt;=0.2,"11-20%",IF(K584&lt;=0.3,"21-30%","Above 30%"))))</f>
        <v>1-10%</v>
      </c>
      <c r="R584" s="39" t="n">
        <f aca="false">I584*J584*MAX(0,K584-DiscountCap)</f>
        <v>0</v>
      </c>
    </row>
    <row r="585" customFormat="false" ht="15" hidden="false" customHeight="false" outlineLevel="0" collapsed="false">
      <c r="A585" s="37" t="s">
        <v>729</v>
      </c>
      <c r="B585" s="38" t="n">
        <v>45911</v>
      </c>
      <c r="C585" s="37" t="n">
        <f aca="false">MONTH(B585)</f>
        <v>9</v>
      </c>
      <c r="D585" s="37" t="s">
        <v>134</v>
      </c>
      <c r="E585" s="37" t="s">
        <v>45</v>
      </c>
      <c r="F585" s="37" t="s">
        <v>97</v>
      </c>
      <c r="G585" s="37" t="s">
        <v>91</v>
      </c>
      <c r="H585" s="37" t="s">
        <v>116</v>
      </c>
      <c r="I585" s="37" t="n">
        <v>1</v>
      </c>
      <c r="J585" s="39" t="n">
        <v>899</v>
      </c>
      <c r="K585" s="40" t="n">
        <v>0.05</v>
      </c>
      <c r="L585" s="39" t="n">
        <f aca="false">VLOOKUP(H585,'Product List'!$A$3:$D$18,4,FALSE())</f>
        <v>430</v>
      </c>
      <c r="M585" s="39" t="n">
        <f aca="false">I585*J585*(1-K585)</f>
        <v>854.05</v>
      </c>
      <c r="N585" s="39" t="n">
        <f aca="false">I585*L585</f>
        <v>430</v>
      </c>
      <c r="O585" s="39" t="n">
        <f aca="false">M585-N585</f>
        <v>424.05</v>
      </c>
      <c r="P585" s="41" t="n">
        <f aca="false">IF(M585=0,0,O585/M585)</f>
        <v>0.496516597388912</v>
      </c>
      <c r="Q585" s="37" t="str">
        <f aca="false">IF(K585=0,"No discount",IF(K585&lt;=0.1,"1-10%",IF(K585&lt;=0.2,"11-20%",IF(K585&lt;=0.3,"21-30%","Above 30%"))))</f>
        <v>1-10%</v>
      </c>
      <c r="R585" s="39" t="n">
        <f aca="false">I585*J585*MAX(0,K585-DiscountCap)</f>
        <v>0</v>
      </c>
    </row>
    <row r="586" customFormat="false" ht="15" hidden="false" customHeight="false" outlineLevel="0" collapsed="false">
      <c r="A586" s="37" t="s">
        <v>730</v>
      </c>
      <c r="B586" s="38" t="n">
        <v>45926</v>
      </c>
      <c r="C586" s="37" t="n">
        <f aca="false">MONTH(B586)</f>
        <v>9</v>
      </c>
      <c r="D586" s="37" t="s">
        <v>142</v>
      </c>
      <c r="E586" s="37" t="s">
        <v>47</v>
      </c>
      <c r="F586" s="37" t="s">
        <v>96</v>
      </c>
      <c r="G586" s="37" t="s">
        <v>93</v>
      </c>
      <c r="H586" s="37" t="s">
        <v>122</v>
      </c>
      <c r="I586" s="37" t="n">
        <v>1</v>
      </c>
      <c r="J586" s="39" t="n">
        <v>1799</v>
      </c>
      <c r="K586" s="40" t="n">
        <v>0.25</v>
      </c>
      <c r="L586" s="39" t="n">
        <f aca="false">VLOOKUP(H586,'Product List'!$A$3:$D$18,4,FALSE())</f>
        <v>1250</v>
      </c>
      <c r="M586" s="39" t="n">
        <f aca="false">I586*J586*(1-K586)</f>
        <v>1349.25</v>
      </c>
      <c r="N586" s="39" t="n">
        <f aca="false">I586*L586</f>
        <v>1250</v>
      </c>
      <c r="O586" s="39" t="n">
        <f aca="false">M586-N586</f>
        <v>99.25</v>
      </c>
      <c r="P586" s="41" t="n">
        <f aca="false">IF(M586=0,0,O586/M586)</f>
        <v>0.0735593848434315</v>
      </c>
      <c r="Q586" s="37" t="str">
        <f aca="false">IF(K586=0,"No discount",IF(K586&lt;=0.1,"1-10%",IF(K586&lt;=0.2,"11-20%",IF(K586&lt;=0.3,"21-30%","Above 30%"))))</f>
        <v>21-30%</v>
      </c>
      <c r="R586" s="39" t="n">
        <f aca="false">I586*J586*MAX(0,K586-DiscountCap)</f>
        <v>89.95</v>
      </c>
    </row>
    <row r="587" customFormat="false" ht="15" hidden="false" customHeight="false" outlineLevel="0" collapsed="false">
      <c r="A587" s="37" t="s">
        <v>731</v>
      </c>
      <c r="B587" s="38" t="n">
        <v>45918</v>
      </c>
      <c r="C587" s="37" t="n">
        <f aca="false">MONTH(B587)</f>
        <v>9</v>
      </c>
      <c r="D587" s="37" t="s">
        <v>172</v>
      </c>
      <c r="E587" s="37" t="s">
        <v>46</v>
      </c>
      <c r="F587" s="37" t="s">
        <v>97</v>
      </c>
      <c r="G587" s="37" t="s">
        <v>90</v>
      </c>
      <c r="H587" s="37" t="s">
        <v>109</v>
      </c>
      <c r="I587" s="37" t="n">
        <v>1</v>
      </c>
      <c r="J587" s="39" t="n">
        <v>3499</v>
      </c>
      <c r="K587" s="40" t="n">
        <v>0</v>
      </c>
      <c r="L587" s="39" t="n">
        <f aca="false">VLOOKUP(H587,'Product List'!$A$3:$D$18,4,FALSE())</f>
        <v>2750</v>
      </c>
      <c r="M587" s="39" t="n">
        <f aca="false">I587*J587*(1-K587)</f>
        <v>3499</v>
      </c>
      <c r="N587" s="39" t="n">
        <f aca="false">I587*L587</f>
        <v>2750</v>
      </c>
      <c r="O587" s="39" t="n">
        <f aca="false">M587-N587</f>
        <v>749</v>
      </c>
      <c r="P587" s="41" t="n">
        <f aca="false">IF(M587=0,0,O587/M587)</f>
        <v>0.214061160331523</v>
      </c>
      <c r="Q587" s="37" t="str">
        <f aca="false">IF(K587=0,"No discount",IF(K587&lt;=0.1,"1-10%",IF(K587&lt;=0.2,"11-20%",IF(K587&lt;=0.3,"21-30%","Above 30%"))))</f>
        <v>No discount</v>
      </c>
      <c r="R587" s="39" t="n">
        <f aca="false">I587*J587*MAX(0,K587-DiscountCap)</f>
        <v>0</v>
      </c>
    </row>
    <row r="588" customFormat="false" ht="15" hidden="false" customHeight="false" outlineLevel="0" collapsed="false">
      <c r="A588" s="37" t="s">
        <v>732</v>
      </c>
      <c r="B588" s="38" t="n">
        <v>45910</v>
      </c>
      <c r="C588" s="37" t="n">
        <f aca="false">MONTH(B588)</f>
        <v>9</v>
      </c>
      <c r="D588" s="37" t="s">
        <v>166</v>
      </c>
      <c r="E588" s="37" t="s">
        <v>44</v>
      </c>
      <c r="F588" s="37" t="s">
        <v>97</v>
      </c>
      <c r="G588" s="37" t="s">
        <v>91</v>
      </c>
      <c r="H588" s="37" t="s">
        <v>116</v>
      </c>
      <c r="I588" s="37" t="n">
        <v>1</v>
      </c>
      <c r="J588" s="39" t="n">
        <v>899</v>
      </c>
      <c r="K588" s="40" t="n">
        <v>0.1</v>
      </c>
      <c r="L588" s="39" t="n">
        <f aca="false">VLOOKUP(H588,'Product List'!$A$3:$D$18,4,FALSE())</f>
        <v>430</v>
      </c>
      <c r="M588" s="39" t="n">
        <f aca="false">I588*J588*(1-K588)</f>
        <v>809.1</v>
      </c>
      <c r="N588" s="39" t="n">
        <f aca="false">I588*L588</f>
        <v>430</v>
      </c>
      <c r="O588" s="39" t="n">
        <f aca="false">M588-N588</f>
        <v>379.1</v>
      </c>
      <c r="P588" s="41" t="n">
        <f aca="false">IF(M588=0,0,O588/M588)</f>
        <v>0.468545297243851</v>
      </c>
      <c r="Q588" s="37" t="str">
        <f aca="false">IF(K588=0,"No discount",IF(K588&lt;=0.1,"1-10%",IF(K588&lt;=0.2,"11-20%",IF(K588&lt;=0.3,"21-30%","Above 30%"))))</f>
        <v>1-10%</v>
      </c>
      <c r="R588" s="39" t="n">
        <f aca="false">I588*J588*MAX(0,K588-DiscountCap)</f>
        <v>0</v>
      </c>
    </row>
    <row r="589" customFormat="false" ht="15" hidden="false" customHeight="false" outlineLevel="0" collapsed="false">
      <c r="A589" s="37" t="s">
        <v>733</v>
      </c>
      <c r="B589" s="38" t="n">
        <v>45914</v>
      </c>
      <c r="C589" s="37" t="n">
        <f aca="false">MONTH(B589)</f>
        <v>9</v>
      </c>
      <c r="D589" s="37" t="s">
        <v>140</v>
      </c>
      <c r="E589" s="37" t="s">
        <v>44</v>
      </c>
      <c r="F589" s="37" t="s">
        <v>97</v>
      </c>
      <c r="G589" s="37" t="s">
        <v>90</v>
      </c>
      <c r="H589" s="37" t="s">
        <v>111</v>
      </c>
      <c r="I589" s="37" t="n">
        <v>1</v>
      </c>
      <c r="J589" s="39" t="n">
        <v>2499</v>
      </c>
      <c r="K589" s="40" t="n">
        <v>0.1</v>
      </c>
      <c r="L589" s="39" t="n">
        <f aca="false">VLOOKUP(H589,'Product List'!$A$3:$D$18,4,FALSE())</f>
        <v>1950</v>
      </c>
      <c r="M589" s="39" t="n">
        <f aca="false">I589*J589*(1-K589)</f>
        <v>2249.1</v>
      </c>
      <c r="N589" s="39" t="n">
        <f aca="false">I589*L589</f>
        <v>1950</v>
      </c>
      <c r="O589" s="39" t="n">
        <f aca="false">M589-N589</f>
        <v>299.1</v>
      </c>
      <c r="P589" s="41" t="n">
        <f aca="false">IF(M589=0,0,O589/M589)</f>
        <v>0.132986527944511</v>
      </c>
      <c r="Q589" s="37" t="str">
        <f aca="false">IF(K589=0,"No discount",IF(K589&lt;=0.1,"1-10%",IF(K589&lt;=0.2,"11-20%",IF(K589&lt;=0.3,"21-30%","Above 30%"))))</f>
        <v>1-10%</v>
      </c>
      <c r="R589" s="39" t="n">
        <f aca="false">I589*J589*MAX(0,K589-DiscountCap)</f>
        <v>0</v>
      </c>
    </row>
    <row r="590" customFormat="false" ht="15" hidden="false" customHeight="false" outlineLevel="0" collapsed="false">
      <c r="A590" s="37" t="s">
        <v>734</v>
      </c>
      <c r="B590" s="38" t="n">
        <v>45908</v>
      </c>
      <c r="C590" s="37" t="n">
        <f aca="false">MONTH(B590)</f>
        <v>9</v>
      </c>
      <c r="D590" s="37" t="s">
        <v>154</v>
      </c>
      <c r="E590" s="37" t="s">
        <v>47</v>
      </c>
      <c r="F590" s="37" t="s">
        <v>97</v>
      </c>
      <c r="G590" s="37" t="s">
        <v>90</v>
      </c>
      <c r="H590" s="37" t="s">
        <v>110</v>
      </c>
      <c r="I590" s="37" t="n">
        <v>1</v>
      </c>
      <c r="J590" s="39" t="n">
        <v>1299</v>
      </c>
      <c r="K590" s="40" t="n">
        <v>0</v>
      </c>
      <c r="L590" s="39" t="n">
        <f aca="false">VLOOKUP(H590,'Product List'!$A$3:$D$18,4,FALSE())</f>
        <v>1000</v>
      </c>
      <c r="M590" s="39" t="n">
        <f aca="false">I590*J590*(1-K590)</f>
        <v>1299</v>
      </c>
      <c r="N590" s="39" t="n">
        <f aca="false">I590*L590</f>
        <v>1000</v>
      </c>
      <c r="O590" s="39" t="n">
        <f aca="false">M590-N590</f>
        <v>299</v>
      </c>
      <c r="P590" s="41" t="n">
        <f aca="false">IF(M590=0,0,O590/M590)</f>
        <v>0.230177059276366</v>
      </c>
      <c r="Q590" s="37" t="str">
        <f aca="false">IF(K590=0,"No discount",IF(K590&lt;=0.1,"1-10%",IF(K590&lt;=0.2,"11-20%",IF(K590&lt;=0.3,"21-30%","Above 30%"))))</f>
        <v>No discount</v>
      </c>
      <c r="R590" s="39" t="n">
        <f aca="false">I590*J590*MAX(0,K590-DiscountCap)</f>
        <v>0</v>
      </c>
    </row>
    <row r="591" customFormat="false" ht="15" hidden="false" customHeight="false" outlineLevel="0" collapsed="false">
      <c r="A591" s="37" t="s">
        <v>735</v>
      </c>
      <c r="B591" s="38" t="n">
        <v>45917</v>
      </c>
      <c r="C591" s="37" t="n">
        <f aca="false">MONTH(B591)</f>
        <v>9</v>
      </c>
      <c r="D591" s="37" t="s">
        <v>154</v>
      </c>
      <c r="E591" s="37" t="s">
        <v>47</v>
      </c>
      <c r="F591" s="37" t="s">
        <v>96</v>
      </c>
      <c r="G591" s="37" t="s">
        <v>91</v>
      </c>
      <c r="H591" s="37" t="s">
        <v>119</v>
      </c>
      <c r="I591" s="37" t="n">
        <v>3</v>
      </c>
      <c r="J591" s="39" t="n">
        <v>1099</v>
      </c>
      <c r="K591" s="40" t="n">
        <v>0.1</v>
      </c>
      <c r="L591" s="39" t="n">
        <f aca="false">VLOOKUP(H591,'Product List'!$A$3:$D$18,4,FALSE())</f>
        <v>560</v>
      </c>
      <c r="M591" s="39" t="n">
        <f aca="false">I591*J591*(1-K591)</f>
        <v>2967.3</v>
      </c>
      <c r="N591" s="39" t="n">
        <f aca="false">I591*L591</f>
        <v>1680</v>
      </c>
      <c r="O591" s="39" t="n">
        <f aca="false">M591-N591</f>
        <v>1287.3</v>
      </c>
      <c r="P591" s="41" t="n">
        <f aca="false">IF(M591=0,0,O591/M591)</f>
        <v>0.433828733191791</v>
      </c>
      <c r="Q591" s="37" t="str">
        <f aca="false">IF(K591=0,"No discount",IF(K591&lt;=0.1,"1-10%",IF(K591&lt;=0.2,"11-20%",IF(K591&lt;=0.3,"21-30%","Above 30%"))))</f>
        <v>1-10%</v>
      </c>
      <c r="R591" s="39" t="n">
        <f aca="false">I591*J591*MAX(0,K591-DiscountCap)</f>
        <v>0</v>
      </c>
    </row>
    <row r="592" customFormat="false" ht="15" hidden="false" customHeight="false" outlineLevel="0" collapsed="false">
      <c r="A592" s="37" t="s">
        <v>736</v>
      </c>
      <c r="B592" s="38" t="n">
        <v>45909</v>
      </c>
      <c r="C592" s="37" t="n">
        <f aca="false">MONTH(B592)</f>
        <v>9</v>
      </c>
      <c r="D592" s="37" t="s">
        <v>169</v>
      </c>
      <c r="E592" s="37" t="s">
        <v>44</v>
      </c>
      <c r="F592" s="37" t="s">
        <v>97</v>
      </c>
      <c r="G592" s="37" t="s">
        <v>91</v>
      </c>
      <c r="H592" s="37" t="s">
        <v>116</v>
      </c>
      <c r="I592" s="37" t="n">
        <v>1</v>
      </c>
      <c r="J592" s="39" t="n">
        <v>899</v>
      </c>
      <c r="K592" s="40" t="n">
        <v>0.2</v>
      </c>
      <c r="L592" s="39" t="n">
        <f aca="false">VLOOKUP(H592,'Product List'!$A$3:$D$18,4,FALSE())</f>
        <v>430</v>
      </c>
      <c r="M592" s="39" t="n">
        <f aca="false">I592*J592*(1-K592)</f>
        <v>719.2</v>
      </c>
      <c r="N592" s="39" t="n">
        <f aca="false">I592*L592</f>
        <v>430</v>
      </c>
      <c r="O592" s="39" t="n">
        <f aca="false">M592-N592</f>
        <v>289.2</v>
      </c>
      <c r="P592" s="41" t="n">
        <f aca="false">IF(M592=0,0,O592/M592)</f>
        <v>0.402113459399333</v>
      </c>
      <c r="Q592" s="37" t="str">
        <f aca="false">IF(K592=0,"No discount",IF(K592&lt;=0.1,"1-10%",IF(K592&lt;=0.2,"11-20%",IF(K592&lt;=0.3,"21-30%","Above 30%"))))</f>
        <v>11-20%</v>
      </c>
      <c r="R592" s="39" t="n">
        <f aca="false">I592*J592*MAX(0,K592-DiscountCap)</f>
        <v>0</v>
      </c>
    </row>
    <row r="593" customFormat="false" ht="15" hidden="false" customHeight="false" outlineLevel="0" collapsed="false">
      <c r="A593" s="37" t="s">
        <v>737</v>
      </c>
      <c r="B593" s="38" t="n">
        <v>45910</v>
      </c>
      <c r="C593" s="37" t="n">
        <f aca="false">MONTH(B593)</f>
        <v>9</v>
      </c>
      <c r="D593" s="37" t="s">
        <v>160</v>
      </c>
      <c r="E593" s="37" t="s">
        <v>46</v>
      </c>
      <c r="F593" s="37" t="s">
        <v>97</v>
      </c>
      <c r="G593" s="37" t="s">
        <v>93</v>
      </c>
      <c r="H593" s="37" t="s">
        <v>121</v>
      </c>
      <c r="I593" s="37" t="n">
        <v>1</v>
      </c>
      <c r="J593" s="39" t="n">
        <v>999</v>
      </c>
      <c r="K593" s="40" t="n">
        <v>0.15</v>
      </c>
      <c r="L593" s="39" t="n">
        <f aca="false">VLOOKUP(H593,'Product List'!$A$3:$D$18,4,FALSE())</f>
        <v>500</v>
      </c>
      <c r="M593" s="39" t="n">
        <f aca="false">I593*J593*(1-K593)</f>
        <v>849.15</v>
      </c>
      <c r="N593" s="39" t="n">
        <f aca="false">I593*L593</f>
        <v>500</v>
      </c>
      <c r="O593" s="39" t="n">
        <f aca="false">M593-N593</f>
        <v>349.15</v>
      </c>
      <c r="P593" s="41" t="n">
        <f aca="false">IF(M593=0,0,O593/M593)</f>
        <v>0.411175881764117</v>
      </c>
      <c r="Q593" s="37" t="str">
        <f aca="false">IF(K593=0,"No discount",IF(K593&lt;=0.1,"1-10%",IF(K593&lt;=0.2,"11-20%",IF(K593&lt;=0.3,"21-30%","Above 30%"))))</f>
        <v>11-20%</v>
      </c>
      <c r="R593" s="39" t="n">
        <f aca="false">I593*J593*MAX(0,K593-DiscountCap)</f>
        <v>0</v>
      </c>
    </row>
    <row r="594" customFormat="false" ht="15" hidden="false" customHeight="false" outlineLevel="0" collapsed="false">
      <c r="A594" s="37" t="s">
        <v>738</v>
      </c>
      <c r="B594" s="38" t="n">
        <v>45925</v>
      </c>
      <c r="C594" s="37" t="n">
        <f aca="false">MONTH(B594)</f>
        <v>9</v>
      </c>
      <c r="D594" s="37" t="s">
        <v>160</v>
      </c>
      <c r="E594" s="37" t="s">
        <v>46</v>
      </c>
      <c r="F594" s="37" t="s">
        <v>97</v>
      </c>
      <c r="G594" s="37" t="s">
        <v>90</v>
      </c>
      <c r="H594" s="37" t="s">
        <v>111</v>
      </c>
      <c r="I594" s="37" t="n">
        <v>2</v>
      </c>
      <c r="J594" s="39" t="n">
        <v>2499</v>
      </c>
      <c r="K594" s="40" t="n">
        <v>0.2</v>
      </c>
      <c r="L594" s="39" t="n">
        <f aca="false">VLOOKUP(H594,'Product List'!$A$3:$D$18,4,FALSE())</f>
        <v>1950</v>
      </c>
      <c r="M594" s="39" t="n">
        <f aca="false">I594*J594*(1-K594)</f>
        <v>3998.4</v>
      </c>
      <c r="N594" s="39" t="n">
        <f aca="false">I594*L594</f>
        <v>3900</v>
      </c>
      <c r="O594" s="39" t="n">
        <f aca="false">M594-N594</f>
        <v>98.4000000000001</v>
      </c>
      <c r="P594" s="41" t="n">
        <f aca="false">IF(M594=0,0,O594/M594)</f>
        <v>0.0246098439375751</v>
      </c>
      <c r="Q594" s="37" t="str">
        <f aca="false">IF(K594=0,"No discount",IF(K594&lt;=0.1,"1-10%",IF(K594&lt;=0.2,"11-20%",IF(K594&lt;=0.3,"21-30%","Above 30%"))))</f>
        <v>11-20%</v>
      </c>
      <c r="R594" s="39" t="n">
        <f aca="false">I594*J594*MAX(0,K594-DiscountCap)</f>
        <v>0</v>
      </c>
    </row>
    <row r="595" customFormat="false" ht="15" hidden="false" customHeight="false" outlineLevel="0" collapsed="false">
      <c r="A595" s="37" t="s">
        <v>739</v>
      </c>
      <c r="B595" s="38" t="n">
        <v>45903</v>
      </c>
      <c r="C595" s="37" t="n">
        <f aca="false">MONTH(B595)</f>
        <v>9</v>
      </c>
      <c r="D595" s="37" t="s">
        <v>142</v>
      </c>
      <c r="E595" s="37" t="s">
        <v>47</v>
      </c>
      <c r="F595" s="37" t="s">
        <v>96</v>
      </c>
      <c r="G595" s="37" t="s">
        <v>91</v>
      </c>
      <c r="H595" s="37" t="s">
        <v>118</v>
      </c>
      <c r="I595" s="37" t="n">
        <v>1</v>
      </c>
      <c r="J595" s="39" t="n">
        <v>2299</v>
      </c>
      <c r="K595" s="40" t="n">
        <v>0.25</v>
      </c>
      <c r="L595" s="39" t="n">
        <f aca="false">VLOOKUP(H595,'Product List'!$A$3:$D$18,4,FALSE())</f>
        <v>1300</v>
      </c>
      <c r="M595" s="39" t="n">
        <f aca="false">I595*J595*(1-K595)</f>
        <v>1724.25</v>
      </c>
      <c r="N595" s="39" t="n">
        <f aca="false">I595*L595</f>
        <v>1300</v>
      </c>
      <c r="O595" s="39" t="n">
        <f aca="false">M595-N595</f>
        <v>424.25</v>
      </c>
      <c r="P595" s="41" t="n">
        <f aca="false">IF(M595=0,0,O595/M595)</f>
        <v>0.246049006814557</v>
      </c>
      <c r="Q595" s="37" t="str">
        <f aca="false">IF(K595=0,"No discount",IF(K595&lt;=0.1,"1-10%",IF(K595&lt;=0.2,"11-20%",IF(K595&lt;=0.3,"21-30%","Above 30%"))))</f>
        <v>21-30%</v>
      </c>
      <c r="R595" s="39" t="n">
        <f aca="false">I595*J595*MAX(0,K595-DiscountCap)</f>
        <v>114.95</v>
      </c>
    </row>
    <row r="596" customFormat="false" ht="15" hidden="false" customHeight="false" outlineLevel="0" collapsed="false">
      <c r="A596" s="37" t="s">
        <v>740</v>
      </c>
      <c r="B596" s="38" t="n">
        <v>45906</v>
      </c>
      <c r="C596" s="37" t="n">
        <f aca="false">MONTH(B596)</f>
        <v>9</v>
      </c>
      <c r="D596" s="37" t="s">
        <v>166</v>
      </c>
      <c r="E596" s="37" t="s">
        <v>44</v>
      </c>
      <c r="F596" s="37" t="s">
        <v>96</v>
      </c>
      <c r="G596" s="37" t="s">
        <v>93</v>
      </c>
      <c r="H596" s="37" t="s">
        <v>123</v>
      </c>
      <c r="I596" s="37" t="n">
        <v>3</v>
      </c>
      <c r="J596" s="39" t="n">
        <v>1299</v>
      </c>
      <c r="K596" s="40" t="n">
        <v>0.05</v>
      </c>
      <c r="L596" s="39" t="n">
        <f aca="false">VLOOKUP(H596,'Product List'!$A$3:$D$18,4,FALSE())</f>
        <v>700</v>
      </c>
      <c r="M596" s="39" t="n">
        <f aca="false">I596*J596*(1-K596)</f>
        <v>3702.15</v>
      </c>
      <c r="N596" s="39" t="n">
        <f aca="false">I596*L596</f>
        <v>2100</v>
      </c>
      <c r="O596" s="39" t="n">
        <f aca="false">M596-N596</f>
        <v>1602.15</v>
      </c>
      <c r="P596" s="41" t="n">
        <f aca="false">IF(M596=0,0,O596/M596)</f>
        <v>0.432762043677323</v>
      </c>
      <c r="Q596" s="37" t="str">
        <f aca="false">IF(K596=0,"No discount",IF(K596&lt;=0.1,"1-10%",IF(K596&lt;=0.2,"11-20%",IF(K596&lt;=0.3,"21-30%","Above 30%"))))</f>
        <v>1-10%</v>
      </c>
      <c r="R596" s="39" t="n">
        <f aca="false">I596*J596*MAX(0,K596-DiscountCap)</f>
        <v>0</v>
      </c>
    </row>
    <row r="597" customFormat="false" ht="15" hidden="false" customHeight="false" outlineLevel="0" collapsed="false">
      <c r="A597" s="37" t="s">
        <v>741</v>
      </c>
      <c r="B597" s="38" t="n">
        <v>45927</v>
      </c>
      <c r="C597" s="37" t="n">
        <f aca="false">MONTH(B597)</f>
        <v>9</v>
      </c>
      <c r="D597" s="37" t="s">
        <v>140</v>
      </c>
      <c r="E597" s="37" t="s">
        <v>44</v>
      </c>
      <c r="F597" s="37" t="s">
        <v>97</v>
      </c>
      <c r="G597" s="37" t="s">
        <v>90</v>
      </c>
      <c r="H597" s="37" t="s">
        <v>109</v>
      </c>
      <c r="I597" s="37" t="n">
        <v>1</v>
      </c>
      <c r="J597" s="39" t="n">
        <v>3499</v>
      </c>
      <c r="K597" s="40" t="n">
        <v>0.05</v>
      </c>
      <c r="L597" s="39" t="n">
        <f aca="false">VLOOKUP(H597,'Product List'!$A$3:$D$18,4,FALSE())</f>
        <v>2750</v>
      </c>
      <c r="M597" s="39" t="n">
        <f aca="false">I597*J597*(1-K597)</f>
        <v>3324.05</v>
      </c>
      <c r="N597" s="39" t="n">
        <f aca="false">I597*L597</f>
        <v>2750</v>
      </c>
      <c r="O597" s="39" t="n">
        <f aca="false">M597-N597</f>
        <v>574.05</v>
      </c>
      <c r="P597" s="41" t="n">
        <f aca="false">IF(M597=0,0,O597/M597)</f>
        <v>0.172695958243709</v>
      </c>
      <c r="Q597" s="37" t="str">
        <f aca="false">IF(K597=0,"No discount",IF(K597&lt;=0.1,"1-10%",IF(K597&lt;=0.2,"11-20%",IF(K597&lt;=0.3,"21-30%","Above 30%"))))</f>
        <v>1-10%</v>
      </c>
      <c r="R597" s="39" t="n">
        <f aca="false">I597*J597*MAX(0,K597-DiscountCap)</f>
        <v>0</v>
      </c>
    </row>
    <row r="598" customFormat="false" ht="15" hidden="false" customHeight="false" outlineLevel="0" collapsed="false">
      <c r="A598" s="37" t="s">
        <v>742</v>
      </c>
      <c r="B598" s="38" t="n">
        <v>45923</v>
      </c>
      <c r="C598" s="37" t="n">
        <f aca="false">MONTH(B598)</f>
        <v>9</v>
      </c>
      <c r="D598" s="37" t="s">
        <v>138</v>
      </c>
      <c r="E598" s="37" t="s">
        <v>46</v>
      </c>
      <c r="F598" s="37" t="s">
        <v>96</v>
      </c>
      <c r="G598" s="37" t="s">
        <v>91</v>
      </c>
      <c r="H598" s="37" t="s">
        <v>116</v>
      </c>
      <c r="I598" s="37" t="n">
        <v>2</v>
      </c>
      <c r="J598" s="39" t="n">
        <v>899</v>
      </c>
      <c r="K598" s="40" t="n">
        <v>0.1</v>
      </c>
      <c r="L598" s="39" t="n">
        <f aca="false">VLOOKUP(H598,'Product List'!$A$3:$D$18,4,FALSE())</f>
        <v>430</v>
      </c>
      <c r="M598" s="39" t="n">
        <f aca="false">I598*J598*(1-K598)</f>
        <v>1618.2</v>
      </c>
      <c r="N598" s="39" t="n">
        <f aca="false">I598*L598</f>
        <v>860</v>
      </c>
      <c r="O598" s="39" t="n">
        <f aca="false">M598-N598</f>
        <v>758.2</v>
      </c>
      <c r="P598" s="41" t="n">
        <f aca="false">IF(M598=0,0,O598/M598)</f>
        <v>0.468545297243851</v>
      </c>
      <c r="Q598" s="37" t="str">
        <f aca="false">IF(K598=0,"No discount",IF(K598&lt;=0.1,"1-10%",IF(K598&lt;=0.2,"11-20%",IF(K598&lt;=0.3,"21-30%","Above 30%"))))</f>
        <v>1-10%</v>
      </c>
      <c r="R598" s="39" t="n">
        <f aca="false">I598*J598*MAX(0,K598-DiscountCap)</f>
        <v>0</v>
      </c>
    </row>
    <row r="599" customFormat="false" ht="15" hidden="false" customHeight="false" outlineLevel="0" collapsed="false">
      <c r="A599" s="37" t="s">
        <v>743</v>
      </c>
      <c r="B599" s="38" t="n">
        <v>45909</v>
      </c>
      <c r="C599" s="37" t="n">
        <f aca="false">MONTH(B599)</f>
        <v>9</v>
      </c>
      <c r="D599" s="37" t="s">
        <v>138</v>
      </c>
      <c r="E599" s="37" t="s">
        <v>46</v>
      </c>
      <c r="F599" s="37" t="s">
        <v>97</v>
      </c>
      <c r="G599" s="37" t="s">
        <v>91</v>
      </c>
      <c r="H599" s="37" t="s">
        <v>117</v>
      </c>
      <c r="I599" s="37" t="n">
        <v>3</v>
      </c>
      <c r="J599" s="39" t="n">
        <v>1499</v>
      </c>
      <c r="K599" s="40" t="n">
        <v>0.05</v>
      </c>
      <c r="L599" s="39" t="n">
        <f aca="false">VLOOKUP(H599,'Product List'!$A$3:$D$18,4,FALSE())</f>
        <v>780</v>
      </c>
      <c r="M599" s="39" t="n">
        <f aca="false">I599*J599*(1-K599)</f>
        <v>4272.15</v>
      </c>
      <c r="N599" s="39" t="n">
        <f aca="false">I599*L599</f>
        <v>2340</v>
      </c>
      <c r="O599" s="39" t="n">
        <f aca="false">M599-N599</f>
        <v>1932.15</v>
      </c>
      <c r="P599" s="41" t="n">
        <f aca="false">IF(M599=0,0,O599/M599)</f>
        <v>0.452266423229521</v>
      </c>
      <c r="Q599" s="37" t="str">
        <f aca="false">IF(K599=0,"No discount",IF(K599&lt;=0.1,"1-10%",IF(K599&lt;=0.2,"11-20%",IF(K599&lt;=0.3,"21-30%","Above 30%"))))</f>
        <v>1-10%</v>
      </c>
      <c r="R599" s="39" t="n">
        <f aca="false">I599*J599*MAX(0,K599-DiscountCap)</f>
        <v>0</v>
      </c>
    </row>
    <row r="600" customFormat="false" ht="15" hidden="false" customHeight="false" outlineLevel="0" collapsed="false">
      <c r="A600" s="37" t="s">
        <v>744</v>
      </c>
      <c r="B600" s="38" t="n">
        <v>45906</v>
      </c>
      <c r="C600" s="37" t="n">
        <f aca="false">MONTH(B600)</f>
        <v>9</v>
      </c>
      <c r="D600" s="37" t="s">
        <v>154</v>
      </c>
      <c r="E600" s="37" t="s">
        <v>47</v>
      </c>
      <c r="F600" s="37" t="s">
        <v>96</v>
      </c>
      <c r="G600" s="37" t="s">
        <v>92</v>
      </c>
      <c r="H600" s="37" t="s">
        <v>114</v>
      </c>
      <c r="I600" s="37" t="n">
        <v>2</v>
      </c>
      <c r="J600" s="39" t="n">
        <v>1199</v>
      </c>
      <c r="K600" s="40" t="n">
        <v>0.25</v>
      </c>
      <c r="L600" s="39" t="n">
        <f aca="false">VLOOKUP(H600,'Product List'!$A$3:$D$18,4,FALSE())</f>
        <v>780</v>
      </c>
      <c r="M600" s="39" t="n">
        <f aca="false">I600*J600*(1-K600)</f>
        <v>1798.5</v>
      </c>
      <c r="N600" s="39" t="n">
        <f aca="false">I600*L600</f>
        <v>1560</v>
      </c>
      <c r="O600" s="39" t="n">
        <f aca="false">M600-N600</f>
        <v>238.5</v>
      </c>
      <c r="P600" s="41" t="n">
        <f aca="false">IF(M600=0,0,O600/M600)</f>
        <v>0.132610508757298</v>
      </c>
      <c r="Q600" s="37" t="str">
        <f aca="false">IF(K600=0,"No discount",IF(K600&lt;=0.1,"1-10%",IF(K600&lt;=0.2,"11-20%",IF(K600&lt;=0.3,"21-30%","Above 30%"))))</f>
        <v>21-30%</v>
      </c>
      <c r="R600" s="39" t="n">
        <f aca="false">I600*J600*MAX(0,K600-DiscountCap)</f>
        <v>119.9</v>
      </c>
    </row>
    <row r="601" customFormat="false" ht="15" hidden="false" customHeight="false" outlineLevel="0" collapsed="false">
      <c r="A601" s="37" t="s">
        <v>745</v>
      </c>
      <c r="B601" s="38" t="n">
        <v>45918</v>
      </c>
      <c r="C601" s="37" t="n">
        <f aca="false">MONTH(B601)</f>
        <v>9</v>
      </c>
      <c r="D601" s="37" t="s">
        <v>138</v>
      </c>
      <c r="E601" s="37" t="s">
        <v>46</v>
      </c>
      <c r="F601" s="37" t="s">
        <v>97</v>
      </c>
      <c r="G601" s="37" t="s">
        <v>90</v>
      </c>
      <c r="H601" s="37" t="s">
        <v>111</v>
      </c>
      <c r="I601" s="37" t="n">
        <v>1</v>
      </c>
      <c r="J601" s="39" t="n">
        <v>2499</v>
      </c>
      <c r="K601" s="40" t="n">
        <v>0</v>
      </c>
      <c r="L601" s="39" t="n">
        <f aca="false">VLOOKUP(H601,'Product List'!$A$3:$D$18,4,FALSE())</f>
        <v>1950</v>
      </c>
      <c r="M601" s="39" t="n">
        <f aca="false">I601*J601*(1-K601)</f>
        <v>2499</v>
      </c>
      <c r="N601" s="39" t="n">
        <f aca="false">I601*L601</f>
        <v>1950</v>
      </c>
      <c r="O601" s="39" t="n">
        <f aca="false">M601-N601</f>
        <v>549</v>
      </c>
      <c r="P601" s="41" t="n">
        <f aca="false">IF(M601=0,0,O601/M601)</f>
        <v>0.21968787515006</v>
      </c>
      <c r="Q601" s="37" t="str">
        <f aca="false">IF(K601=0,"No discount",IF(K601&lt;=0.1,"1-10%",IF(K601&lt;=0.2,"11-20%",IF(K601&lt;=0.3,"21-30%","Above 30%"))))</f>
        <v>No discount</v>
      </c>
      <c r="R601" s="39" t="n">
        <f aca="false">I601*J601*MAX(0,K601-DiscountCap)</f>
        <v>0</v>
      </c>
    </row>
    <row r="602" customFormat="false" ht="15" hidden="false" customHeight="false" outlineLevel="0" collapsed="false">
      <c r="A602" s="37" t="s">
        <v>746</v>
      </c>
      <c r="B602" s="38" t="n">
        <v>45928</v>
      </c>
      <c r="C602" s="37" t="n">
        <f aca="false">MONTH(B602)</f>
        <v>9</v>
      </c>
      <c r="D602" s="37" t="s">
        <v>169</v>
      </c>
      <c r="E602" s="37" t="s">
        <v>44</v>
      </c>
      <c r="F602" s="37" t="s">
        <v>96</v>
      </c>
      <c r="G602" s="37" t="s">
        <v>92</v>
      </c>
      <c r="H602" s="37" t="s">
        <v>113</v>
      </c>
      <c r="I602" s="37" t="n">
        <v>3</v>
      </c>
      <c r="J602" s="39" t="n">
        <v>2199</v>
      </c>
      <c r="K602" s="40" t="n">
        <v>0.2</v>
      </c>
      <c r="L602" s="39" t="n">
        <f aca="false">VLOOKUP(H602,'Product List'!$A$3:$D$18,4,FALSE())</f>
        <v>1400</v>
      </c>
      <c r="M602" s="39" t="n">
        <f aca="false">I602*J602*(1-K602)</f>
        <v>5277.6</v>
      </c>
      <c r="N602" s="39" t="n">
        <f aca="false">I602*L602</f>
        <v>4200</v>
      </c>
      <c r="O602" s="39" t="n">
        <f aca="false">M602-N602</f>
        <v>1077.6</v>
      </c>
      <c r="P602" s="41" t="n">
        <f aca="false">IF(M602=0,0,O602/M602)</f>
        <v>0.204183719872669</v>
      </c>
      <c r="Q602" s="37" t="str">
        <f aca="false">IF(K602=0,"No discount",IF(K602&lt;=0.1,"1-10%",IF(K602&lt;=0.2,"11-20%",IF(K602&lt;=0.3,"21-30%","Above 30%"))))</f>
        <v>11-20%</v>
      </c>
      <c r="R602" s="39" t="n">
        <f aca="false">I602*J602*MAX(0,K602-DiscountCap)</f>
        <v>0</v>
      </c>
    </row>
    <row r="603" customFormat="false" ht="15" hidden="false" customHeight="false" outlineLevel="0" collapsed="false">
      <c r="A603" s="37" t="s">
        <v>747</v>
      </c>
      <c r="B603" s="38" t="n">
        <v>45901</v>
      </c>
      <c r="C603" s="37" t="n">
        <f aca="false">MONTH(B603)</f>
        <v>9</v>
      </c>
      <c r="D603" s="37" t="s">
        <v>136</v>
      </c>
      <c r="E603" s="37" t="s">
        <v>47</v>
      </c>
      <c r="F603" s="37" t="s">
        <v>96</v>
      </c>
      <c r="G603" s="37" t="s">
        <v>90</v>
      </c>
      <c r="H603" s="37" t="s">
        <v>108</v>
      </c>
      <c r="I603" s="37" t="n">
        <v>1</v>
      </c>
      <c r="J603" s="39" t="n">
        <v>1999</v>
      </c>
      <c r="K603" s="40" t="n">
        <v>0.2</v>
      </c>
      <c r="L603" s="39" t="n">
        <f aca="false">VLOOKUP(H603,'Product List'!$A$3:$D$18,4,FALSE())</f>
        <v>1560</v>
      </c>
      <c r="M603" s="39" t="n">
        <f aca="false">I603*J603*(1-K603)</f>
        <v>1599.2</v>
      </c>
      <c r="N603" s="39" t="n">
        <f aca="false">I603*L603</f>
        <v>1560</v>
      </c>
      <c r="O603" s="39" t="n">
        <f aca="false">M603-N603</f>
        <v>39.2</v>
      </c>
      <c r="P603" s="41" t="n">
        <f aca="false">IF(M603=0,0,O603/M603)</f>
        <v>0.0245122561280641</v>
      </c>
      <c r="Q603" s="37" t="str">
        <f aca="false">IF(K603=0,"No discount",IF(K603&lt;=0.1,"1-10%",IF(K603&lt;=0.2,"11-20%",IF(K603&lt;=0.3,"21-30%","Above 30%"))))</f>
        <v>11-20%</v>
      </c>
      <c r="R603" s="39" t="n">
        <f aca="false">I603*J603*MAX(0,K603-DiscountCap)</f>
        <v>0</v>
      </c>
    </row>
    <row r="604" customFormat="false" ht="15" hidden="false" customHeight="false" outlineLevel="0" collapsed="false">
      <c r="A604" s="37" t="s">
        <v>748</v>
      </c>
      <c r="B604" s="38" t="n">
        <v>45919</v>
      </c>
      <c r="C604" s="37" t="n">
        <f aca="false">MONTH(B604)</f>
        <v>9</v>
      </c>
      <c r="D604" s="37" t="s">
        <v>169</v>
      </c>
      <c r="E604" s="37" t="s">
        <v>44</v>
      </c>
      <c r="F604" s="37" t="s">
        <v>96</v>
      </c>
      <c r="G604" s="37" t="s">
        <v>93</v>
      </c>
      <c r="H604" s="37" t="s">
        <v>120</v>
      </c>
      <c r="I604" s="37" t="n">
        <v>2</v>
      </c>
      <c r="J604" s="39" t="n">
        <v>449</v>
      </c>
      <c r="K604" s="40" t="n">
        <v>0.25</v>
      </c>
      <c r="L604" s="39" t="n">
        <f aca="false">VLOOKUP(H604,'Product List'!$A$3:$D$18,4,FALSE())</f>
        <v>240</v>
      </c>
      <c r="M604" s="39" t="n">
        <f aca="false">I604*J604*(1-K604)</f>
        <v>673.5</v>
      </c>
      <c r="N604" s="39" t="n">
        <f aca="false">I604*L604</f>
        <v>480</v>
      </c>
      <c r="O604" s="39" t="n">
        <f aca="false">M604-N604</f>
        <v>193.5</v>
      </c>
      <c r="P604" s="41" t="n">
        <f aca="false">IF(M604=0,0,O604/M604)</f>
        <v>0.287305122494432</v>
      </c>
      <c r="Q604" s="37" t="str">
        <f aca="false">IF(K604=0,"No discount",IF(K604&lt;=0.1,"1-10%",IF(K604&lt;=0.2,"11-20%",IF(K604&lt;=0.3,"21-30%","Above 30%"))))</f>
        <v>21-30%</v>
      </c>
      <c r="R604" s="39" t="n">
        <f aca="false">I604*J604*MAX(0,K604-DiscountCap)</f>
        <v>44.9</v>
      </c>
    </row>
    <row r="605" customFormat="false" ht="15" hidden="false" customHeight="false" outlineLevel="0" collapsed="false">
      <c r="A605" s="37" t="s">
        <v>749</v>
      </c>
      <c r="B605" s="38" t="n">
        <v>45912</v>
      </c>
      <c r="C605" s="37" t="n">
        <f aca="false">MONTH(B605)</f>
        <v>9</v>
      </c>
      <c r="D605" s="37" t="s">
        <v>154</v>
      </c>
      <c r="E605" s="37" t="s">
        <v>47</v>
      </c>
      <c r="F605" s="37" t="s">
        <v>96</v>
      </c>
      <c r="G605" s="37" t="s">
        <v>90</v>
      </c>
      <c r="H605" s="37" t="s">
        <v>111</v>
      </c>
      <c r="I605" s="37" t="n">
        <v>2</v>
      </c>
      <c r="J605" s="39" t="n">
        <v>2499</v>
      </c>
      <c r="K605" s="40" t="n">
        <v>0.15</v>
      </c>
      <c r="L605" s="39" t="n">
        <f aca="false">VLOOKUP(H605,'Product List'!$A$3:$D$18,4,FALSE())</f>
        <v>1950</v>
      </c>
      <c r="M605" s="39" t="n">
        <f aca="false">I605*J605*(1-K605)</f>
        <v>4248.3</v>
      </c>
      <c r="N605" s="39" t="n">
        <f aca="false">I605*L605</f>
        <v>3900</v>
      </c>
      <c r="O605" s="39" t="n">
        <f aca="false">M605-N605</f>
        <v>348.3</v>
      </c>
      <c r="P605" s="41" t="n">
        <f aca="false">IF(M605=0,0,O605/M605)</f>
        <v>0.0819857354706589</v>
      </c>
      <c r="Q605" s="37" t="str">
        <f aca="false">IF(K605=0,"No discount",IF(K605&lt;=0.1,"1-10%",IF(K605&lt;=0.2,"11-20%",IF(K605&lt;=0.3,"21-30%","Above 30%"))))</f>
        <v>11-20%</v>
      </c>
      <c r="R605" s="39" t="n">
        <f aca="false">I605*J605*MAX(0,K605-DiscountCap)</f>
        <v>0</v>
      </c>
    </row>
    <row r="606" customFormat="false" ht="15" hidden="false" customHeight="false" outlineLevel="0" collapsed="false">
      <c r="A606" s="37" t="s">
        <v>750</v>
      </c>
      <c r="B606" s="38" t="n">
        <v>45914</v>
      </c>
      <c r="C606" s="37" t="n">
        <f aca="false">MONTH(B606)</f>
        <v>9</v>
      </c>
      <c r="D606" s="37" t="s">
        <v>138</v>
      </c>
      <c r="E606" s="37" t="s">
        <v>46</v>
      </c>
      <c r="F606" s="37" t="s">
        <v>97</v>
      </c>
      <c r="G606" s="37" t="s">
        <v>91</v>
      </c>
      <c r="H606" s="37" t="s">
        <v>118</v>
      </c>
      <c r="I606" s="37" t="n">
        <v>3</v>
      </c>
      <c r="J606" s="39" t="n">
        <v>2299</v>
      </c>
      <c r="K606" s="40" t="n">
        <v>0.05</v>
      </c>
      <c r="L606" s="39" t="n">
        <f aca="false">VLOOKUP(H606,'Product List'!$A$3:$D$18,4,FALSE())</f>
        <v>1300</v>
      </c>
      <c r="M606" s="39" t="n">
        <f aca="false">I606*J606*(1-K606)</f>
        <v>6552.15</v>
      </c>
      <c r="N606" s="39" t="n">
        <f aca="false">I606*L606</f>
        <v>3900</v>
      </c>
      <c r="O606" s="39" t="n">
        <f aca="false">M606-N606</f>
        <v>2652.15</v>
      </c>
      <c r="P606" s="41" t="n">
        <f aca="false">IF(M606=0,0,O606/M606)</f>
        <v>0.404775531695703</v>
      </c>
      <c r="Q606" s="37" t="str">
        <f aca="false">IF(K606=0,"No discount",IF(K606&lt;=0.1,"1-10%",IF(K606&lt;=0.2,"11-20%",IF(K606&lt;=0.3,"21-30%","Above 30%"))))</f>
        <v>1-10%</v>
      </c>
      <c r="R606" s="39" t="n">
        <f aca="false">I606*J606*MAX(0,K606-DiscountCap)</f>
        <v>0</v>
      </c>
    </row>
    <row r="607" customFormat="false" ht="15" hidden="false" customHeight="false" outlineLevel="0" collapsed="false">
      <c r="A607" s="37" t="s">
        <v>751</v>
      </c>
      <c r="B607" s="38" t="n">
        <v>45919</v>
      </c>
      <c r="C607" s="37" t="n">
        <f aca="false">MONTH(B607)</f>
        <v>9</v>
      </c>
      <c r="D607" s="37" t="s">
        <v>138</v>
      </c>
      <c r="E607" s="37" t="s">
        <v>46</v>
      </c>
      <c r="F607" s="37" t="s">
        <v>96</v>
      </c>
      <c r="G607" s="37" t="s">
        <v>90</v>
      </c>
      <c r="H607" s="37" t="s">
        <v>111</v>
      </c>
      <c r="I607" s="37" t="n">
        <v>2</v>
      </c>
      <c r="J607" s="39" t="n">
        <v>2499</v>
      </c>
      <c r="K607" s="40" t="n">
        <v>0.4</v>
      </c>
      <c r="L607" s="39" t="n">
        <f aca="false">VLOOKUP(H607,'Product List'!$A$3:$D$18,4,FALSE())</f>
        <v>1950</v>
      </c>
      <c r="M607" s="39" t="n">
        <f aca="false">I607*J607*(1-K607)</f>
        <v>2998.8</v>
      </c>
      <c r="N607" s="39" t="n">
        <f aca="false">I607*L607</f>
        <v>3900</v>
      </c>
      <c r="O607" s="39" t="n">
        <f aca="false">M607-N607</f>
        <v>-901.2</v>
      </c>
      <c r="P607" s="41" t="n">
        <f aca="false">IF(M607=0,0,O607/M607)</f>
        <v>-0.300520208083233</v>
      </c>
      <c r="Q607" s="37" t="str">
        <f aca="false">IF(K607=0,"No discount",IF(K607&lt;=0.1,"1-10%",IF(K607&lt;=0.2,"11-20%",IF(K607&lt;=0.3,"21-30%","Above 30%"))))</f>
        <v>Above 30%</v>
      </c>
      <c r="R607" s="39" t="n">
        <f aca="false">I607*J607*MAX(0,K607-DiscountCap)</f>
        <v>999.6</v>
      </c>
    </row>
    <row r="608" customFormat="false" ht="15" hidden="false" customHeight="false" outlineLevel="0" collapsed="false">
      <c r="A608" s="37" t="s">
        <v>752</v>
      </c>
      <c r="B608" s="38" t="n">
        <v>45918</v>
      </c>
      <c r="C608" s="37" t="n">
        <f aca="false">MONTH(B608)</f>
        <v>9</v>
      </c>
      <c r="D608" s="37" t="s">
        <v>160</v>
      </c>
      <c r="E608" s="37" t="s">
        <v>46</v>
      </c>
      <c r="F608" s="37" t="s">
        <v>97</v>
      </c>
      <c r="G608" s="37" t="s">
        <v>93</v>
      </c>
      <c r="H608" s="37" t="s">
        <v>120</v>
      </c>
      <c r="I608" s="37" t="n">
        <v>2</v>
      </c>
      <c r="J608" s="39" t="n">
        <v>449</v>
      </c>
      <c r="K608" s="40" t="n">
        <v>0.1</v>
      </c>
      <c r="L608" s="39" t="n">
        <f aca="false">VLOOKUP(H608,'Product List'!$A$3:$D$18,4,FALSE())</f>
        <v>240</v>
      </c>
      <c r="M608" s="39" t="n">
        <f aca="false">I608*J608*(1-K608)</f>
        <v>808.2</v>
      </c>
      <c r="N608" s="39" t="n">
        <f aca="false">I608*L608</f>
        <v>480</v>
      </c>
      <c r="O608" s="39" t="n">
        <f aca="false">M608-N608</f>
        <v>328.2</v>
      </c>
      <c r="P608" s="41" t="n">
        <f aca="false">IF(M608=0,0,O608/M608)</f>
        <v>0.406087602078693</v>
      </c>
      <c r="Q608" s="37" t="str">
        <f aca="false">IF(K608=0,"No discount",IF(K608&lt;=0.1,"1-10%",IF(K608&lt;=0.2,"11-20%",IF(K608&lt;=0.3,"21-30%","Above 30%"))))</f>
        <v>1-10%</v>
      </c>
      <c r="R608" s="39" t="n">
        <f aca="false">I608*J608*MAX(0,K608-DiscountCap)</f>
        <v>0</v>
      </c>
    </row>
    <row r="609" customFormat="false" ht="15" hidden="false" customHeight="false" outlineLevel="0" collapsed="false">
      <c r="A609" s="37" t="s">
        <v>753</v>
      </c>
      <c r="B609" s="38" t="n">
        <v>45911</v>
      </c>
      <c r="C609" s="37" t="n">
        <f aca="false">MONTH(B609)</f>
        <v>9</v>
      </c>
      <c r="D609" s="37" t="s">
        <v>136</v>
      </c>
      <c r="E609" s="37" t="s">
        <v>47</v>
      </c>
      <c r="F609" s="37" t="s">
        <v>96</v>
      </c>
      <c r="G609" s="37" t="s">
        <v>92</v>
      </c>
      <c r="H609" s="37" t="s">
        <v>114</v>
      </c>
      <c r="I609" s="37" t="n">
        <v>1</v>
      </c>
      <c r="J609" s="39" t="n">
        <v>1199</v>
      </c>
      <c r="K609" s="40" t="n">
        <v>0.05</v>
      </c>
      <c r="L609" s="39" t="n">
        <f aca="false">VLOOKUP(H609,'Product List'!$A$3:$D$18,4,FALSE())</f>
        <v>780</v>
      </c>
      <c r="M609" s="39" t="n">
        <f aca="false">I609*J609*(1-K609)</f>
        <v>1139.05</v>
      </c>
      <c r="N609" s="39" t="n">
        <f aca="false">I609*L609</f>
        <v>780</v>
      </c>
      <c r="O609" s="39" t="n">
        <f aca="false">M609-N609</f>
        <v>359.05</v>
      </c>
      <c r="P609" s="41" t="n">
        <f aca="false">IF(M609=0,0,O609/M609)</f>
        <v>0.31521882270313</v>
      </c>
      <c r="Q609" s="37" t="str">
        <f aca="false">IF(K609=0,"No discount",IF(K609&lt;=0.1,"1-10%",IF(K609&lt;=0.2,"11-20%",IF(K609&lt;=0.3,"21-30%","Above 30%"))))</f>
        <v>1-10%</v>
      </c>
      <c r="R609" s="39" t="n">
        <f aca="false">I609*J609*MAX(0,K609-DiscountCap)</f>
        <v>0</v>
      </c>
    </row>
    <row r="610" customFormat="false" ht="15" hidden="false" customHeight="false" outlineLevel="0" collapsed="false">
      <c r="A610" s="37" t="s">
        <v>754</v>
      </c>
      <c r="B610" s="38" t="n">
        <v>45917</v>
      </c>
      <c r="C610" s="37" t="n">
        <f aca="false">MONTH(B610)</f>
        <v>9</v>
      </c>
      <c r="D610" s="37" t="s">
        <v>146</v>
      </c>
      <c r="E610" s="37" t="s">
        <v>45</v>
      </c>
      <c r="F610" s="37" t="s">
        <v>97</v>
      </c>
      <c r="G610" s="37" t="s">
        <v>93</v>
      </c>
      <c r="H610" s="37" t="s">
        <v>121</v>
      </c>
      <c r="I610" s="37" t="n">
        <v>2</v>
      </c>
      <c r="J610" s="39" t="n">
        <v>999</v>
      </c>
      <c r="K610" s="40" t="n">
        <v>0.1</v>
      </c>
      <c r="L610" s="39" t="n">
        <f aca="false">VLOOKUP(H610,'Product List'!$A$3:$D$18,4,FALSE())</f>
        <v>500</v>
      </c>
      <c r="M610" s="39" t="n">
        <f aca="false">I610*J610*(1-K610)</f>
        <v>1798.2</v>
      </c>
      <c r="N610" s="39" t="n">
        <f aca="false">I610*L610</f>
        <v>1000</v>
      </c>
      <c r="O610" s="39" t="n">
        <f aca="false">M610-N610</f>
        <v>798.2</v>
      </c>
      <c r="P610" s="41" t="n">
        <f aca="false">IF(M610=0,0,O610/M610)</f>
        <v>0.443888332777222</v>
      </c>
      <c r="Q610" s="37" t="str">
        <f aca="false">IF(K610=0,"No discount",IF(K610&lt;=0.1,"1-10%",IF(K610&lt;=0.2,"11-20%",IF(K610&lt;=0.3,"21-30%","Above 30%"))))</f>
        <v>1-10%</v>
      </c>
      <c r="R610" s="39" t="n">
        <f aca="false">I610*J610*MAX(0,K610-DiscountCap)</f>
        <v>0</v>
      </c>
    </row>
    <row r="611" customFormat="false" ht="15" hidden="false" customHeight="false" outlineLevel="0" collapsed="false">
      <c r="A611" s="37" t="s">
        <v>755</v>
      </c>
      <c r="B611" s="38" t="n">
        <v>45913</v>
      </c>
      <c r="C611" s="37" t="n">
        <f aca="false">MONTH(B611)</f>
        <v>9</v>
      </c>
      <c r="D611" s="37" t="s">
        <v>142</v>
      </c>
      <c r="E611" s="37" t="s">
        <v>47</v>
      </c>
      <c r="F611" s="37" t="s">
        <v>96</v>
      </c>
      <c r="G611" s="37" t="s">
        <v>90</v>
      </c>
      <c r="H611" s="37" t="s">
        <v>109</v>
      </c>
      <c r="I611" s="37" t="n">
        <v>2</v>
      </c>
      <c r="J611" s="39" t="n">
        <v>3499</v>
      </c>
      <c r="K611" s="40" t="n">
        <v>0.1</v>
      </c>
      <c r="L611" s="39" t="n">
        <f aca="false">VLOOKUP(H611,'Product List'!$A$3:$D$18,4,FALSE())</f>
        <v>2750</v>
      </c>
      <c r="M611" s="39" t="n">
        <f aca="false">I611*J611*(1-K611)</f>
        <v>6298.2</v>
      </c>
      <c r="N611" s="39" t="n">
        <f aca="false">I611*L611</f>
        <v>5500</v>
      </c>
      <c r="O611" s="39" t="n">
        <f aca="false">M611-N611</f>
        <v>798.2</v>
      </c>
      <c r="P611" s="41" t="n">
        <f aca="false">IF(M611=0,0,O611/M611)</f>
        <v>0.126734622590581</v>
      </c>
      <c r="Q611" s="37" t="str">
        <f aca="false">IF(K611=0,"No discount",IF(K611&lt;=0.1,"1-10%",IF(K611&lt;=0.2,"11-20%",IF(K611&lt;=0.3,"21-30%","Above 30%"))))</f>
        <v>1-10%</v>
      </c>
      <c r="R611" s="39" t="n">
        <f aca="false">I611*J611*MAX(0,K611-DiscountCap)</f>
        <v>0</v>
      </c>
    </row>
    <row r="612" customFormat="false" ht="15" hidden="false" customHeight="false" outlineLevel="0" collapsed="false">
      <c r="A612" s="37" t="s">
        <v>756</v>
      </c>
      <c r="B612" s="38" t="n">
        <v>45918</v>
      </c>
      <c r="C612" s="37" t="n">
        <f aca="false">MONTH(B612)</f>
        <v>9</v>
      </c>
      <c r="D612" s="37" t="s">
        <v>166</v>
      </c>
      <c r="E612" s="37" t="s">
        <v>44</v>
      </c>
      <c r="F612" s="37" t="s">
        <v>96</v>
      </c>
      <c r="G612" s="37" t="s">
        <v>90</v>
      </c>
      <c r="H612" s="37" t="s">
        <v>111</v>
      </c>
      <c r="I612" s="37" t="n">
        <v>2</v>
      </c>
      <c r="J612" s="39" t="n">
        <v>2499</v>
      </c>
      <c r="K612" s="40" t="n">
        <v>0.05</v>
      </c>
      <c r="L612" s="39" t="n">
        <f aca="false">VLOOKUP(H612,'Product List'!$A$3:$D$18,4,FALSE())</f>
        <v>1950</v>
      </c>
      <c r="M612" s="39" t="n">
        <f aca="false">I612*J612*(1-K612)</f>
        <v>4748.1</v>
      </c>
      <c r="N612" s="39" t="n">
        <f aca="false">I612*L612</f>
        <v>3900</v>
      </c>
      <c r="O612" s="39" t="n">
        <f aca="false">M612-N612</f>
        <v>848.1</v>
      </c>
      <c r="P612" s="41" t="n">
        <f aca="false">IF(M612=0,0,O612/M612)</f>
        <v>0.178618815947432</v>
      </c>
      <c r="Q612" s="37" t="str">
        <f aca="false">IF(K612=0,"No discount",IF(K612&lt;=0.1,"1-10%",IF(K612&lt;=0.2,"11-20%",IF(K612&lt;=0.3,"21-30%","Above 30%"))))</f>
        <v>1-10%</v>
      </c>
      <c r="R612" s="39" t="n">
        <f aca="false">I612*J612*MAX(0,K612-DiscountCap)</f>
        <v>0</v>
      </c>
    </row>
    <row r="613" customFormat="false" ht="15" hidden="false" customHeight="false" outlineLevel="0" collapsed="false">
      <c r="A613" s="37" t="s">
        <v>757</v>
      </c>
      <c r="B613" s="38" t="n">
        <v>45910</v>
      </c>
      <c r="C613" s="37" t="n">
        <f aca="false">MONTH(B613)</f>
        <v>9</v>
      </c>
      <c r="D613" s="37" t="s">
        <v>154</v>
      </c>
      <c r="E613" s="37" t="s">
        <v>47</v>
      </c>
      <c r="F613" s="37" t="s">
        <v>97</v>
      </c>
      <c r="G613" s="37" t="s">
        <v>91</v>
      </c>
      <c r="H613" s="37" t="s">
        <v>117</v>
      </c>
      <c r="I613" s="37" t="n">
        <v>1</v>
      </c>
      <c r="J613" s="39" t="n">
        <v>1499</v>
      </c>
      <c r="K613" s="40" t="n">
        <v>0.1</v>
      </c>
      <c r="L613" s="39" t="n">
        <f aca="false">VLOOKUP(H613,'Product List'!$A$3:$D$18,4,FALSE())</f>
        <v>780</v>
      </c>
      <c r="M613" s="39" t="n">
        <f aca="false">I613*J613*(1-K613)</f>
        <v>1349.1</v>
      </c>
      <c r="N613" s="39" t="n">
        <f aca="false">I613*L613</f>
        <v>780</v>
      </c>
      <c r="O613" s="39" t="n">
        <f aca="false">M613-N613</f>
        <v>569.1</v>
      </c>
      <c r="P613" s="41" t="n">
        <f aca="false">IF(M613=0,0,O613/M613)</f>
        <v>0.421836780075606</v>
      </c>
      <c r="Q613" s="37" t="str">
        <f aca="false">IF(K613=0,"No discount",IF(K613&lt;=0.1,"1-10%",IF(K613&lt;=0.2,"11-20%",IF(K613&lt;=0.3,"21-30%","Above 30%"))))</f>
        <v>1-10%</v>
      </c>
      <c r="R613" s="39" t="n">
        <f aca="false">I613*J613*MAX(0,K613-DiscountCap)</f>
        <v>0</v>
      </c>
    </row>
    <row r="614" customFormat="false" ht="15" hidden="false" customHeight="false" outlineLevel="0" collapsed="false">
      <c r="A614" s="37" t="s">
        <v>758</v>
      </c>
      <c r="B614" s="38" t="n">
        <v>45911</v>
      </c>
      <c r="C614" s="37" t="n">
        <f aca="false">MONTH(B614)</f>
        <v>9</v>
      </c>
      <c r="D614" s="37" t="s">
        <v>172</v>
      </c>
      <c r="E614" s="37" t="s">
        <v>46</v>
      </c>
      <c r="F614" s="37" t="s">
        <v>96</v>
      </c>
      <c r="G614" s="37" t="s">
        <v>90</v>
      </c>
      <c r="H614" s="37" t="s">
        <v>109</v>
      </c>
      <c r="I614" s="37" t="n">
        <v>3</v>
      </c>
      <c r="J614" s="39" t="n">
        <v>3499</v>
      </c>
      <c r="K614" s="40" t="n">
        <v>0.1</v>
      </c>
      <c r="L614" s="39" t="n">
        <f aca="false">VLOOKUP(H614,'Product List'!$A$3:$D$18,4,FALSE())</f>
        <v>2750</v>
      </c>
      <c r="M614" s="39" t="n">
        <f aca="false">I614*J614*(1-K614)</f>
        <v>9447.3</v>
      </c>
      <c r="N614" s="39" t="n">
        <f aca="false">I614*L614</f>
        <v>8250</v>
      </c>
      <c r="O614" s="39" t="n">
        <f aca="false">M614-N614</f>
        <v>1197.3</v>
      </c>
      <c r="P614" s="41" t="n">
        <f aca="false">IF(M614=0,0,O614/M614)</f>
        <v>0.126734622590582</v>
      </c>
      <c r="Q614" s="37" t="str">
        <f aca="false">IF(K614=0,"No discount",IF(K614&lt;=0.1,"1-10%",IF(K614&lt;=0.2,"11-20%",IF(K614&lt;=0.3,"21-30%","Above 30%"))))</f>
        <v>1-10%</v>
      </c>
      <c r="R614" s="39" t="n">
        <f aca="false">I614*J614*MAX(0,K614-DiscountCap)</f>
        <v>0</v>
      </c>
    </row>
    <row r="615" customFormat="false" ht="15" hidden="false" customHeight="false" outlineLevel="0" collapsed="false">
      <c r="A615" s="37" t="s">
        <v>759</v>
      </c>
      <c r="B615" s="38" t="n">
        <v>45920</v>
      </c>
      <c r="C615" s="37" t="n">
        <f aca="false">MONTH(B615)</f>
        <v>9</v>
      </c>
      <c r="D615" s="37" t="s">
        <v>154</v>
      </c>
      <c r="E615" s="37" t="s">
        <v>47</v>
      </c>
      <c r="F615" s="37" t="s">
        <v>96</v>
      </c>
      <c r="G615" s="37" t="s">
        <v>90</v>
      </c>
      <c r="H615" s="37" t="s">
        <v>111</v>
      </c>
      <c r="I615" s="37" t="n">
        <v>3</v>
      </c>
      <c r="J615" s="39" t="n">
        <v>2499</v>
      </c>
      <c r="K615" s="40" t="n">
        <v>0.1</v>
      </c>
      <c r="L615" s="39" t="n">
        <f aca="false">VLOOKUP(H615,'Product List'!$A$3:$D$18,4,FALSE())</f>
        <v>1950</v>
      </c>
      <c r="M615" s="39" t="n">
        <f aca="false">I615*J615*(1-K615)</f>
        <v>6747.3</v>
      </c>
      <c r="N615" s="39" t="n">
        <f aca="false">I615*L615</f>
        <v>5850</v>
      </c>
      <c r="O615" s="39" t="n">
        <f aca="false">M615-N615</f>
        <v>897.3</v>
      </c>
      <c r="P615" s="41" t="n">
        <f aca="false">IF(M615=0,0,O615/M615)</f>
        <v>0.132986527944511</v>
      </c>
      <c r="Q615" s="37" t="str">
        <f aca="false">IF(K615=0,"No discount",IF(K615&lt;=0.1,"1-10%",IF(K615&lt;=0.2,"11-20%",IF(K615&lt;=0.3,"21-30%","Above 30%"))))</f>
        <v>1-10%</v>
      </c>
      <c r="R615" s="39" t="n">
        <f aca="false">I615*J615*MAX(0,K615-DiscountCap)</f>
        <v>0</v>
      </c>
    </row>
    <row r="616" customFormat="false" ht="15" hidden="false" customHeight="false" outlineLevel="0" collapsed="false">
      <c r="A616" s="37" t="s">
        <v>760</v>
      </c>
      <c r="B616" s="38" t="n">
        <v>45918</v>
      </c>
      <c r="C616" s="37" t="n">
        <f aca="false">MONTH(B616)</f>
        <v>9</v>
      </c>
      <c r="D616" s="37" t="s">
        <v>144</v>
      </c>
      <c r="E616" s="37" t="s">
        <v>45</v>
      </c>
      <c r="F616" s="37" t="s">
        <v>97</v>
      </c>
      <c r="G616" s="37" t="s">
        <v>92</v>
      </c>
      <c r="H616" s="37" t="s">
        <v>112</v>
      </c>
      <c r="I616" s="37" t="n">
        <v>2</v>
      </c>
      <c r="J616" s="39" t="n">
        <v>3299</v>
      </c>
      <c r="K616" s="40" t="n">
        <v>0.1</v>
      </c>
      <c r="L616" s="39" t="n">
        <f aca="false">VLOOKUP(H616,'Product List'!$A$3:$D$18,4,FALSE())</f>
        <v>2250</v>
      </c>
      <c r="M616" s="39" t="n">
        <f aca="false">I616*J616*(1-K616)</f>
        <v>5938.2</v>
      </c>
      <c r="N616" s="39" t="n">
        <f aca="false">I616*L616</f>
        <v>4500</v>
      </c>
      <c r="O616" s="39" t="n">
        <f aca="false">M616-N616</f>
        <v>1438.2</v>
      </c>
      <c r="P616" s="41" t="n">
        <f aca="false">IF(M616=0,0,O616/M616)</f>
        <v>0.242194604425584</v>
      </c>
      <c r="Q616" s="37" t="str">
        <f aca="false">IF(K616=0,"No discount",IF(K616&lt;=0.1,"1-10%",IF(K616&lt;=0.2,"11-20%",IF(K616&lt;=0.3,"21-30%","Above 30%"))))</f>
        <v>1-10%</v>
      </c>
      <c r="R616" s="39" t="n">
        <f aca="false">I616*J616*MAX(0,K616-DiscountCap)</f>
        <v>0</v>
      </c>
    </row>
    <row r="617" customFormat="false" ht="15" hidden="false" customHeight="false" outlineLevel="0" collapsed="false">
      <c r="A617" s="37" t="s">
        <v>761</v>
      </c>
      <c r="B617" s="38" t="n">
        <v>45924</v>
      </c>
      <c r="C617" s="37" t="n">
        <f aca="false">MONTH(B617)</f>
        <v>9</v>
      </c>
      <c r="D617" s="37" t="s">
        <v>144</v>
      </c>
      <c r="E617" s="37" t="s">
        <v>45</v>
      </c>
      <c r="F617" s="37" t="s">
        <v>97</v>
      </c>
      <c r="G617" s="37" t="s">
        <v>90</v>
      </c>
      <c r="H617" s="37" t="s">
        <v>108</v>
      </c>
      <c r="I617" s="37" t="n">
        <v>1</v>
      </c>
      <c r="J617" s="39" t="n">
        <v>1999</v>
      </c>
      <c r="K617" s="40" t="n">
        <v>0.05</v>
      </c>
      <c r="L617" s="39" t="n">
        <f aca="false">VLOOKUP(H617,'Product List'!$A$3:$D$18,4,FALSE())</f>
        <v>1560</v>
      </c>
      <c r="M617" s="39" t="n">
        <f aca="false">I617*J617*(1-K617)</f>
        <v>1899.05</v>
      </c>
      <c r="N617" s="39" t="n">
        <f aca="false">I617*L617</f>
        <v>1560</v>
      </c>
      <c r="O617" s="39" t="n">
        <f aca="false">M617-N617</f>
        <v>339.05</v>
      </c>
      <c r="P617" s="41" t="n">
        <f aca="false">IF(M617=0,0,O617/M617)</f>
        <v>0.178536636739422</v>
      </c>
      <c r="Q617" s="37" t="str">
        <f aca="false">IF(K617=0,"No discount",IF(K617&lt;=0.1,"1-10%",IF(K617&lt;=0.2,"11-20%",IF(K617&lt;=0.3,"21-30%","Above 30%"))))</f>
        <v>1-10%</v>
      </c>
      <c r="R617" s="39" t="n">
        <f aca="false">I617*J617*MAX(0,K617-DiscountCap)</f>
        <v>0</v>
      </c>
    </row>
    <row r="618" customFormat="false" ht="15" hidden="false" customHeight="false" outlineLevel="0" collapsed="false">
      <c r="A618" s="37" t="s">
        <v>762</v>
      </c>
      <c r="B618" s="38" t="n">
        <v>45914</v>
      </c>
      <c r="C618" s="37" t="n">
        <f aca="false">MONTH(B618)</f>
        <v>9</v>
      </c>
      <c r="D618" s="37" t="s">
        <v>138</v>
      </c>
      <c r="E618" s="37" t="s">
        <v>46</v>
      </c>
      <c r="F618" s="37" t="s">
        <v>97</v>
      </c>
      <c r="G618" s="37" t="s">
        <v>90</v>
      </c>
      <c r="H618" s="37" t="s">
        <v>108</v>
      </c>
      <c r="I618" s="37" t="n">
        <v>2</v>
      </c>
      <c r="J618" s="39" t="n">
        <v>1999</v>
      </c>
      <c r="K618" s="40" t="n">
        <v>0</v>
      </c>
      <c r="L618" s="39" t="n">
        <f aca="false">VLOOKUP(H618,'Product List'!$A$3:$D$18,4,FALSE())</f>
        <v>1560</v>
      </c>
      <c r="M618" s="39" t="n">
        <f aca="false">I618*J618*(1-K618)</f>
        <v>3998</v>
      </c>
      <c r="N618" s="39" t="n">
        <f aca="false">I618*L618</f>
        <v>3120</v>
      </c>
      <c r="O618" s="39" t="n">
        <f aca="false">M618-N618</f>
        <v>878</v>
      </c>
      <c r="P618" s="41" t="n">
        <f aca="false">IF(M618=0,0,O618/M618)</f>
        <v>0.219609804902451</v>
      </c>
      <c r="Q618" s="37" t="str">
        <f aca="false">IF(K618=0,"No discount",IF(K618&lt;=0.1,"1-10%",IF(K618&lt;=0.2,"11-20%",IF(K618&lt;=0.3,"21-30%","Above 30%"))))</f>
        <v>No discount</v>
      </c>
      <c r="R618" s="39" t="n">
        <f aca="false">I618*J618*MAX(0,K618-DiscountCap)</f>
        <v>0</v>
      </c>
    </row>
    <row r="619" customFormat="false" ht="15" hidden="false" customHeight="false" outlineLevel="0" collapsed="false">
      <c r="A619" s="37" t="s">
        <v>763</v>
      </c>
      <c r="B619" s="38" t="n">
        <v>45924</v>
      </c>
      <c r="C619" s="37" t="n">
        <f aca="false">MONTH(B619)</f>
        <v>9</v>
      </c>
      <c r="D619" s="37" t="s">
        <v>134</v>
      </c>
      <c r="E619" s="37" t="s">
        <v>45</v>
      </c>
      <c r="F619" s="37" t="s">
        <v>96</v>
      </c>
      <c r="G619" s="37" t="s">
        <v>90</v>
      </c>
      <c r="H619" s="37" t="s">
        <v>109</v>
      </c>
      <c r="I619" s="37" t="n">
        <v>1</v>
      </c>
      <c r="J619" s="39" t="n">
        <v>3499</v>
      </c>
      <c r="K619" s="40" t="n">
        <v>0.1</v>
      </c>
      <c r="L619" s="39" t="n">
        <f aca="false">VLOOKUP(H619,'Product List'!$A$3:$D$18,4,FALSE())</f>
        <v>2750</v>
      </c>
      <c r="M619" s="39" t="n">
        <f aca="false">I619*J619*(1-K619)</f>
        <v>3149.1</v>
      </c>
      <c r="N619" s="39" t="n">
        <f aca="false">I619*L619</f>
        <v>2750</v>
      </c>
      <c r="O619" s="39" t="n">
        <f aca="false">M619-N619</f>
        <v>399.1</v>
      </c>
      <c r="P619" s="41" t="n">
        <f aca="false">IF(M619=0,0,O619/M619)</f>
        <v>0.126734622590581</v>
      </c>
      <c r="Q619" s="37" t="str">
        <f aca="false">IF(K619=0,"No discount",IF(K619&lt;=0.1,"1-10%",IF(K619&lt;=0.2,"11-20%",IF(K619&lt;=0.3,"21-30%","Above 30%"))))</f>
        <v>1-10%</v>
      </c>
      <c r="R619" s="39" t="n">
        <f aca="false">I619*J619*MAX(0,K619-DiscountCap)</f>
        <v>0</v>
      </c>
    </row>
    <row r="620" customFormat="false" ht="15" hidden="false" customHeight="false" outlineLevel="0" collapsed="false">
      <c r="A620" s="37" t="s">
        <v>764</v>
      </c>
      <c r="B620" s="38" t="n">
        <v>45917</v>
      </c>
      <c r="C620" s="37" t="n">
        <f aca="false">MONTH(B620)</f>
        <v>9</v>
      </c>
      <c r="D620" s="37" t="s">
        <v>136</v>
      </c>
      <c r="E620" s="37" t="s">
        <v>47</v>
      </c>
      <c r="F620" s="37" t="s">
        <v>97</v>
      </c>
      <c r="G620" s="37" t="s">
        <v>91</v>
      </c>
      <c r="H620" s="37" t="s">
        <v>119</v>
      </c>
      <c r="I620" s="37" t="n">
        <v>1</v>
      </c>
      <c r="J620" s="39" t="n">
        <v>1099</v>
      </c>
      <c r="K620" s="40" t="n">
        <v>0.05</v>
      </c>
      <c r="L620" s="39" t="n">
        <f aca="false">VLOOKUP(H620,'Product List'!$A$3:$D$18,4,FALSE())</f>
        <v>560</v>
      </c>
      <c r="M620" s="39" t="n">
        <f aca="false">I620*J620*(1-K620)</f>
        <v>1044.05</v>
      </c>
      <c r="N620" s="39" t="n">
        <f aca="false">I620*L620</f>
        <v>560</v>
      </c>
      <c r="O620" s="39" t="n">
        <f aca="false">M620-N620</f>
        <v>484.05</v>
      </c>
      <c r="P620" s="41" t="n">
        <f aca="false">IF(M620=0,0,O620/M620)</f>
        <v>0.463627220918538</v>
      </c>
      <c r="Q620" s="37" t="str">
        <f aca="false">IF(K620=0,"No discount",IF(K620&lt;=0.1,"1-10%",IF(K620&lt;=0.2,"11-20%",IF(K620&lt;=0.3,"21-30%","Above 30%"))))</f>
        <v>1-10%</v>
      </c>
      <c r="R620" s="39" t="n">
        <f aca="false">I620*J620*MAX(0,K620-DiscountCap)</f>
        <v>0</v>
      </c>
    </row>
    <row r="621" customFormat="false" ht="15" hidden="false" customHeight="false" outlineLevel="0" collapsed="false">
      <c r="A621" s="37" t="s">
        <v>765</v>
      </c>
      <c r="B621" s="38" t="n">
        <v>45901</v>
      </c>
      <c r="C621" s="37" t="n">
        <f aca="false">MONTH(B621)</f>
        <v>9</v>
      </c>
      <c r="D621" s="37" t="s">
        <v>146</v>
      </c>
      <c r="E621" s="37" t="s">
        <v>45</v>
      </c>
      <c r="F621" s="37" t="s">
        <v>97</v>
      </c>
      <c r="G621" s="37" t="s">
        <v>93</v>
      </c>
      <c r="H621" s="37" t="s">
        <v>123</v>
      </c>
      <c r="I621" s="37" t="n">
        <v>1</v>
      </c>
      <c r="J621" s="39" t="n">
        <v>1299</v>
      </c>
      <c r="K621" s="40" t="n">
        <v>0.2</v>
      </c>
      <c r="L621" s="39" t="n">
        <f aca="false">VLOOKUP(H621,'Product List'!$A$3:$D$18,4,FALSE())</f>
        <v>700</v>
      </c>
      <c r="M621" s="39" t="n">
        <f aca="false">I621*J621*(1-K621)</f>
        <v>1039.2</v>
      </c>
      <c r="N621" s="39" t="n">
        <f aca="false">I621*L621</f>
        <v>700</v>
      </c>
      <c r="O621" s="39" t="n">
        <f aca="false">M621-N621</f>
        <v>339.2</v>
      </c>
      <c r="P621" s="41" t="n">
        <f aca="false">IF(M621=0,0,O621/M621)</f>
        <v>0.326404926866821</v>
      </c>
      <c r="Q621" s="37" t="str">
        <f aca="false">IF(K621=0,"No discount",IF(K621&lt;=0.1,"1-10%",IF(K621&lt;=0.2,"11-20%",IF(K621&lt;=0.3,"21-30%","Above 30%"))))</f>
        <v>11-20%</v>
      </c>
      <c r="R621" s="39" t="n">
        <f aca="false">I621*J621*MAX(0,K621-DiscountCap)</f>
        <v>0</v>
      </c>
    </row>
    <row r="622" customFormat="false" ht="15" hidden="false" customHeight="false" outlineLevel="0" collapsed="false">
      <c r="A622" s="37" t="s">
        <v>766</v>
      </c>
      <c r="B622" s="38" t="n">
        <v>45910</v>
      </c>
      <c r="C622" s="37" t="n">
        <f aca="false">MONTH(B622)</f>
        <v>9</v>
      </c>
      <c r="D622" s="37" t="s">
        <v>138</v>
      </c>
      <c r="E622" s="37" t="s">
        <v>46</v>
      </c>
      <c r="F622" s="37" t="s">
        <v>97</v>
      </c>
      <c r="G622" s="37" t="s">
        <v>90</v>
      </c>
      <c r="H622" s="37" t="s">
        <v>109</v>
      </c>
      <c r="I622" s="37" t="n">
        <v>1</v>
      </c>
      <c r="J622" s="39" t="n">
        <v>3499</v>
      </c>
      <c r="K622" s="40" t="n">
        <v>0</v>
      </c>
      <c r="L622" s="39" t="n">
        <f aca="false">VLOOKUP(H622,'Product List'!$A$3:$D$18,4,FALSE())</f>
        <v>2750</v>
      </c>
      <c r="M622" s="39" t="n">
        <f aca="false">I622*J622*(1-K622)</f>
        <v>3499</v>
      </c>
      <c r="N622" s="39" t="n">
        <f aca="false">I622*L622</f>
        <v>2750</v>
      </c>
      <c r="O622" s="39" t="n">
        <f aca="false">M622-N622</f>
        <v>749</v>
      </c>
      <c r="P622" s="41" t="n">
        <f aca="false">IF(M622=0,0,O622/M622)</f>
        <v>0.214061160331523</v>
      </c>
      <c r="Q622" s="37" t="str">
        <f aca="false">IF(K622=0,"No discount",IF(K622&lt;=0.1,"1-10%",IF(K622&lt;=0.2,"11-20%",IF(K622&lt;=0.3,"21-30%","Above 30%"))))</f>
        <v>No discount</v>
      </c>
      <c r="R622" s="39" t="n">
        <f aca="false">I622*J622*MAX(0,K622-DiscountCap)</f>
        <v>0</v>
      </c>
    </row>
    <row r="623" customFormat="false" ht="15" hidden="false" customHeight="false" outlineLevel="0" collapsed="false">
      <c r="A623" s="37" t="s">
        <v>767</v>
      </c>
      <c r="B623" s="38" t="n">
        <v>45904</v>
      </c>
      <c r="C623" s="37" t="n">
        <f aca="false">MONTH(B623)</f>
        <v>9</v>
      </c>
      <c r="D623" s="37" t="s">
        <v>142</v>
      </c>
      <c r="E623" s="37" t="s">
        <v>47</v>
      </c>
      <c r="F623" s="37" t="s">
        <v>96</v>
      </c>
      <c r="G623" s="37" t="s">
        <v>93</v>
      </c>
      <c r="H623" s="37" t="s">
        <v>121</v>
      </c>
      <c r="I623" s="37" t="n">
        <v>5</v>
      </c>
      <c r="J623" s="39" t="n">
        <v>999</v>
      </c>
      <c r="K623" s="40" t="n">
        <v>0.1</v>
      </c>
      <c r="L623" s="39" t="n">
        <f aca="false">VLOOKUP(H623,'Product List'!$A$3:$D$18,4,FALSE())</f>
        <v>500</v>
      </c>
      <c r="M623" s="39" t="n">
        <f aca="false">I623*J623*(1-K623)</f>
        <v>4495.5</v>
      </c>
      <c r="N623" s="39" t="n">
        <f aca="false">I623*L623</f>
        <v>2500</v>
      </c>
      <c r="O623" s="39" t="n">
        <f aca="false">M623-N623</f>
        <v>1995.5</v>
      </c>
      <c r="P623" s="41" t="n">
        <f aca="false">IF(M623=0,0,O623/M623)</f>
        <v>0.443888332777222</v>
      </c>
      <c r="Q623" s="37" t="str">
        <f aca="false">IF(K623=0,"No discount",IF(K623&lt;=0.1,"1-10%",IF(K623&lt;=0.2,"11-20%",IF(K623&lt;=0.3,"21-30%","Above 30%"))))</f>
        <v>1-10%</v>
      </c>
      <c r="R623" s="39" t="n">
        <f aca="false">I623*J623*MAX(0,K623-DiscountCap)</f>
        <v>0</v>
      </c>
    </row>
    <row r="624" customFormat="false" ht="15" hidden="false" customHeight="false" outlineLevel="0" collapsed="false">
      <c r="A624" s="37" t="s">
        <v>768</v>
      </c>
      <c r="B624" s="38" t="n">
        <v>45907</v>
      </c>
      <c r="C624" s="37" t="n">
        <f aca="false">MONTH(B624)</f>
        <v>9</v>
      </c>
      <c r="D624" s="37" t="s">
        <v>144</v>
      </c>
      <c r="E624" s="37" t="s">
        <v>45</v>
      </c>
      <c r="F624" s="37" t="s">
        <v>97</v>
      </c>
      <c r="G624" s="37" t="s">
        <v>90</v>
      </c>
      <c r="H624" s="37" t="s">
        <v>109</v>
      </c>
      <c r="I624" s="37" t="n">
        <v>2</v>
      </c>
      <c r="J624" s="39" t="n">
        <v>3499</v>
      </c>
      <c r="K624" s="40" t="n">
        <v>0</v>
      </c>
      <c r="L624" s="39" t="n">
        <f aca="false">VLOOKUP(H624,'Product List'!$A$3:$D$18,4,FALSE())</f>
        <v>2750</v>
      </c>
      <c r="M624" s="39" t="n">
        <f aca="false">I624*J624*(1-K624)</f>
        <v>6998</v>
      </c>
      <c r="N624" s="39" t="n">
        <f aca="false">I624*L624</f>
        <v>5500</v>
      </c>
      <c r="O624" s="39" t="n">
        <f aca="false">M624-N624</f>
        <v>1498</v>
      </c>
      <c r="P624" s="41" t="n">
        <f aca="false">IF(M624=0,0,O624/M624)</f>
        <v>0.214061160331523</v>
      </c>
      <c r="Q624" s="37" t="str">
        <f aca="false">IF(K624=0,"No discount",IF(K624&lt;=0.1,"1-10%",IF(K624&lt;=0.2,"11-20%",IF(K624&lt;=0.3,"21-30%","Above 30%"))))</f>
        <v>No discount</v>
      </c>
      <c r="R624" s="39" t="n">
        <f aca="false">I624*J624*MAX(0,K624-DiscountCap)</f>
        <v>0</v>
      </c>
    </row>
    <row r="625" customFormat="false" ht="15" hidden="false" customHeight="false" outlineLevel="0" collapsed="false">
      <c r="A625" s="37" t="s">
        <v>769</v>
      </c>
      <c r="B625" s="38" t="n">
        <v>45905</v>
      </c>
      <c r="C625" s="37" t="n">
        <f aca="false">MONTH(B625)</f>
        <v>9</v>
      </c>
      <c r="D625" s="37" t="s">
        <v>142</v>
      </c>
      <c r="E625" s="37" t="s">
        <v>47</v>
      </c>
      <c r="F625" s="37" t="s">
        <v>97</v>
      </c>
      <c r="G625" s="37" t="s">
        <v>91</v>
      </c>
      <c r="H625" s="37" t="s">
        <v>118</v>
      </c>
      <c r="I625" s="37" t="n">
        <v>2</v>
      </c>
      <c r="J625" s="39" t="n">
        <v>2299</v>
      </c>
      <c r="K625" s="40" t="n">
        <v>0</v>
      </c>
      <c r="L625" s="39" t="n">
        <f aca="false">VLOOKUP(H625,'Product List'!$A$3:$D$18,4,FALSE())</f>
        <v>1300</v>
      </c>
      <c r="M625" s="39" t="n">
        <f aca="false">I625*J625*(1-K625)</f>
        <v>4598</v>
      </c>
      <c r="N625" s="39" t="n">
        <f aca="false">I625*L625</f>
        <v>2600</v>
      </c>
      <c r="O625" s="39" t="n">
        <f aca="false">M625-N625</f>
        <v>1998</v>
      </c>
      <c r="P625" s="41" t="n">
        <f aca="false">IF(M625=0,0,O625/M625)</f>
        <v>0.434536755110918</v>
      </c>
      <c r="Q625" s="37" t="str">
        <f aca="false">IF(K625=0,"No discount",IF(K625&lt;=0.1,"1-10%",IF(K625&lt;=0.2,"11-20%",IF(K625&lt;=0.3,"21-30%","Above 30%"))))</f>
        <v>No discount</v>
      </c>
      <c r="R625" s="39" t="n">
        <f aca="false">I625*J625*MAX(0,K625-DiscountCap)</f>
        <v>0</v>
      </c>
    </row>
    <row r="626" customFormat="false" ht="15" hidden="false" customHeight="false" outlineLevel="0" collapsed="false">
      <c r="A626" s="37" t="s">
        <v>770</v>
      </c>
      <c r="B626" s="38" t="n">
        <v>45913</v>
      </c>
      <c r="C626" s="37" t="n">
        <f aca="false">MONTH(B626)</f>
        <v>9</v>
      </c>
      <c r="D626" s="37" t="s">
        <v>169</v>
      </c>
      <c r="E626" s="37" t="s">
        <v>44</v>
      </c>
      <c r="F626" s="37" t="s">
        <v>97</v>
      </c>
      <c r="G626" s="37" t="s">
        <v>92</v>
      </c>
      <c r="H626" s="37" t="s">
        <v>112</v>
      </c>
      <c r="I626" s="37" t="n">
        <v>3</v>
      </c>
      <c r="J626" s="39" t="n">
        <v>3299</v>
      </c>
      <c r="K626" s="40" t="n">
        <v>0.15</v>
      </c>
      <c r="L626" s="39" t="n">
        <f aca="false">VLOOKUP(H626,'Product List'!$A$3:$D$18,4,FALSE())</f>
        <v>2250</v>
      </c>
      <c r="M626" s="39" t="n">
        <f aca="false">I626*J626*(1-K626)</f>
        <v>8412.45</v>
      </c>
      <c r="N626" s="39" t="n">
        <f aca="false">I626*L626</f>
        <v>6750</v>
      </c>
      <c r="O626" s="39" t="n">
        <f aca="false">M626-N626</f>
        <v>1662.45</v>
      </c>
      <c r="P626" s="41" t="n">
        <f aca="false">IF(M626=0,0,O626/M626)</f>
        <v>0.197617816450618</v>
      </c>
      <c r="Q626" s="37" t="str">
        <f aca="false">IF(K626=0,"No discount",IF(K626&lt;=0.1,"1-10%",IF(K626&lt;=0.2,"11-20%",IF(K626&lt;=0.3,"21-30%","Above 30%"))))</f>
        <v>11-20%</v>
      </c>
      <c r="R626" s="39" t="n">
        <f aca="false">I626*J626*MAX(0,K626-DiscountCap)</f>
        <v>0</v>
      </c>
    </row>
    <row r="627" customFormat="false" ht="15" hidden="false" customHeight="false" outlineLevel="0" collapsed="false">
      <c r="A627" s="37" t="s">
        <v>771</v>
      </c>
      <c r="B627" s="38" t="n">
        <v>45912</v>
      </c>
      <c r="C627" s="37" t="n">
        <f aca="false">MONTH(B627)</f>
        <v>9</v>
      </c>
      <c r="D627" s="37" t="s">
        <v>146</v>
      </c>
      <c r="E627" s="37" t="s">
        <v>45</v>
      </c>
      <c r="F627" s="37" t="s">
        <v>97</v>
      </c>
      <c r="G627" s="37" t="s">
        <v>92</v>
      </c>
      <c r="H627" s="37" t="s">
        <v>115</v>
      </c>
      <c r="I627" s="37" t="n">
        <v>2</v>
      </c>
      <c r="J627" s="39" t="n">
        <v>1799</v>
      </c>
      <c r="K627" s="40" t="n">
        <v>0</v>
      </c>
      <c r="L627" s="39" t="n">
        <f aca="false">VLOOKUP(H627,'Product List'!$A$3:$D$18,4,FALSE())</f>
        <v>1150</v>
      </c>
      <c r="M627" s="39" t="n">
        <f aca="false">I627*J627*(1-K627)</f>
        <v>3598</v>
      </c>
      <c r="N627" s="39" t="n">
        <f aca="false">I627*L627</f>
        <v>2300</v>
      </c>
      <c r="O627" s="39" t="n">
        <f aca="false">M627-N627</f>
        <v>1298</v>
      </c>
      <c r="P627" s="41" t="n">
        <f aca="false">IF(M627=0,0,O627/M627)</f>
        <v>0.360755975541968</v>
      </c>
      <c r="Q627" s="37" t="str">
        <f aca="false">IF(K627=0,"No discount",IF(K627&lt;=0.1,"1-10%",IF(K627&lt;=0.2,"11-20%",IF(K627&lt;=0.3,"21-30%","Above 30%"))))</f>
        <v>No discount</v>
      </c>
      <c r="R627" s="39" t="n">
        <f aca="false">I627*J627*MAX(0,K627-DiscountCap)</f>
        <v>0</v>
      </c>
    </row>
    <row r="628" customFormat="false" ht="15" hidden="false" customHeight="false" outlineLevel="0" collapsed="false">
      <c r="A628" s="37" t="s">
        <v>772</v>
      </c>
      <c r="B628" s="38" t="n">
        <v>45928</v>
      </c>
      <c r="C628" s="37" t="n">
        <f aca="false">MONTH(B628)</f>
        <v>9</v>
      </c>
      <c r="D628" s="37" t="s">
        <v>169</v>
      </c>
      <c r="E628" s="37" t="s">
        <v>44</v>
      </c>
      <c r="F628" s="37" t="s">
        <v>96</v>
      </c>
      <c r="G628" s="37" t="s">
        <v>90</v>
      </c>
      <c r="H628" s="37" t="s">
        <v>110</v>
      </c>
      <c r="I628" s="37" t="n">
        <v>2</v>
      </c>
      <c r="J628" s="39" t="n">
        <v>1299</v>
      </c>
      <c r="K628" s="40" t="n">
        <v>0.1</v>
      </c>
      <c r="L628" s="39" t="n">
        <f aca="false">VLOOKUP(H628,'Product List'!$A$3:$D$18,4,FALSE())</f>
        <v>1000</v>
      </c>
      <c r="M628" s="39" t="n">
        <f aca="false">I628*J628*(1-K628)</f>
        <v>2338.2</v>
      </c>
      <c r="N628" s="39" t="n">
        <f aca="false">I628*L628</f>
        <v>2000</v>
      </c>
      <c r="O628" s="39" t="n">
        <f aca="false">M628-N628</f>
        <v>338.2</v>
      </c>
      <c r="P628" s="41" t="n">
        <f aca="false">IF(M628=0,0,O628/M628)</f>
        <v>0.144641176973741</v>
      </c>
      <c r="Q628" s="37" t="str">
        <f aca="false">IF(K628=0,"No discount",IF(K628&lt;=0.1,"1-10%",IF(K628&lt;=0.2,"11-20%",IF(K628&lt;=0.3,"21-30%","Above 30%"))))</f>
        <v>1-10%</v>
      </c>
      <c r="R628" s="39" t="n">
        <f aca="false">I628*J628*MAX(0,K628-DiscountCap)</f>
        <v>0</v>
      </c>
    </row>
    <row r="629" customFormat="false" ht="15" hidden="false" customHeight="false" outlineLevel="0" collapsed="false">
      <c r="A629" s="37" t="s">
        <v>773</v>
      </c>
      <c r="B629" s="38" t="n">
        <v>45925</v>
      </c>
      <c r="C629" s="37" t="n">
        <f aca="false">MONTH(B629)</f>
        <v>9</v>
      </c>
      <c r="D629" s="37" t="s">
        <v>146</v>
      </c>
      <c r="E629" s="37" t="s">
        <v>45</v>
      </c>
      <c r="F629" s="37" t="s">
        <v>96</v>
      </c>
      <c r="G629" s="37" t="s">
        <v>90</v>
      </c>
      <c r="H629" s="37" t="s">
        <v>108</v>
      </c>
      <c r="I629" s="37" t="n">
        <v>1</v>
      </c>
      <c r="J629" s="39" t="n">
        <v>1999</v>
      </c>
      <c r="K629" s="40" t="n">
        <v>0.15</v>
      </c>
      <c r="L629" s="39" t="n">
        <f aca="false">VLOOKUP(H629,'Product List'!$A$3:$D$18,4,FALSE())</f>
        <v>1560</v>
      </c>
      <c r="M629" s="39" t="n">
        <f aca="false">I629*J629*(1-K629)</f>
        <v>1699.15</v>
      </c>
      <c r="N629" s="39" t="n">
        <f aca="false">I629*L629</f>
        <v>1560</v>
      </c>
      <c r="O629" s="39" t="n">
        <f aca="false">M629-N629</f>
        <v>139.15</v>
      </c>
      <c r="P629" s="41" t="n">
        <f aca="false">IF(M629=0,0,O629/M629)</f>
        <v>0.0818938881205308</v>
      </c>
      <c r="Q629" s="37" t="str">
        <f aca="false">IF(K629=0,"No discount",IF(K629&lt;=0.1,"1-10%",IF(K629&lt;=0.2,"11-20%",IF(K629&lt;=0.3,"21-30%","Above 30%"))))</f>
        <v>11-20%</v>
      </c>
      <c r="R629" s="39" t="n">
        <f aca="false">I629*J629*MAX(0,K629-DiscountCap)</f>
        <v>0</v>
      </c>
    </row>
    <row r="630" customFormat="false" ht="15" hidden="false" customHeight="false" outlineLevel="0" collapsed="false">
      <c r="A630" s="37" t="s">
        <v>774</v>
      </c>
      <c r="B630" s="38" t="n">
        <v>45924</v>
      </c>
      <c r="C630" s="37" t="n">
        <f aca="false">MONTH(B630)</f>
        <v>9</v>
      </c>
      <c r="D630" s="37" t="s">
        <v>136</v>
      </c>
      <c r="E630" s="37" t="s">
        <v>47</v>
      </c>
      <c r="F630" s="37" t="s">
        <v>97</v>
      </c>
      <c r="G630" s="37" t="s">
        <v>93</v>
      </c>
      <c r="H630" s="37" t="s">
        <v>122</v>
      </c>
      <c r="I630" s="37" t="n">
        <v>2</v>
      </c>
      <c r="J630" s="39" t="n">
        <v>1799</v>
      </c>
      <c r="K630" s="40" t="n">
        <v>0.15</v>
      </c>
      <c r="L630" s="39" t="n">
        <f aca="false">VLOOKUP(H630,'Product List'!$A$3:$D$18,4,FALSE())</f>
        <v>1250</v>
      </c>
      <c r="M630" s="39" t="n">
        <f aca="false">I630*J630*(1-K630)</f>
        <v>3058.3</v>
      </c>
      <c r="N630" s="39" t="n">
        <f aca="false">I630*L630</f>
        <v>2500</v>
      </c>
      <c r="O630" s="39" t="n">
        <f aca="false">M630-N630</f>
        <v>558.3</v>
      </c>
      <c r="P630" s="41" t="n">
        <f aca="false">IF(M630=0,0,O630/M630)</f>
        <v>0.182552398391263</v>
      </c>
      <c r="Q630" s="37" t="str">
        <f aca="false">IF(K630=0,"No discount",IF(K630&lt;=0.1,"1-10%",IF(K630&lt;=0.2,"11-20%",IF(K630&lt;=0.3,"21-30%","Above 30%"))))</f>
        <v>11-20%</v>
      </c>
      <c r="R630" s="39" t="n">
        <f aca="false">I630*J630*MAX(0,K630-DiscountCap)</f>
        <v>0</v>
      </c>
    </row>
    <row r="631" customFormat="false" ht="15" hidden="false" customHeight="false" outlineLevel="0" collapsed="false">
      <c r="A631" s="37" t="s">
        <v>775</v>
      </c>
      <c r="B631" s="38" t="n">
        <v>45927</v>
      </c>
      <c r="C631" s="37" t="n">
        <f aca="false">MONTH(B631)</f>
        <v>9</v>
      </c>
      <c r="D631" s="37" t="s">
        <v>138</v>
      </c>
      <c r="E631" s="37" t="s">
        <v>46</v>
      </c>
      <c r="F631" s="37" t="s">
        <v>96</v>
      </c>
      <c r="G631" s="37" t="s">
        <v>93</v>
      </c>
      <c r="H631" s="37" t="s">
        <v>122</v>
      </c>
      <c r="I631" s="37" t="n">
        <v>2</v>
      </c>
      <c r="J631" s="39" t="n">
        <v>1799</v>
      </c>
      <c r="K631" s="40" t="n">
        <v>0.25</v>
      </c>
      <c r="L631" s="39" t="n">
        <f aca="false">VLOOKUP(H631,'Product List'!$A$3:$D$18,4,FALSE())</f>
        <v>1250</v>
      </c>
      <c r="M631" s="39" t="n">
        <f aca="false">I631*J631*(1-K631)</f>
        <v>2698.5</v>
      </c>
      <c r="N631" s="39" t="n">
        <f aca="false">I631*L631</f>
        <v>2500</v>
      </c>
      <c r="O631" s="39" t="n">
        <f aca="false">M631-N631</f>
        <v>198.5</v>
      </c>
      <c r="P631" s="41" t="n">
        <f aca="false">IF(M631=0,0,O631/M631)</f>
        <v>0.0735593848434315</v>
      </c>
      <c r="Q631" s="37" t="str">
        <f aca="false">IF(K631=0,"No discount",IF(K631&lt;=0.1,"1-10%",IF(K631&lt;=0.2,"11-20%",IF(K631&lt;=0.3,"21-30%","Above 30%"))))</f>
        <v>21-30%</v>
      </c>
      <c r="R631" s="39" t="n">
        <f aca="false">I631*J631*MAX(0,K631-DiscountCap)</f>
        <v>179.9</v>
      </c>
    </row>
    <row r="632" customFormat="false" ht="15" hidden="false" customHeight="false" outlineLevel="0" collapsed="false">
      <c r="A632" s="37" t="s">
        <v>776</v>
      </c>
      <c r="B632" s="38" t="n">
        <v>45903</v>
      </c>
      <c r="C632" s="37" t="n">
        <f aca="false">MONTH(B632)</f>
        <v>9</v>
      </c>
      <c r="D632" s="37" t="s">
        <v>140</v>
      </c>
      <c r="E632" s="37" t="s">
        <v>44</v>
      </c>
      <c r="F632" s="37" t="s">
        <v>97</v>
      </c>
      <c r="G632" s="37" t="s">
        <v>91</v>
      </c>
      <c r="H632" s="37" t="s">
        <v>117</v>
      </c>
      <c r="I632" s="37" t="n">
        <v>1</v>
      </c>
      <c r="J632" s="39" t="n">
        <v>1499</v>
      </c>
      <c r="K632" s="40" t="n">
        <v>0.05</v>
      </c>
      <c r="L632" s="39" t="n">
        <f aca="false">VLOOKUP(H632,'Product List'!$A$3:$D$18,4,FALSE())</f>
        <v>780</v>
      </c>
      <c r="M632" s="39" t="n">
        <f aca="false">I632*J632*(1-K632)</f>
        <v>1424.05</v>
      </c>
      <c r="N632" s="39" t="n">
        <f aca="false">I632*L632</f>
        <v>780</v>
      </c>
      <c r="O632" s="39" t="n">
        <f aca="false">M632-N632</f>
        <v>644.05</v>
      </c>
      <c r="P632" s="41" t="n">
        <f aca="false">IF(M632=0,0,O632/M632)</f>
        <v>0.452266423229521</v>
      </c>
      <c r="Q632" s="37" t="str">
        <f aca="false">IF(K632=0,"No discount",IF(K632&lt;=0.1,"1-10%",IF(K632&lt;=0.2,"11-20%",IF(K632&lt;=0.3,"21-30%","Above 30%"))))</f>
        <v>1-10%</v>
      </c>
      <c r="R632" s="39" t="n">
        <f aca="false">I632*J632*MAX(0,K632-DiscountCap)</f>
        <v>0</v>
      </c>
    </row>
    <row r="633" customFormat="false" ht="15" hidden="false" customHeight="false" outlineLevel="0" collapsed="false">
      <c r="A633" s="37" t="s">
        <v>777</v>
      </c>
      <c r="B633" s="38" t="n">
        <v>45906</v>
      </c>
      <c r="C633" s="37" t="n">
        <f aca="false">MONTH(B633)</f>
        <v>9</v>
      </c>
      <c r="D633" s="37" t="s">
        <v>142</v>
      </c>
      <c r="E633" s="37" t="s">
        <v>47</v>
      </c>
      <c r="F633" s="37" t="s">
        <v>96</v>
      </c>
      <c r="G633" s="37" t="s">
        <v>93</v>
      </c>
      <c r="H633" s="37" t="s">
        <v>121</v>
      </c>
      <c r="I633" s="37" t="n">
        <v>2</v>
      </c>
      <c r="J633" s="39" t="n">
        <v>999</v>
      </c>
      <c r="K633" s="40" t="n">
        <v>0.25</v>
      </c>
      <c r="L633" s="39" t="n">
        <f aca="false">VLOOKUP(H633,'Product List'!$A$3:$D$18,4,FALSE())</f>
        <v>500</v>
      </c>
      <c r="M633" s="39" t="n">
        <f aca="false">I633*J633*(1-K633)</f>
        <v>1498.5</v>
      </c>
      <c r="N633" s="39" t="n">
        <f aca="false">I633*L633</f>
        <v>1000</v>
      </c>
      <c r="O633" s="39" t="n">
        <f aca="false">M633-N633</f>
        <v>498.5</v>
      </c>
      <c r="P633" s="41" t="n">
        <f aca="false">IF(M633=0,0,O633/M633)</f>
        <v>0.332665999332666</v>
      </c>
      <c r="Q633" s="37" t="str">
        <f aca="false">IF(K633=0,"No discount",IF(K633&lt;=0.1,"1-10%",IF(K633&lt;=0.2,"11-20%",IF(K633&lt;=0.3,"21-30%","Above 30%"))))</f>
        <v>21-30%</v>
      </c>
      <c r="R633" s="39" t="n">
        <f aca="false">I633*J633*MAX(0,K633-DiscountCap)</f>
        <v>99.9</v>
      </c>
    </row>
    <row r="634" customFormat="false" ht="15" hidden="false" customHeight="false" outlineLevel="0" collapsed="false">
      <c r="A634" s="37" t="s">
        <v>778</v>
      </c>
      <c r="B634" s="38" t="n">
        <v>45905</v>
      </c>
      <c r="C634" s="37" t="n">
        <f aca="false">MONTH(B634)</f>
        <v>9</v>
      </c>
      <c r="D634" s="37" t="s">
        <v>172</v>
      </c>
      <c r="E634" s="37" t="s">
        <v>46</v>
      </c>
      <c r="F634" s="37" t="s">
        <v>96</v>
      </c>
      <c r="G634" s="37" t="s">
        <v>93</v>
      </c>
      <c r="H634" s="37" t="s">
        <v>123</v>
      </c>
      <c r="I634" s="37" t="n">
        <v>2</v>
      </c>
      <c r="J634" s="39" t="n">
        <v>1299</v>
      </c>
      <c r="K634" s="40" t="n">
        <v>0</v>
      </c>
      <c r="L634" s="39" t="n">
        <f aca="false">VLOOKUP(H634,'Product List'!$A$3:$D$18,4,FALSE())</f>
        <v>700</v>
      </c>
      <c r="M634" s="39" t="n">
        <f aca="false">I634*J634*(1-K634)</f>
        <v>2598</v>
      </c>
      <c r="N634" s="39" t="n">
        <f aca="false">I634*L634</f>
        <v>1400</v>
      </c>
      <c r="O634" s="39" t="n">
        <f aca="false">M634-N634</f>
        <v>1198</v>
      </c>
      <c r="P634" s="41" t="n">
        <f aca="false">IF(M634=0,0,O634/M634)</f>
        <v>0.461123941493457</v>
      </c>
      <c r="Q634" s="37" t="str">
        <f aca="false">IF(K634=0,"No discount",IF(K634&lt;=0.1,"1-10%",IF(K634&lt;=0.2,"11-20%",IF(K634&lt;=0.3,"21-30%","Above 30%"))))</f>
        <v>No discount</v>
      </c>
      <c r="R634" s="39" t="n">
        <f aca="false">I634*J634*MAX(0,K634-DiscountCap)</f>
        <v>0</v>
      </c>
    </row>
    <row r="635" customFormat="false" ht="15" hidden="false" customHeight="false" outlineLevel="0" collapsed="false">
      <c r="A635" s="37" t="s">
        <v>779</v>
      </c>
      <c r="B635" s="38" t="n">
        <v>45927</v>
      </c>
      <c r="C635" s="37" t="n">
        <f aca="false">MONTH(B635)</f>
        <v>9</v>
      </c>
      <c r="D635" s="37" t="s">
        <v>169</v>
      </c>
      <c r="E635" s="37" t="s">
        <v>44</v>
      </c>
      <c r="F635" s="37" t="s">
        <v>96</v>
      </c>
      <c r="G635" s="37" t="s">
        <v>90</v>
      </c>
      <c r="H635" s="37" t="s">
        <v>110</v>
      </c>
      <c r="I635" s="37" t="n">
        <v>1</v>
      </c>
      <c r="J635" s="39" t="n">
        <v>1299</v>
      </c>
      <c r="K635" s="40" t="n">
        <v>0.25</v>
      </c>
      <c r="L635" s="39" t="n">
        <f aca="false">VLOOKUP(H635,'Product List'!$A$3:$D$18,4,FALSE())</f>
        <v>1000</v>
      </c>
      <c r="M635" s="39" t="n">
        <f aca="false">I635*J635*(1-K635)</f>
        <v>974.25</v>
      </c>
      <c r="N635" s="39" t="n">
        <f aca="false">I635*L635</f>
        <v>1000</v>
      </c>
      <c r="O635" s="39" t="n">
        <f aca="false">M635-N635</f>
        <v>-25.75</v>
      </c>
      <c r="P635" s="41" t="n">
        <f aca="false">IF(M635=0,0,O635/M635)</f>
        <v>-0.0264305876315114</v>
      </c>
      <c r="Q635" s="37" t="str">
        <f aca="false">IF(K635=0,"No discount",IF(K635&lt;=0.1,"1-10%",IF(K635&lt;=0.2,"11-20%",IF(K635&lt;=0.3,"21-30%","Above 30%"))))</f>
        <v>21-30%</v>
      </c>
      <c r="R635" s="39" t="n">
        <f aca="false">I635*J635*MAX(0,K635-DiscountCap)</f>
        <v>64.95</v>
      </c>
    </row>
    <row r="636" customFormat="false" ht="15" hidden="false" customHeight="false" outlineLevel="0" collapsed="false">
      <c r="A636" s="37" t="s">
        <v>780</v>
      </c>
      <c r="B636" s="38" t="n">
        <v>45920</v>
      </c>
      <c r="C636" s="37" t="n">
        <f aca="false">MONTH(B636)</f>
        <v>9</v>
      </c>
      <c r="D636" s="37" t="s">
        <v>144</v>
      </c>
      <c r="E636" s="37" t="s">
        <v>45</v>
      </c>
      <c r="F636" s="37" t="s">
        <v>97</v>
      </c>
      <c r="G636" s="37" t="s">
        <v>92</v>
      </c>
      <c r="H636" s="37" t="s">
        <v>112</v>
      </c>
      <c r="I636" s="37" t="n">
        <v>1</v>
      </c>
      <c r="J636" s="39" t="n">
        <v>3299</v>
      </c>
      <c r="K636" s="40" t="n">
        <v>0.05</v>
      </c>
      <c r="L636" s="39" t="n">
        <f aca="false">VLOOKUP(H636,'Product List'!$A$3:$D$18,4,FALSE())</f>
        <v>2250</v>
      </c>
      <c r="M636" s="39" t="n">
        <f aca="false">I636*J636*(1-K636)</f>
        <v>3134.05</v>
      </c>
      <c r="N636" s="39" t="n">
        <f aca="false">I636*L636</f>
        <v>2250</v>
      </c>
      <c r="O636" s="39" t="n">
        <f aca="false">M636-N636</f>
        <v>884.05</v>
      </c>
      <c r="P636" s="41" t="n">
        <f aca="false">IF(M636=0,0,O636/M636)</f>
        <v>0.2820790989295</v>
      </c>
      <c r="Q636" s="37" t="str">
        <f aca="false">IF(K636=0,"No discount",IF(K636&lt;=0.1,"1-10%",IF(K636&lt;=0.2,"11-20%",IF(K636&lt;=0.3,"21-30%","Above 30%"))))</f>
        <v>1-10%</v>
      </c>
      <c r="R636" s="39" t="n">
        <f aca="false">I636*J636*MAX(0,K636-DiscountCap)</f>
        <v>0</v>
      </c>
    </row>
    <row r="637" customFormat="false" ht="15" hidden="false" customHeight="false" outlineLevel="0" collapsed="false">
      <c r="A637" s="37" t="s">
        <v>781</v>
      </c>
      <c r="B637" s="38" t="n">
        <v>45928</v>
      </c>
      <c r="C637" s="37" t="n">
        <f aca="false">MONTH(B637)</f>
        <v>9</v>
      </c>
      <c r="D637" s="37" t="s">
        <v>140</v>
      </c>
      <c r="E637" s="37" t="s">
        <v>44</v>
      </c>
      <c r="F637" s="37" t="s">
        <v>97</v>
      </c>
      <c r="G637" s="37" t="s">
        <v>93</v>
      </c>
      <c r="H637" s="37" t="s">
        <v>121</v>
      </c>
      <c r="I637" s="37" t="n">
        <v>4</v>
      </c>
      <c r="J637" s="39" t="n">
        <v>999</v>
      </c>
      <c r="K637" s="40" t="n">
        <v>0.15</v>
      </c>
      <c r="L637" s="39" t="n">
        <f aca="false">VLOOKUP(H637,'Product List'!$A$3:$D$18,4,FALSE())</f>
        <v>500</v>
      </c>
      <c r="M637" s="39" t="n">
        <f aca="false">I637*J637*(1-K637)</f>
        <v>3396.6</v>
      </c>
      <c r="N637" s="39" t="n">
        <f aca="false">I637*L637</f>
        <v>2000</v>
      </c>
      <c r="O637" s="39" t="n">
        <f aca="false">M637-N637</f>
        <v>1396.6</v>
      </c>
      <c r="P637" s="41" t="n">
        <f aca="false">IF(M637=0,0,O637/M637)</f>
        <v>0.411175881764117</v>
      </c>
      <c r="Q637" s="37" t="str">
        <f aca="false">IF(K637=0,"No discount",IF(K637&lt;=0.1,"1-10%",IF(K637&lt;=0.2,"11-20%",IF(K637&lt;=0.3,"21-30%","Above 30%"))))</f>
        <v>11-20%</v>
      </c>
      <c r="R637" s="39" t="n">
        <f aca="false">I637*J637*MAX(0,K637-DiscountCap)</f>
        <v>0</v>
      </c>
    </row>
    <row r="638" customFormat="false" ht="15" hidden="false" customHeight="false" outlineLevel="0" collapsed="false">
      <c r="A638" s="37" t="s">
        <v>782</v>
      </c>
      <c r="B638" s="38" t="n">
        <v>45926</v>
      </c>
      <c r="C638" s="37" t="n">
        <f aca="false">MONTH(B638)</f>
        <v>9</v>
      </c>
      <c r="D638" s="37" t="s">
        <v>169</v>
      </c>
      <c r="E638" s="37" t="s">
        <v>44</v>
      </c>
      <c r="F638" s="37" t="s">
        <v>97</v>
      </c>
      <c r="G638" s="37" t="s">
        <v>92</v>
      </c>
      <c r="H638" s="37" t="s">
        <v>114</v>
      </c>
      <c r="I638" s="37" t="n">
        <v>5</v>
      </c>
      <c r="J638" s="39" t="n">
        <v>1199</v>
      </c>
      <c r="K638" s="40" t="n">
        <v>0.1</v>
      </c>
      <c r="L638" s="39" t="n">
        <f aca="false">VLOOKUP(H638,'Product List'!$A$3:$D$18,4,FALSE())</f>
        <v>780</v>
      </c>
      <c r="M638" s="39" t="n">
        <f aca="false">I638*J638*(1-K638)</f>
        <v>5395.5</v>
      </c>
      <c r="N638" s="39" t="n">
        <f aca="false">I638*L638</f>
        <v>3900</v>
      </c>
      <c r="O638" s="39" t="n">
        <f aca="false">M638-N638</f>
        <v>1495.5</v>
      </c>
      <c r="P638" s="41" t="n">
        <f aca="false">IF(M638=0,0,O638/M638)</f>
        <v>0.277175423964415</v>
      </c>
      <c r="Q638" s="37" t="str">
        <f aca="false">IF(K638=0,"No discount",IF(K638&lt;=0.1,"1-10%",IF(K638&lt;=0.2,"11-20%",IF(K638&lt;=0.3,"21-30%","Above 30%"))))</f>
        <v>1-10%</v>
      </c>
      <c r="R638" s="39" t="n">
        <f aca="false">I638*J638*MAX(0,K638-DiscountCap)</f>
        <v>0</v>
      </c>
    </row>
    <row r="639" customFormat="false" ht="15" hidden="false" customHeight="false" outlineLevel="0" collapsed="false">
      <c r="A639" s="37" t="s">
        <v>783</v>
      </c>
      <c r="B639" s="38" t="n">
        <v>45922</v>
      </c>
      <c r="C639" s="37" t="n">
        <f aca="false">MONTH(B639)</f>
        <v>9</v>
      </c>
      <c r="D639" s="37" t="s">
        <v>136</v>
      </c>
      <c r="E639" s="37" t="s">
        <v>47</v>
      </c>
      <c r="F639" s="37" t="s">
        <v>96</v>
      </c>
      <c r="G639" s="37" t="s">
        <v>90</v>
      </c>
      <c r="H639" s="37" t="s">
        <v>111</v>
      </c>
      <c r="I639" s="37" t="n">
        <v>3</v>
      </c>
      <c r="J639" s="39" t="n">
        <v>2499</v>
      </c>
      <c r="K639" s="40" t="n">
        <v>0.05</v>
      </c>
      <c r="L639" s="39" t="n">
        <f aca="false">VLOOKUP(H639,'Product List'!$A$3:$D$18,4,FALSE())</f>
        <v>1950</v>
      </c>
      <c r="M639" s="39" t="n">
        <f aca="false">I639*J639*(1-K639)</f>
        <v>7122.15</v>
      </c>
      <c r="N639" s="39" t="n">
        <f aca="false">I639*L639</f>
        <v>5850</v>
      </c>
      <c r="O639" s="39" t="n">
        <f aca="false">M639-N639</f>
        <v>1272.15</v>
      </c>
      <c r="P639" s="41" t="n">
        <f aca="false">IF(M639=0,0,O639/M639)</f>
        <v>0.178618815947432</v>
      </c>
      <c r="Q639" s="37" t="str">
        <f aca="false">IF(K639=0,"No discount",IF(K639&lt;=0.1,"1-10%",IF(K639&lt;=0.2,"11-20%",IF(K639&lt;=0.3,"21-30%","Above 30%"))))</f>
        <v>1-10%</v>
      </c>
      <c r="R639" s="39" t="n">
        <f aca="false">I639*J639*MAX(0,K639-DiscountCap)</f>
        <v>0</v>
      </c>
    </row>
    <row r="640" customFormat="false" ht="15" hidden="false" customHeight="false" outlineLevel="0" collapsed="false">
      <c r="A640" s="37" t="s">
        <v>784</v>
      </c>
      <c r="B640" s="38" t="n">
        <v>45912</v>
      </c>
      <c r="C640" s="37" t="n">
        <f aca="false">MONTH(B640)</f>
        <v>9</v>
      </c>
      <c r="D640" s="37" t="s">
        <v>140</v>
      </c>
      <c r="E640" s="37" t="s">
        <v>44</v>
      </c>
      <c r="F640" s="37" t="s">
        <v>96</v>
      </c>
      <c r="G640" s="37" t="s">
        <v>91</v>
      </c>
      <c r="H640" s="37" t="s">
        <v>118</v>
      </c>
      <c r="I640" s="37" t="n">
        <v>1</v>
      </c>
      <c r="J640" s="39" t="n">
        <v>2299</v>
      </c>
      <c r="K640" s="40" t="n">
        <v>0.25</v>
      </c>
      <c r="L640" s="39" t="n">
        <f aca="false">VLOOKUP(H640,'Product List'!$A$3:$D$18,4,FALSE())</f>
        <v>1300</v>
      </c>
      <c r="M640" s="39" t="n">
        <f aca="false">I640*J640*(1-K640)</f>
        <v>1724.25</v>
      </c>
      <c r="N640" s="39" t="n">
        <f aca="false">I640*L640</f>
        <v>1300</v>
      </c>
      <c r="O640" s="39" t="n">
        <f aca="false">M640-N640</f>
        <v>424.25</v>
      </c>
      <c r="P640" s="41" t="n">
        <f aca="false">IF(M640=0,0,O640/M640)</f>
        <v>0.246049006814557</v>
      </c>
      <c r="Q640" s="37" t="str">
        <f aca="false">IF(K640=0,"No discount",IF(K640&lt;=0.1,"1-10%",IF(K640&lt;=0.2,"11-20%",IF(K640&lt;=0.3,"21-30%","Above 30%"))))</f>
        <v>21-30%</v>
      </c>
      <c r="R640" s="39" t="n">
        <f aca="false">I640*J640*MAX(0,K640-DiscountCap)</f>
        <v>114.95</v>
      </c>
    </row>
    <row r="641" customFormat="false" ht="15" hidden="false" customHeight="false" outlineLevel="0" collapsed="false">
      <c r="A641" s="37" t="s">
        <v>785</v>
      </c>
      <c r="B641" s="38" t="n">
        <v>45921</v>
      </c>
      <c r="C641" s="37" t="n">
        <f aca="false">MONTH(B641)</f>
        <v>9</v>
      </c>
      <c r="D641" s="37" t="s">
        <v>172</v>
      </c>
      <c r="E641" s="37" t="s">
        <v>46</v>
      </c>
      <c r="F641" s="37" t="s">
        <v>96</v>
      </c>
      <c r="G641" s="37" t="s">
        <v>90</v>
      </c>
      <c r="H641" s="37" t="s">
        <v>110</v>
      </c>
      <c r="I641" s="37" t="n">
        <v>4</v>
      </c>
      <c r="J641" s="39" t="n">
        <v>1299</v>
      </c>
      <c r="K641" s="40" t="n">
        <v>0.25</v>
      </c>
      <c r="L641" s="39" t="n">
        <f aca="false">VLOOKUP(H641,'Product List'!$A$3:$D$18,4,FALSE())</f>
        <v>1000</v>
      </c>
      <c r="M641" s="39" t="n">
        <f aca="false">I641*J641*(1-K641)</f>
        <v>3897</v>
      </c>
      <c r="N641" s="39" t="n">
        <f aca="false">I641*L641</f>
        <v>4000</v>
      </c>
      <c r="O641" s="39" t="n">
        <f aca="false">M641-N641</f>
        <v>-103</v>
      </c>
      <c r="P641" s="41" t="n">
        <f aca="false">IF(M641=0,0,O641/M641)</f>
        <v>-0.0264305876315114</v>
      </c>
      <c r="Q641" s="37" t="str">
        <f aca="false">IF(K641=0,"No discount",IF(K641&lt;=0.1,"1-10%",IF(K641&lt;=0.2,"11-20%",IF(K641&lt;=0.3,"21-30%","Above 30%"))))</f>
        <v>21-30%</v>
      </c>
      <c r="R641" s="39" t="n">
        <f aca="false">I641*J641*MAX(0,K641-DiscountCap)</f>
        <v>259.8</v>
      </c>
    </row>
    <row r="642" customFormat="false" ht="15" hidden="false" customHeight="false" outlineLevel="0" collapsed="false">
      <c r="A642" s="37" t="s">
        <v>786</v>
      </c>
      <c r="B642" s="38" t="n">
        <v>45909</v>
      </c>
      <c r="C642" s="37" t="n">
        <f aca="false">MONTH(B642)</f>
        <v>9</v>
      </c>
      <c r="D642" s="37" t="s">
        <v>142</v>
      </c>
      <c r="E642" s="37" t="s">
        <v>47</v>
      </c>
      <c r="F642" s="37" t="s">
        <v>96</v>
      </c>
      <c r="G642" s="37" t="s">
        <v>91</v>
      </c>
      <c r="H642" s="37" t="s">
        <v>117</v>
      </c>
      <c r="I642" s="37" t="n">
        <v>3</v>
      </c>
      <c r="J642" s="39" t="n">
        <v>1499</v>
      </c>
      <c r="K642" s="40" t="n">
        <v>0.2</v>
      </c>
      <c r="L642" s="39" t="n">
        <f aca="false">VLOOKUP(H642,'Product List'!$A$3:$D$18,4,FALSE())</f>
        <v>780</v>
      </c>
      <c r="M642" s="39" t="n">
        <f aca="false">I642*J642*(1-K642)</f>
        <v>3597.6</v>
      </c>
      <c r="N642" s="39" t="n">
        <f aca="false">I642*L642</f>
        <v>2340</v>
      </c>
      <c r="O642" s="39" t="n">
        <f aca="false">M642-N642</f>
        <v>1257.6</v>
      </c>
      <c r="P642" s="41" t="n">
        <f aca="false">IF(M642=0,0,O642/M642)</f>
        <v>0.349566377585057</v>
      </c>
      <c r="Q642" s="37" t="str">
        <f aca="false">IF(K642=0,"No discount",IF(K642&lt;=0.1,"1-10%",IF(K642&lt;=0.2,"11-20%",IF(K642&lt;=0.3,"21-30%","Above 30%"))))</f>
        <v>11-20%</v>
      </c>
      <c r="R642" s="39" t="n">
        <f aca="false">I642*J642*MAX(0,K642-DiscountCap)</f>
        <v>0</v>
      </c>
    </row>
    <row r="643" customFormat="false" ht="15" hidden="false" customHeight="false" outlineLevel="0" collapsed="false">
      <c r="A643" s="37" t="s">
        <v>787</v>
      </c>
      <c r="B643" s="38" t="n">
        <v>45918</v>
      </c>
      <c r="C643" s="37" t="n">
        <f aca="false">MONTH(B643)</f>
        <v>9</v>
      </c>
      <c r="D643" s="37" t="s">
        <v>140</v>
      </c>
      <c r="E643" s="37" t="s">
        <v>44</v>
      </c>
      <c r="F643" s="37" t="s">
        <v>96</v>
      </c>
      <c r="G643" s="37" t="s">
        <v>91</v>
      </c>
      <c r="H643" s="37" t="s">
        <v>117</v>
      </c>
      <c r="I643" s="37" t="n">
        <v>1</v>
      </c>
      <c r="J643" s="39" t="n">
        <v>1499</v>
      </c>
      <c r="K643" s="40" t="n">
        <v>0.15</v>
      </c>
      <c r="L643" s="39" t="n">
        <f aca="false">VLOOKUP(H643,'Product List'!$A$3:$D$18,4,FALSE())</f>
        <v>780</v>
      </c>
      <c r="M643" s="39" t="n">
        <f aca="false">I643*J643*(1-K643)</f>
        <v>1274.15</v>
      </c>
      <c r="N643" s="39" t="n">
        <f aca="false">I643*L643</f>
        <v>780</v>
      </c>
      <c r="O643" s="39" t="n">
        <f aca="false">M643-N643</f>
        <v>494.15</v>
      </c>
      <c r="P643" s="41" t="n">
        <f aca="false">IF(M643=0,0,O643/M643)</f>
        <v>0.387827178903583</v>
      </c>
      <c r="Q643" s="37" t="str">
        <f aca="false">IF(K643=0,"No discount",IF(K643&lt;=0.1,"1-10%",IF(K643&lt;=0.2,"11-20%",IF(K643&lt;=0.3,"21-30%","Above 30%"))))</f>
        <v>11-20%</v>
      </c>
      <c r="R643" s="39" t="n">
        <f aca="false">I643*J643*MAX(0,K643-DiscountCap)</f>
        <v>0</v>
      </c>
    </row>
    <row r="644" customFormat="false" ht="15" hidden="false" customHeight="false" outlineLevel="0" collapsed="false">
      <c r="A644" s="37" t="s">
        <v>788</v>
      </c>
      <c r="B644" s="38" t="n">
        <v>45920</v>
      </c>
      <c r="C644" s="37" t="n">
        <f aca="false">MONTH(B644)</f>
        <v>9</v>
      </c>
      <c r="D644" s="37" t="s">
        <v>144</v>
      </c>
      <c r="E644" s="37" t="s">
        <v>45</v>
      </c>
      <c r="F644" s="37" t="s">
        <v>97</v>
      </c>
      <c r="G644" s="37" t="s">
        <v>92</v>
      </c>
      <c r="H644" s="37" t="s">
        <v>114</v>
      </c>
      <c r="I644" s="37" t="n">
        <v>2</v>
      </c>
      <c r="J644" s="39" t="n">
        <v>1199</v>
      </c>
      <c r="K644" s="40" t="n">
        <v>0.05</v>
      </c>
      <c r="L644" s="39" t="n">
        <f aca="false">VLOOKUP(H644,'Product List'!$A$3:$D$18,4,FALSE())</f>
        <v>780</v>
      </c>
      <c r="M644" s="39" t="n">
        <f aca="false">I644*J644*(1-K644)</f>
        <v>2278.1</v>
      </c>
      <c r="N644" s="39" t="n">
        <f aca="false">I644*L644</f>
        <v>1560</v>
      </c>
      <c r="O644" s="39" t="n">
        <f aca="false">M644-N644</f>
        <v>718.1</v>
      </c>
      <c r="P644" s="41" t="n">
        <f aca="false">IF(M644=0,0,O644/M644)</f>
        <v>0.31521882270313</v>
      </c>
      <c r="Q644" s="37" t="str">
        <f aca="false">IF(K644=0,"No discount",IF(K644&lt;=0.1,"1-10%",IF(K644&lt;=0.2,"11-20%",IF(K644&lt;=0.3,"21-30%","Above 30%"))))</f>
        <v>1-10%</v>
      </c>
      <c r="R644" s="39" t="n">
        <f aca="false">I644*J644*MAX(0,K644-DiscountCap)</f>
        <v>0</v>
      </c>
    </row>
    <row r="645" customFormat="false" ht="15" hidden="false" customHeight="false" outlineLevel="0" collapsed="false">
      <c r="A645" s="37" t="s">
        <v>789</v>
      </c>
      <c r="B645" s="38" t="n">
        <v>45909</v>
      </c>
      <c r="C645" s="37" t="n">
        <f aca="false">MONTH(B645)</f>
        <v>9</v>
      </c>
      <c r="D645" s="37" t="s">
        <v>134</v>
      </c>
      <c r="E645" s="37" t="s">
        <v>45</v>
      </c>
      <c r="F645" s="37" t="s">
        <v>97</v>
      </c>
      <c r="G645" s="37" t="s">
        <v>90</v>
      </c>
      <c r="H645" s="37" t="s">
        <v>108</v>
      </c>
      <c r="I645" s="37" t="n">
        <v>2</v>
      </c>
      <c r="J645" s="39" t="n">
        <v>1999</v>
      </c>
      <c r="K645" s="40" t="n">
        <v>0.2</v>
      </c>
      <c r="L645" s="39" t="n">
        <f aca="false">VLOOKUP(H645,'Product List'!$A$3:$D$18,4,FALSE())</f>
        <v>1560</v>
      </c>
      <c r="M645" s="39" t="n">
        <f aca="false">I645*J645*(1-K645)</f>
        <v>3198.4</v>
      </c>
      <c r="N645" s="39" t="n">
        <f aca="false">I645*L645</f>
        <v>3120</v>
      </c>
      <c r="O645" s="39" t="n">
        <f aca="false">M645-N645</f>
        <v>78.4000000000001</v>
      </c>
      <c r="P645" s="41" t="n">
        <f aca="false">IF(M645=0,0,O645/M645)</f>
        <v>0.0245122561280641</v>
      </c>
      <c r="Q645" s="37" t="str">
        <f aca="false">IF(K645=0,"No discount",IF(K645&lt;=0.1,"1-10%",IF(K645&lt;=0.2,"11-20%",IF(K645&lt;=0.3,"21-30%","Above 30%"))))</f>
        <v>11-20%</v>
      </c>
      <c r="R645" s="39" t="n">
        <f aca="false">I645*J645*MAX(0,K645-DiscountCap)</f>
        <v>0</v>
      </c>
    </row>
    <row r="646" customFormat="false" ht="15" hidden="false" customHeight="false" outlineLevel="0" collapsed="false">
      <c r="A646" s="37" t="s">
        <v>790</v>
      </c>
      <c r="B646" s="38" t="n">
        <v>45908</v>
      </c>
      <c r="C646" s="37" t="n">
        <f aca="false">MONTH(B646)</f>
        <v>9</v>
      </c>
      <c r="D646" s="37" t="s">
        <v>136</v>
      </c>
      <c r="E646" s="37" t="s">
        <v>47</v>
      </c>
      <c r="F646" s="37" t="s">
        <v>97</v>
      </c>
      <c r="G646" s="37" t="s">
        <v>91</v>
      </c>
      <c r="H646" s="37" t="s">
        <v>117</v>
      </c>
      <c r="I646" s="37" t="n">
        <v>1</v>
      </c>
      <c r="J646" s="39" t="n">
        <v>1499</v>
      </c>
      <c r="K646" s="40" t="n">
        <v>0</v>
      </c>
      <c r="L646" s="39" t="n">
        <f aca="false">VLOOKUP(H646,'Product List'!$A$3:$D$18,4,FALSE())</f>
        <v>780</v>
      </c>
      <c r="M646" s="39" t="n">
        <f aca="false">I646*J646*(1-K646)</f>
        <v>1499</v>
      </c>
      <c r="N646" s="39" t="n">
        <f aca="false">I646*L646</f>
        <v>780</v>
      </c>
      <c r="O646" s="39" t="n">
        <f aca="false">M646-N646</f>
        <v>719</v>
      </c>
      <c r="P646" s="41" t="n">
        <f aca="false">IF(M646=0,0,O646/M646)</f>
        <v>0.479653102068045</v>
      </c>
      <c r="Q646" s="37" t="str">
        <f aca="false">IF(K646=0,"No discount",IF(K646&lt;=0.1,"1-10%",IF(K646&lt;=0.2,"11-20%",IF(K646&lt;=0.3,"21-30%","Above 30%"))))</f>
        <v>No discount</v>
      </c>
      <c r="R646" s="39" t="n">
        <f aca="false">I646*J646*MAX(0,K646-DiscountCap)</f>
        <v>0</v>
      </c>
    </row>
    <row r="647" customFormat="false" ht="15" hidden="false" customHeight="false" outlineLevel="0" collapsed="false">
      <c r="A647" s="37" t="s">
        <v>791</v>
      </c>
      <c r="B647" s="38" t="n">
        <v>45909</v>
      </c>
      <c r="C647" s="37" t="n">
        <f aca="false">MONTH(B647)</f>
        <v>9</v>
      </c>
      <c r="D647" s="37" t="s">
        <v>166</v>
      </c>
      <c r="E647" s="37" t="s">
        <v>44</v>
      </c>
      <c r="F647" s="37" t="s">
        <v>96</v>
      </c>
      <c r="G647" s="37" t="s">
        <v>91</v>
      </c>
      <c r="H647" s="37" t="s">
        <v>119</v>
      </c>
      <c r="I647" s="37" t="n">
        <v>1</v>
      </c>
      <c r="J647" s="39" t="n">
        <v>1099</v>
      </c>
      <c r="K647" s="40" t="n">
        <v>0.2</v>
      </c>
      <c r="L647" s="39" t="n">
        <f aca="false">VLOOKUP(H647,'Product List'!$A$3:$D$18,4,FALSE())</f>
        <v>560</v>
      </c>
      <c r="M647" s="39" t="n">
        <f aca="false">I647*J647*(1-K647)</f>
        <v>879.2</v>
      </c>
      <c r="N647" s="39" t="n">
        <f aca="false">I647*L647</f>
        <v>560</v>
      </c>
      <c r="O647" s="39" t="n">
        <f aca="false">M647-N647</f>
        <v>319.2</v>
      </c>
      <c r="P647" s="41" t="n">
        <f aca="false">IF(M647=0,0,O647/M647)</f>
        <v>0.363057324840764</v>
      </c>
      <c r="Q647" s="37" t="str">
        <f aca="false">IF(K647=0,"No discount",IF(K647&lt;=0.1,"1-10%",IF(K647&lt;=0.2,"11-20%",IF(K647&lt;=0.3,"21-30%","Above 30%"))))</f>
        <v>11-20%</v>
      </c>
      <c r="R647" s="39" t="n">
        <f aca="false">I647*J647*MAX(0,K647-DiscountCap)</f>
        <v>0</v>
      </c>
    </row>
    <row r="648" customFormat="false" ht="15" hidden="false" customHeight="false" outlineLevel="0" collapsed="false">
      <c r="A648" s="37" t="s">
        <v>792</v>
      </c>
      <c r="B648" s="38" t="n">
        <v>45927</v>
      </c>
      <c r="C648" s="37" t="n">
        <f aca="false">MONTH(B648)</f>
        <v>9</v>
      </c>
      <c r="D648" s="37" t="s">
        <v>144</v>
      </c>
      <c r="E648" s="37" t="s">
        <v>45</v>
      </c>
      <c r="F648" s="37" t="s">
        <v>97</v>
      </c>
      <c r="G648" s="37" t="s">
        <v>90</v>
      </c>
      <c r="H648" s="37" t="s">
        <v>108</v>
      </c>
      <c r="I648" s="37" t="n">
        <v>1</v>
      </c>
      <c r="J648" s="39" t="n">
        <v>1999</v>
      </c>
      <c r="K648" s="40" t="n">
        <v>0</v>
      </c>
      <c r="L648" s="39" t="n">
        <f aca="false">VLOOKUP(H648,'Product List'!$A$3:$D$18,4,FALSE())</f>
        <v>1560</v>
      </c>
      <c r="M648" s="39" t="n">
        <f aca="false">I648*J648*(1-K648)</f>
        <v>1999</v>
      </c>
      <c r="N648" s="39" t="n">
        <f aca="false">I648*L648</f>
        <v>1560</v>
      </c>
      <c r="O648" s="39" t="n">
        <f aca="false">M648-N648</f>
        <v>439</v>
      </c>
      <c r="P648" s="41" t="n">
        <f aca="false">IF(M648=0,0,O648/M648)</f>
        <v>0.219609804902451</v>
      </c>
      <c r="Q648" s="37" t="str">
        <f aca="false">IF(K648=0,"No discount",IF(K648&lt;=0.1,"1-10%",IF(K648&lt;=0.2,"11-20%",IF(K648&lt;=0.3,"21-30%","Above 30%"))))</f>
        <v>No discount</v>
      </c>
      <c r="R648" s="39" t="n">
        <f aca="false">I648*J648*MAX(0,K648-DiscountCap)</f>
        <v>0</v>
      </c>
    </row>
    <row r="649" customFormat="false" ht="15" hidden="false" customHeight="false" outlineLevel="0" collapsed="false">
      <c r="A649" s="37" t="s">
        <v>793</v>
      </c>
      <c r="B649" s="38" t="n">
        <v>45926</v>
      </c>
      <c r="C649" s="37" t="n">
        <f aca="false">MONTH(B649)</f>
        <v>9</v>
      </c>
      <c r="D649" s="37" t="s">
        <v>134</v>
      </c>
      <c r="E649" s="37" t="s">
        <v>45</v>
      </c>
      <c r="F649" s="37" t="s">
        <v>96</v>
      </c>
      <c r="G649" s="37" t="s">
        <v>91</v>
      </c>
      <c r="H649" s="37" t="s">
        <v>119</v>
      </c>
      <c r="I649" s="37" t="n">
        <v>2</v>
      </c>
      <c r="J649" s="39" t="n">
        <v>1099</v>
      </c>
      <c r="K649" s="40" t="n">
        <v>0.2</v>
      </c>
      <c r="L649" s="39" t="n">
        <f aca="false">VLOOKUP(H649,'Product List'!$A$3:$D$18,4,FALSE())</f>
        <v>560</v>
      </c>
      <c r="M649" s="39" t="n">
        <f aca="false">I649*J649*(1-K649)</f>
        <v>1758.4</v>
      </c>
      <c r="N649" s="39" t="n">
        <f aca="false">I649*L649</f>
        <v>1120</v>
      </c>
      <c r="O649" s="39" t="n">
        <f aca="false">M649-N649</f>
        <v>638.4</v>
      </c>
      <c r="P649" s="41" t="n">
        <f aca="false">IF(M649=0,0,O649/M649)</f>
        <v>0.363057324840764</v>
      </c>
      <c r="Q649" s="37" t="str">
        <f aca="false">IF(K649=0,"No discount",IF(K649&lt;=0.1,"1-10%",IF(K649&lt;=0.2,"11-20%",IF(K649&lt;=0.3,"21-30%","Above 30%"))))</f>
        <v>11-20%</v>
      </c>
      <c r="R649" s="39" t="n">
        <f aca="false">I649*J649*MAX(0,K649-DiscountCap)</f>
        <v>0</v>
      </c>
    </row>
    <row r="650" customFormat="false" ht="15" hidden="false" customHeight="false" outlineLevel="0" collapsed="false">
      <c r="A650" s="37" t="s">
        <v>794</v>
      </c>
      <c r="B650" s="38" t="n">
        <v>45914</v>
      </c>
      <c r="C650" s="37" t="n">
        <f aca="false">MONTH(B650)</f>
        <v>9</v>
      </c>
      <c r="D650" s="37" t="s">
        <v>172</v>
      </c>
      <c r="E650" s="37" t="s">
        <v>46</v>
      </c>
      <c r="F650" s="37" t="s">
        <v>97</v>
      </c>
      <c r="G650" s="37" t="s">
        <v>93</v>
      </c>
      <c r="H650" s="37" t="s">
        <v>120</v>
      </c>
      <c r="I650" s="37" t="n">
        <v>2</v>
      </c>
      <c r="J650" s="39" t="n">
        <v>449</v>
      </c>
      <c r="K650" s="40" t="n">
        <v>0</v>
      </c>
      <c r="L650" s="39" t="n">
        <f aca="false">VLOOKUP(H650,'Product List'!$A$3:$D$18,4,FALSE())</f>
        <v>240</v>
      </c>
      <c r="M650" s="39" t="n">
        <f aca="false">I650*J650*(1-K650)</f>
        <v>898</v>
      </c>
      <c r="N650" s="39" t="n">
        <f aca="false">I650*L650</f>
        <v>480</v>
      </c>
      <c r="O650" s="39" t="n">
        <f aca="false">M650-N650</f>
        <v>418</v>
      </c>
      <c r="P650" s="41" t="n">
        <f aca="false">IF(M650=0,0,O650/M650)</f>
        <v>0.465478841870824</v>
      </c>
      <c r="Q650" s="37" t="str">
        <f aca="false">IF(K650=0,"No discount",IF(K650&lt;=0.1,"1-10%",IF(K650&lt;=0.2,"11-20%",IF(K650&lt;=0.3,"21-30%","Above 30%"))))</f>
        <v>No discount</v>
      </c>
      <c r="R650" s="39" t="n">
        <f aca="false">I650*J650*MAX(0,K650-DiscountCap)</f>
        <v>0</v>
      </c>
    </row>
    <row r="651" customFormat="false" ht="15" hidden="false" customHeight="false" outlineLevel="0" collapsed="false">
      <c r="A651" s="37" t="s">
        <v>795</v>
      </c>
      <c r="B651" s="38" t="n">
        <v>45927</v>
      </c>
      <c r="C651" s="37" t="n">
        <f aca="false">MONTH(B651)</f>
        <v>9</v>
      </c>
      <c r="D651" s="37" t="s">
        <v>166</v>
      </c>
      <c r="E651" s="37" t="s">
        <v>44</v>
      </c>
      <c r="F651" s="37" t="s">
        <v>96</v>
      </c>
      <c r="G651" s="37" t="s">
        <v>92</v>
      </c>
      <c r="H651" s="37" t="s">
        <v>112</v>
      </c>
      <c r="I651" s="37" t="n">
        <v>5</v>
      </c>
      <c r="J651" s="39" t="n">
        <v>3299</v>
      </c>
      <c r="K651" s="40" t="n">
        <v>0.1</v>
      </c>
      <c r="L651" s="39" t="n">
        <f aca="false">VLOOKUP(H651,'Product List'!$A$3:$D$18,4,FALSE())</f>
        <v>2250</v>
      </c>
      <c r="M651" s="39" t="n">
        <f aca="false">I651*J651*(1-K651)</f>
        <v>14845.5</v>
      </c>
      <c r="N651" s="39" t="n">
        <f aca="false">I651*L651</f>
        <v>11250</v>
      </c>
      <c r="O651" s="39" t="n">
        <f aca="false">M651-N651</f>
        <v>3595.5</v>
      </c>
      <c r="P651" s="41" t="n">
        <f aca="false">IF(M651=0,0,O651/M651)</f>
        <v>0.242194604425584</v>
      </c>
      <c r="Q651" s="37" t="str">
        <f aca="false">IF(K651=0,"No discount",IF(K651&lt;=0.1,"1-10%",IF(K651&lt;=0.2,"11-20%",IF(K651&lt;=0.3,"21-30%","Above 30%"))))</f>
        <v>1-10%</v>
      </c>
      <c r="R651" s="39" t="n">
        <f aca="false">I651*J651*MAX(0,K651-DiscountCap)</f>
        <v>0</v>
      </c>
    </row>
    <row r="652" customFormat="false" ht="15" hidden="false" customHeight="false" outlineLevel="0" collapsed="false">
      <c r="A652" s="37" t="s">
        <v>796</v>
      </c>
      <c r="B652" s="38" t="n">
        <v>45905</v>
      </c>
      <c r="C652" s="37" t="n">
        <f aca="false">MONTH(B652)</f>
        <v>9</v>
      </c>
      <c r="D652" s="37" t="s">
        <v>144</v>
      </c>
      <c r="E652" s="37" t="s">
        <v>45</v>
      </c>
      <c r="F652" s="37" t="s">
        <v>96</v>
      </c>
      <c r="G652" s="37" t="s">
        <v>93</v>
      </c>
      <c r="H652" s="37" t="s">
        <v>120</v>
      </c>
      <c r="I652" s="37" t="n">
        <v>2</v>
      </c>
      <c r="J652" s="39" t="n">
        <v>449</v>
      </c>
      <c r="K652" s="40" t="n">
        <v>0.05</v>
      </c>
      <c r="L652" s="39" t="n">
        <f aca="false">VLOOKUP(H652,'Product List'!$A$3:$D$18,4,FALSE())</f>
        <v>240</v>
      </c>
      <c r="M652" s="39" t="n">
        <f aca="false">I652*J652*(1-K652)</f>
        <v>853.1</v>
      </c>
      <c r="N652" s="39" t="n">
        <f aca="false">I652*L652</f>
        <v>480</v>
      </c>
      <c r="O652" s="39" t="n">
        <f aca="false">M652-N652</f>
        <v>373.1</v>
      </c>
      <c r="P652" s="41" t="n">
        <f aca="false">IF(M652=0,0,O652/M652)</f>
        <v>0.43734614933771</v>
      </c>
      <c r="Q652" s="37" t="str">
        <f aca="false">IF(K652=0,"No discount",IF(K652&lt;=0.1,"1-10%",IF(K652&lt;=0.2,"11-20%",IF(K652&lt;=0.3,"21-30%","Above 30%"))))</f>
        <v>1-10%</v>
      </c>
      <c r="R652" s="39" t="n">
        <f aca="false">I652*J652*MAX(0,K652-DiscountCap)</f>
        <v>0</v>
      </c>
    </row>
    <row r="653" customFormat="false" ht="15" hidden="false" customHeight="false" outlineLevel="0" collapsed="false">
      <c r="A653" s="37" t="s">
        <v>797</v>
      </c>
      <c r="B653" s="38" t="n">
        <v>45904</v>
      </c>
      <c r="C653" s="37" t="n">
        <f aca="false">MONTH(B653)</f>
        <v>9</v>
      </c>
      <c r="D653" s="37" t="s">
        <v>169</v>
      </c>
      <c r="E653" s="37" t="s">
        <v>44</v>
      </c>
      <c r="F653" s="37" t="s">
        <v>96</v>
      </c>
      <c r="G653" s="37" t="s">
        <v>90</v>
      </c>
      <c r="H653" s="37" t="s">
        <v>111</v>
      </c>
      <c r="I653" s="37" t="n">
        <v>1</v>
      </c>
      <c r="J653" s="39" t="n">
        <v>2499</v>
      </c>
      <c r="K653" s="40" t="n">
        <v>0.25</v>
      </c>
      <c r="L653" s="39" t="n">
        <f aca="false">VLOOKUP(H653,'Product List'!$A$3:$D$18,4,FALSE())</f>
        <v>1950</v>
      </c>
      <c r="M653" s="39" t="n">
        <f aca="false">I653*J653*(1-K653)</f>
        <v>1874.25</v>
      </c>
      <c r="N653" s="39" t="n">
        <f aca="false">I653*L653</f>
        <v>1950</v>
      </c>
      <c r="O653" s="39" t="n">
        <f aca="false">M653-N653</f>
        <v>-75.75</v>
      </c>
      <c r="P653" s="41" t="n">
        <f aca="false">IF(M653=0,0,O653/M653)</f>
        <v>-0.0404161664665866</v>
      </c>
      <c r="Q653" s="37" t="str">
        <f aca="false">IF(K653=0,"No discount",IF(K653&lt;=0.1,"1-10%",IF(K653&lt;=0.2,"11-20%",IF(K653&lt;=0.3,"21-30%","Above 30%"))))</f>
        <v>21-30%</v>
      </c>
      <c r="R653" s="39" t="n">
        <f aca="false">I653*J653*MAX(0,K653-DiscountCap)</f>
        <v>124.95</v>
      </c>
    </row>
    <row r="654" customFormat="false" ht="15" hidden="false" customHeight="false" outlineLevel="0" collapsed="false">
      <c r="A654" s="37" t="s">
        <v>798</v>
      </c>
      <c r="B654" s="38" t="n">
        <v>45908</v>
      </c>
      <c r="C654" s="37" t="n">
        <f aca="false">MONTH(B654)</f>
        <v>9</v>
      </c>
      <c r="D654" s="37" t="s">
        <v>144</v>
      </c>
      <c r="E654" s="37" t="s">
        <v>45</v>
      </c>
      <c r="F654" s="37" t="s">
        <v>96</v>
      </c>
      <c r="G654" s="37" t="s">
        <v>93</v>
      </c>
      <c r="H654" s="37" t="s">
        <v>121</v>
      </c>
      <c r="I654" s="37" t="n">
        <v>1</v>
      </c>
      <c r="J654" s="39" t="n">
        <v>999</v>
      </c>
      <c r="K654" s="40" t="n">
        <v>0</v>
      </c>
      <c r="L654" s="39" t="n">
        <f aca="false">VLOOKUP(H654,'Product List'!$A$3:$D$18,4,FALSE())</f>
        <v>500</v>
      </c>
      <c r="M654" s="39" t="n">
        <f aca="false">I654*J654*(1-K654)</f>
        <v>999</v>
      </c>
      <c r="N654" s="39" t="n">
        <f aca="false">I654*L654</f>
        <v>500</v>
      </c>
      <c r="O654" s="39" t="n">
        <f aca="false">M654-N654</f>
        <v>499</v>
      </c>
      <c r="P654" s="41" t="n">
        <f aca="false">IF(M654=0,0,O654/M654)</f>
        <v>0.4994994994995</v>
      </c>
      <c r="Q654" s="37" t="str">
        <f aca="false">IF(K654=0,"No discount",IF(K654&lt;=0.1,"1-10%",IF(K654&lt;=0.2,"11-20%",IF(K654&lt;=0.3,"21-30%","Above 30%"))))</f>
        <v>No discount</v>
      </c>
      <c r="R654" s="39" t="n">
        <f aca="false">I654*J654*MAX(0,K654-DiscountCap)</f>
        <v>0</v>
      </c>
    </row>
    <row r="655" customFormat="false" ht="15" hidden="false" customHeight="false" outlineLevel="0" collapsed="false">
      <c r="A655" s="37" t="s">
        <v>799</v>
      </c>
      <c r="B655" s="38" t="n">
        <v>45928</v>
      </c>
      <c r="C655" s="37" t="n">
        <f aca="false">MONTH(B655)</f>
        <v>9</v>
      </c>
      <c r="D655" s="37" t="s">
        <v>160</v>
      </c>
      <c r="E655" s="37" t="s">
        <v>46</v>
      </c>
      <c r="F655" s="37" t="s">
        <v>96</v>
      </c>
      <c r="G655" s="37" t="s">
        <v>90</v>
      </c>
      <c r="H655" s="37" t="s">
        <v>110</v>
      </c>
      <c r="I655" s="37" t="n">
        <v>3</v>
      </c>
      <c r="J655" s="39" t="n">
        <v>1299</v>
      </c>
      <c r="K655" s="40" t="n">
        <v>0.1</v>
      </c>
      <c r="L655" s="39" t="n">
        <f aca="false">VLOOKUP(H655,'Product List'!$A$3:$D$18,4,FALSE())</f>
        <v>1000</v>
      </c>
      <c r="M655" s="39" t="n">
        <f aca="false">I655*J655*(1-K655)</f>
        <v>3507.3</v>
      </c>
      <c r="N655" s="39" t="n">
        <f aca="false">I655*L655</f>
        <v>3000</v>
      </c>
      <c r="O655" s="39" t="n">
        <f aca="false">M655-N655</f>
        <v>507.3</v>
      </c>
      <c r="P655" s="41" t="n">
        <f aca="false">IF(M655=0,0,O655/M655)</f>
        <v>0.144641176973741</v>
      </c>
      <c r="Q655" s="37" t="str">
        <f aca="false">IF(K655=0,"No discount",IF(K655&lt;=0.1,"1-10%",IF(K655&lt;=0.2,"11-20%",IF(K655&lt;=0.3,"21-30%","Above 30%"))))</f>
        <v>1-10%</v>
      </c>
      <c r="R655" s="39" t="n">
        <f aca="false">I655*J655*MAX(0,K655-DiscountCap)</f>
        <v>0</v>
      </c>
    </row>
    <row r="656" customFormat="false" ht="15" hidden="false" customHeight="false" outlineLevel="0" collapsed="false">
      <c r="A656" s="37" t="s">
        <v>800</v>
      </c>
      <c r="B656" s="38" t="n">
        <v>45923</v>
      </c>
      <c r="C656" s="37" t="n">
        <f aca="false">MONTH(B656)</f>
        <v>9</v>
      </c>
      <c r="D656" s="37" t="s">
        <v>182</v>
      </c>
      <c r="E656" s="37" t="s">
        <v>45</v>
      </c>
      <c r="F656" s="37" t="s">
        <v>96</v>
      </c>
      <c r="G656" s="37" t="s">
        <v>90</v>
      </c>
      <c r="H656" s="37" t="s">
        <v>109</v>
      </c>
      <c r="I656" s="37" t="n">
        <v>1</v>
      </c>
      <c r="J656" s="39" t="n">
        <v>3499</v>
      </c>
      <c r="K656" s="40" t="n">
        <v>0.2</v>
      </c>
      <c r="L656" s="39" t="n">
        <f aca="false">VLOOKUP(H656,'Product List'!$A$3:$D$18,4,FALSE())</f>
        <v>2750</v>
      </c>
      <c r="M656" s="39" t="n">
        <f aca="false">I656*J656*(1-K656)</f>
        <v>2799.2</v>
      </c>
      <c r="N656" s="39" t="n">
        <f aca="false">I656*L656</f>
        <v>2750</v>
      </c>
      <c r="O656" s="39" t="n">
        <f aca="false">M656-N656</f>
        <v>49.2000000000003</v>
      </c>
      <c r="P656" s="41" t="n">
        <f aca="false">IF(M656=0,0,O656/M656)</f>
        <v>0.0175764504144042</v>
      </c>
      <c r="Q656" s="37" t="str">
        <f aca="false">IF(K656=0,"No discount",IF(K656&lt;=0.1,"1-10%",IF(K656&lt;=0.2,"11-20%",IF(K656&lt;=0.3,"21-30%","Above 30%"))))</f>
        <v>11-20%</v>
      </c>
      <c r="R656" s="39" t="n">
        <f aca="false">I656*J656*MAX(0,K656-DiscountCap)</f>
        <v>0</v>
      </c>
    </row>
    <row r="657" customFormat="false" ht="15" hidden="false" customHeight="false" outlineLevel="0" collapsed="false">
      <c r="A657" s="37" t="s">
        <v>801</v>
      </c>
      <c r="B657" s="38" t="n">
        <v>45957</v>
      </c>
      <c r="C657" s="37" t="n">
        <f aca="false">MONTH(B657)</f>
        <v>10</v>
      </c>
      <c r="D657" s="37" t="s">
        <v>154</v>
      </c>
      <c r="E657" s="37" t="s">
        <v>47</v>
      </c>
      <c r="F657" s="37" t="s">
        <v>97</v>
      </c>
      <c r="G657" s="37" t="s">
        <v>92</v>
      </c>
      <c r="H657" s="37" t="s">
        <v>112</v>
      </c>
      <c r="I657" s="37" t="n">
        <v>2</v>
      </c>
      <c r="J657" s="39" t="n">
        <v>3299</v>
      </c>
      <c r="K657" s="40" t="n">
        <v>0</v>
      </c>
      <c r="L657" s="39" t="n">
        <f aca="false">VLOOKUP(H657,'Product List'!$A$3:$D$18,4,FALSE())</f>
        <v>2250</v>
      </c>
      <c r="M657" s="39" t="n">
        <f aca="false">I657*J657*(1-K657)</f>
        <v>6598</v>
      </c>
      <c r="N657" s="39" t="n">
        <f aca="false">I657*L657</f>
        <v>4500</v>
      </c>
      <c r="O657" s="39" t="n">
        <f aca="false">M657-N657</f>
        <v>2098</v>
      </c>
      <c r="P657" s="41" t="n">
        <f aca="false">IF(M657=0,0,O657/M657)</f>
        <v>0.317975143983025</v>
      </c>
      <c r="Q657" s="37" t="str">
        <f aca="false">IF(K657=0,"No discount",IF(K657&lt;=0.1,"1-10%",IF(K657&lt;=0.2,"11-20%",IF(K657&lt;=0.3,"21-30%","Above 30%"))))</f>
        <v>No discount</v>
      </c>
      <c r="R657" s="39" t="n">
        <f aca="false">I657*J657*MAX(0,K657-DiscountCap)</f>
        <v>0</v>
      </c>
    </row>
    <row r="658" customFormat="false" ht="15" hidden="false" customHeight="false" outlineLevel="0" collapsed="false">
      <c r="A658" s="37" t="s">
        <v>802</v>
      </c>
      <c r="B658" s="38" t="n">
        <v>45931</v>
      </c>
      <c r="C658" s="37" t="n">
        <f aca="false">MONTH(B658)</f>
        <v>10</v>
      </c>
      <c r="D658" s="37" t="s">
        <v>154</v>
      </c>
      <c r="E658" s="37" t="s">
        <v>47</v>
      </c>
      <c r="F658" s="37" t="s">
        <v>96</v>
      </c>
      <c r="G658" s="37" t="s">
        <v>93</v>
      </c>
      <c r="H658" s="37" t="s">
        <v>123</v>
      </c>
      <c r="I658" s="37" t="n">
        <v>2</v>
      </c>
      <c r="J658" s="39" t="n">
        <v>1299</v>
      </c>
      <c r="K658" s="40" t="n">
        <v>0.4</v>
      </c>
      <c r="L658" s="39" t="n">
        <f aca="false">VLOOKUP(H658,'Product List'!$A$3:$D$18,4,FALSE())</f>
        <v>700</v>
      </c>
      <c r="M658" s="39" t="n">
        <f aca="false">I658*J658*(1-K658)</f>
        <v>1558.8</v>
      </c>
      <c r="N658" s="39" t="n">
        <f aca="false">I658*L658</f>
        <v>1400</v>
      </c>
      <c r="O658" s="39" t="n">
        <f aca="false">M658-N658</f>
        <v>158.8</v>
      </c>
      <c r="P658" s="41" t="n">
        <f aca="false">IF(M658=0,0,O658/M658)</f>
        <v>0.101873235822427</v>
      </c>
      <c r="Q658" s="37" t="str">
        <f aca="false">IF(K658=0,"No discount",IF(K658&lt;=0.1,"1-10%",IF(K658&lt;=0.2,"11-20%",IF(K658&lt;=0.3,"21-30%","Above 30%"))))</f>
        <v>Above 30%</v>
      </c>
      <c r="R658" s="39" t="n">
        <f aca="false">I658*J658*MAX(0,K658-DiscountCap)</f>
        <v>519.6</v>
      </c>
    </row>
    <row r="659" customFormat="false" ht="15" hidden="false" customHeight="false" outlineLevel="0" collapsed="false">
      <c r="A659" s="37" t="s">
        <v>803</v>
      </c>
      <c r="B659" s="38" t="n">
        <v>45960</v>
      </c>
      <c r="C659" s="37" t="n">
        <f aca="false">MONTH(B659)</f>
        <v>10</v>
      </c>
      <c r="D659" s="37" t="s">
        <v>154</v>
      </c>
      <c r="E659" s="37" t="s">
        <v>47</v>
      </c>
      <c r="F659" s="37" t="s">
        <v>96</v>
      </c>
      <c r="G659" s="37" t="s">
        <v>91</v>
      </c>
      <c r="H659" s="37" t="s">
        <v>119</v>
      </c>
      <c r="I659" s="37" t="n">
        <v>2</v>
      </c>
      <c r="J659" s="39" t="n">
        <v>1099</v>
      </c>
      <c r="K659" s="40" t="n">
        <v>0.4</v>
      </c>
      <c r="L659" s="39" t="n">
        <f aca="false">VLOOKUP(H659,'Product List'!$A$3:$D$18,4,FALSE())</f>
        <v>560</v>
      </c>
      <c r="M659" s="39" t="n">
        <f aca="false">I659*J659*(1-K659)</f>
        <v>1318.8</v>
      </c>
      <c r="N659" s="39" t="n">
        <f aca="false">I659*L659</f>
        <v>1120</v>
      </c>
      <c r="O659" s="39" t="n">
        <f aca="false">M659-N659</f>
        <v>198.8</v>
      </c>
      <c r="P659" s="41" t="n">
        <f aca="false">IF(M659=0,0,O659/M659)</f>
        <v>0.150743099787686</v>
      </c>
      <c r="Q659" s="37" t="str">
        <f aca="false">IF(K659=0,"No discount",IF(K659&lt;=0.1,"1-10%",IF(K659&lt;=0.2,"11-20%",IF(K659&lt;=0.3,"21-30%","Above 30%"))))</f>
        <v>Above 30%</v>
      </c>
      <c r="R659" s="39" t="n">
        <f aca="false">I659*J659*MAX(0,K659-DiscountCap)</f>
        <v>439.6</v>
      </c>
    </row>
    <row r="660" customFormat="false" ht="15" hidden="false" customHeight="false" outlineLevel="0" collapsed="false">
      <c r="A660" s="37" t="s">
        <v>804</v>
      </c>
      <c r="B660" s="38" t="n">
        <v>45957</v>
      </c>
      <c r="C660" s="37" t="n">
        <f aca="false">MONTH(B660)</f>
        <v>10</v>
      </c>
      <c r="D660" s="37" t="s">
        <v>146</v>
      </c>
      <c r="E660" s="37" t="s">
        <v>45</v>
      </c>
      <c r="F660" s="37" t="s">
        <v>96</v>
      </c>
      <c r="G660" s="37" t="s">
        <v>92</v>
      </c>
      <c r="H660" s="37" t="s">
        <v>114</v>
      </c>
      <c r="I660" s="37" t="n">
        <v>1</v>
      </c>
      <c r="J660" s="39" t="n">
        <v>1199</v>
      </c>
      <c r="K660" s="40" t="n">
        <v>0.1</v>
      </c>
      <c r="L660" s="39" t="n">
        <f aca="false">VLOOKUP(H660,'Product List'!$A$3:$D$18,4,FALSE())</f>
        <v>780</v>
      </c>
      <c r="M660" s="39" t="n">
        <f aca="false">I660*J660*(1-K660)</f>
        <v>1079.1</v>
      </c>
      <c r="N660" s="39" t="n">
        <f aca="false">I660*L660</f>
        <v>780</v>
      </c>
      <c r="O660" s="39" t="n">
        <f aca="false">M660-N660</f>
        <v>299.1</v>
      </c>
      <c r="P660" s="41" t="n">
        <f aca="false">IF(M660=0,0,O660/M660)</f>
        <v>0.277175423964415</v>
      </c>
      <c r="Q660" s="37" t="str">
        <f aca="false">IF(K660=0,"No discount",IF(K660&lt;=0.1,"1-10%",IF(K660&lt;=0.2,"11-20%",IF(K660&lt;=0.3,"21-30%","Above 30%"))))</f>
        <v>1-10%</v>
      </c>
      <c r="R660" s="39" t="n">
        <f aca="false">I660*J660*MAX(0,K660-DiscountCap)</f>
        <v>0</v>
      </c>
    </row>
    <row r="661" customFormat="false" ht="15" hidden="false" customHeight="false" outlineLevel="0" collapsed="false">
      <c r="A661" s="37" t="s">
        <v>805</v>
      </c>
      <c r="B661" s="38" t="n">
        <v>45958</v>
      </c>
      <c r="C661" s="37" t="n">
        <f aca="false">MONTH(B661)</f>
        <v>10</v>
      </c>
      <c r="D661" s="37" t="s">
        <v>166</v>
      </c>
      <c r="E661" s="37" t="s">
        <v>44</v>
      </c>
      <c r="F661" s="37" t="s">
        <v>96</v>
      </c>
      <c r="G661" s="37" t="s">
        <v>90</v>
      </c>
      <c r="H661" s="37" t="s">
        <v>110</v>
      </c>
      <c r="I661" s="37" t="n">
        <v>1</v>
      </c>
      <c r="J661" s="39" t="n">
        <v>1299</v>
      </c>
      <c r="K661" s="40" t="n">
        <v>0.4</v>
      </c>
      <c r="L661" s="39" t="n">
        <f aca="false">VLOOKUP(H661,'Product List'!$A$3:$D$18,4,FALSE())</f>
        <v>1000</v>
      </c>
      <c r="M661" s="39" t="n">
        <f aca="false">I661*J661*(1-K661)</f>
        <v>779.4</v>
      </c>
      <c r="N661" s="39" t="n">
        <f aca="false">I661*L661</f>
        <v>1000</v>
      </c>
      <c r="O661" s="39" t="n">
        <f aca="false">M661-N661</f>
        <v>-220.6</v>
      </c>
      <c r="P661" s="41" t="n">
        <f aca="false">IF(M661=0,0,O661/M661)</f>
        <v>-0.283038234539389</v>
      </c>
      <c r="Q661" s="37" t="str">
        <f aca="false">IF(K661=0,"No discount",IF(K661&lt;=0.1,"1-10%",IF(K661&lt;=0.2,"11-20%",IF(K661&lt;=0.3,"21-30%","Above 30%"))))</f>
        <v>Above 30%</v>
      </c>
      <c r="R661" s="39" t="n">
        <f aca="false">I661*J661*MAX(0,K661-DiscountCap)</f>
        <v>259.8</v>
      </c>
    </row>
    <row r="662" customFormat="false" ht="15" hidden="false" customHeight="false" outlineLevel="0" collapsed="false">
      <c r="A662" s="37" t="s">
        <v>806</v>
      </c>
      <c r="B662" s="38" t="n">
        <v>45955</v>
      </c>
      <c r="C662" s="37" t="n">
        <f aca="false">MONTH(B662)</f>
        <v>10</v>
      </c>
      <c r="D662" s="37" t="s">
        <v>134</v>
      </c>
      <c r="E662" s="37" t="s">
        <v>45</v>
      </c>
      <c r="F662" s="37" t="s">
        <v>97</v>
      </c>
      <c r="G662" s="37" t="s">
        <v>90</v>
      </c>
      <c r="H662" s="37" t="s">
        <v>111</v>
      </c>
      <c r="I662" s="37" t="n">
        <v>1</v>
      </c>
      <c r="J662" s="39" t="n">
        <v>2499</v>
      </c>
      <c r="K662" s="40" t="n">
        <v>0.25</v>
      </c>
      <c r="L662" s="39" t="n">
        <f aca="false">VLOOKUP(H662,'Product List'!$A$3:$D$18,4,FALSE())</f>
        <v>1950</v>
      </c>
      <c r="M662" s="39" t="n">
        <f aca="false">I662*J662*(1-K662)</f>
        <v>1874.25</v>
      </c>
      <c r="N662" s="39" t="n">
        <f aca="false">I662*L662</f>
        <v>1950</v>
      </c>
      <c r="O662" s="39" t="n">
        <f aca="false">M662-N662</f>
        <v>-75.75</v>
      </c>
      <c r="P662" s="41" t="n">
        <f aca="false">IF(M662=0,0,O662/M662)</f>
        <v>-0.0404161664665866</v>
      </c>
      <c r="Q662" s="37" t="str">
        <f aca="false">IF(K662=0,"No discount",IF(K662&lt;=0.1,"1-10%",IF(K662&lt;=0.2,"11-20%",IF(K662&lt;=0.3,"21-30%","Above 30%"))))</f>
        <v>21-30%</v>
      </c>
      <c r="R662" s="39" t="n">
        <f aca="false">I662*J662*MAX(0,K662-DiscountCap)</f>
        <v>124.95</v>
      </c>
    </row>
    <row r="663" customFormat="false" ht="15" hidden="false" customHeight="false" outlineLevel="0" collapsed="false">
      <c r="A663" s="37" t="s">
        <v>807</v>
      </c>
      <c r="B663" s="38" t="n">
        <v>45933</v>
      </c>
      <c r="C663" s="37" t="n">
        <f aca="false">MONTH(B663)</f>
        <v>10</v>
      </c>
      <c r="D663" s="37" t="s">
        <v>134</v>
      </c>
      <c r="E663" s="37" t="s">
        <v>45</v>
      </c>
      <c r="F663" s="37" t="s">
        <v>97</v>
      </c>
      <c r="G663" s="37" t="s">
        <v>92</v>
      </c>
      <c r="H663" s="37" t="s">
        <v>114</v>
      </c>
      <c r="I663" s="37" t="n">
        <v>2</v>
      </c>
      <c r="J663" s="39" t="n">
        <v>1199</v>
      </c>
      <c r="K663" s="40" t="n">
        <v>0.05</v>
      </c>
      <c r="L663" s="39" t="n">
        <f aca="false">VLOOKUP(H663,'Product List'!$A$3:$D$18,4,FALSE())</f>
        <v>780</v>
      </c>
      <c r="M663" s="39" t="n">
        <f aca="false">I663*J663*(1-K663)</f>
        <v>2278.1</v>
      </c>
      <c r="N663" s="39" t="n">
        <f aca="false">I663*L663</f>
        <v>1560</v>
      </c>
      <c r="O663" s="39" t="n">
        <f aca="false">M663-N663</f>
        <v>718.1</v>
      </c>
      <c r="P663" s="41" t="n">
        <f aca="false">IF(M663=0,0,O663/M663)</f>
        <v>0.31521882270313</v>
      </c>
      <c r="Q663" s="37" t="str">
        <f aca="false">IF(K663=0,"No discount",IF(K663&lt;=0.1,"1-10%",IF(K663&lt;=0.2,"11-20%",IF(K663&lt;=0.3,"21-30%","Above 30%"))))</f>
        <v>1-10%</v>
      </c>
      <c r="R663" s="39" t="n">
        <f aca="false">I663*J663*MAX(0,K663-DiscountCap)</f>
        <v>0</v>
      </c>
    </row>
    <row r="664" customFormat="false" ht="15" hidden="false" customHeight="false" outlineLevel="0" collapsed="false">
      <c r="A664" s="37" t="s">
        <v>808</v>
      </c>
      <c r="B664" s="38" t="n">
        <v>45947</v>
      </c>
      <c r="C664" s="37" t="n">
        <f aca="false">MONTH(B664)</f>
        <v>10</v>
      </c>
      <c r="D664" s="37" t="s">
        <v>169</v>
      </c>
      <c r="E664" s="37" t="s">
        <v>44</v>
      </c>
      <c r="F664" s="37" t="s">
        <v>97</v>
      </c>
      <c r="G664" s="37" t="s">
        <v>90</v>
      </c>
      <c r="H664" s="37" t="s">
        <v>108</v>
      </c>
      <c r="I664" s="37" t="n">
        <v>1</v>
      </c>
      <c r="J664" s="39" t="n">
        <v>1999</v>
      </c>
      <c r="K664" s="40" t="n">
        <v>0.25</v>
      </c>
      <c r="L664" s="39" t="n">
        <f aca="false">VLOOKUP(H664,'Product List'!$A$3:$D$18,4,FALSE())</f>
        <v>1560</v>
      </c>
      <c r="M664" s="39" t="n">
        <f aca="false">I664*J664*(1-K664)</f>
        <v>1499.25</v>
      </c>
      <c r="N664" s="39" t="n">
        <f aca="false">I664*L664</f>
        <v>1560</v>
      </c>
      <c r="O664" s="39" t="n">
        <f aca="false">M664-N664</f>
        <v>-60.75</v>
      </c>
      <c r="P664" s="41" t="n">
        <f aca="false">IF(M664=0,0,O664/M664)</f>
        <v>-0.040520260130065</v>
      </c>
      <c r="Q664" s="37" t="str">
        <f aca="false">IF(K664=0,"No discount",IF(K664&lt;=0.1,"1-10%",IF(K664&lt;=0.2,"11-20%",IF(K664&lt;=0.3,"21-30%","Above 30%"))))</f>
        <v>21-30%</v>
      </c>
      <c r="R664" s="39" t="n">
        <f aca="false">I664*J664*MAX(0,K664-DiscountCap)</f>
        <v>99.95</v>
      </c>
    </row>
    <row r="665" customFormat="false" ht="15" hidden="false" customHeight="false" outlineLevel="0" collapsed="false">
      <c r="A665" s="37" t="s">
        <v>809</v>
      </c>
      <c r="B665" s="38" t="n">
        <v>45932</v>
      </c>
      <c r="C665" s="37" t="n">
        <f aca="false">MONTH(B665)</f>
        <v>10</v>
      </c>
      <c r="D665" s="37" t="s">
        <v>136</v>
      </c>
      <c r="E665" s="37" t="s">
        <v>47</v>
      </c>
      <c r="F665" s="37" t="s">
        <v>96</v>
      </c>
      <c r="G665" s="37" t="s">
        <v>90</v>
      </c>
      <c r="H665" s="37" t="s">
        <v>110</v>
      </c>
      <c r="I665" s="37" t="n">
        <v>3</v>
      </c>
      <c r="J665" s="39" t="n">
        <v>1299</v>
      </c>
      <c r="K665" s="40" t="n">
        <v>0.25</v>
      </c>
      <c r="L665" s="39" t="n">
        <f aca="false">VLOOKUP(H665,'Product List'!$A$3:$D$18,4,FALSE())</f>
        <v>1000</v>
      </c>
      <c r="M665" s="39" t="n">
        <f aca="false">I665*J665*(1-K665)</f>
        <v>2922.75</v>
      </c>
      <c r="N665" s="39" t="n">
        <f aca="false">I665*L665</f>
        <v>3000</v>
      </c>
      <c r="O665" s="39" t="n">
        <f aca="false">M665-N665</f>
        <v>-77.25</v>
      </c>
      <c r="P665" s="41" t="n">
        <f aca="false">IF(M665=0,0,O665/M665)</f>
        <v>-0.0264305876315114</v>
      </c>
      <c r="Q665" s="37" t="str">
        <f aca="false">IF(K665=0,"No discount",IF(K665&lt;=0.1,"1-10%",IF(K665&lt;=0.2,"11-20%",IF(K665&lt;=0.3,"21-30%","Above 30%"))))</f>
        <v>21-30%</v>
      </c>
      <c r="R665" s="39" t="n">
        <f aca="false">I665*J665*MAX(0,K665-DiscountCap)</f>
        <v>194.85</v>
      </c>
    </row>
    <row r="666" customFormat="false" ht="15" hidden="false" customHeight="false" outlineLevel="0" collapsed="false">
      <c r="A666" s="37" t="s">
        <v>810</v>
      </c>
      <c r="B666" s="38" t="n">
        <v>45933</v>
      </c>
      <c r="C666" s="37" t="n">
        <f aca="false">MONTH(B666)</f>
        <v>10</v>
      </c>
      <c r="D666" s="37" t="s">
        <v>144</v>
      </c>
      <c r="E666" s="37" t="s">
        <v>45</v>
      </c>
      <c r="F666" s="37" t="s">
        <v>96</v>
      </c>
      <c r="G666" s="37" t="s">
        <v>92</v>
      </c>
      <c r="H666" s="37" t="s">
        <v>115</v>
      </c>
      <c r="I666" s="37" t="n">
        <v>1</v>
      </c>
      <c r="J666" s="39" t="n">
        <v>1799</v>
      </c>
      <c r="K666" s="40" t="n">
        <v>0.3</v>
      </c>
      <c r="L666" s="39" t="n">
        <f aca="false">VLOOKUP(H666,'Product List'!$A$3:$D$18,4,FALSE())</f>
        <v>1150</v>
      </c>
      <c r="M666" s="39" t="n">
        <f aca="false">I666*J666*(1-K666)</f>
        <v>1259.3</v>
      </c>
      <c r="N666" s="39" t="n">
        <f aca="false">I666*L666</f>
        <v>1150</v>
      </c>
      <c r="O666" s="39" t="n">
        <f aca="false">M666-N666</f>
        <v>109.3</v>
      </c>
      <c r="P666" s="41" t="n">
        <f aca="false">IF(M666=0,0,O666/M666)</f>
        <v>0.0867942507742396</v>
      </c>
      <c r="Q666" s="37" t="str">
        <f aca="false">IF(K666=0,"No discount",IF(K666&lt;=0.1,"1-10%",IF(K666&lt;=0.2,"11-20%",IF(K666&lt;=0.3,"21-30%","Above 30%"))))</f>
        <v>21-30%</v>
      </c>
      <c r="R666" s="39" t="n">
        <f aca="false">I666*J666*MAX(0,K666-DiscountCap)</f>
        <v>179.9</v>
      </c>
    </row>
    <row r="667" customFormat="false" ht="15" hidden="false" customHeight="false" outlineLevel="0" collapsed="false">
      <c r="A667" s="37" t="s">
        <v>811</v>
      </c>
      <c r="B667" s="38" t="n">
        <v>45953</v>
      </c>
      <c r="C667" s="37" t="n">
        <f aca="false">MONTH(B667)</f>
        <v>10</v>
      </c>
      <c r="D667" s="37" t="s">
        <v>142</v>
      </c>
      <c r="E667" s="37" t="s">
        <v>47</v>
      </c>
      <c r="F667" s="37" t="s">
        <v>96</v>
      </c>
      <c r="G667" s="37" t="s">
        <v>91</v>
      </c>
      <c r="H667" s="37" t="s">
        <v>119</v>
      </c>
      <c r="I667" s="37" t="n">
        <v>1</v>
      </c>
      <c r="J667" s="39" t="n">
        <v>1099</v>
      </c>
      <c r="K667" s="40" t="n">
        <v>0.25</v>
      </c>
      <c r="L667" s="39" t="n">
        <f aca="false">VLOOKUP(H667,'Product List'!$A$3:$D$18,4,FALSE())</f>
        <v>560</v>
      </c>
      <c r="M667" s="39" t="n">
        <f aca="false">I667*J667*(1-K667)</f>
        <v>824.25</v>
      </c>
      <c r="N667" s="39" t="n">
        <f aca="false">I667*L667</f>
        <v>560</v>
      </c>
      <c r="O667" s="39" t="n">
        <f aca="false">M667-N667</f>
        <v>264.25</v>
      </c>
      <c r="P667" s="41" t="n">
        <f aca="false">IF(M667=0,0,O667/M667)</f>
        <v>0.320594479830149</v>
      </c>
      <c r="Q667" s="37" t="str">
        <f aca="false">IF(K667=0,"No discount",IF(K667&lt;=0.1,"1-10%",IF(K667&lt;=0.2,"11-20%",IF(K667&lt;=0.3,"21-30%","Above 30%"))))</f>
        <v>21-30%</v>
      </c>
      <c r="R667" s="39" t="n">
        <f aca="false">I667*J667*MAX(0,K667-DiscountCap)</f>
        <v>54.95</v>
      </c>
    </row>
    <row r="668" customFormat="false" ht="15" hidden="false" customHeight="false" outlineLevel="0" collapsed="false">
      <c r="A668" s="37" t="s">
        <v>812</v>
      </c>
      <c r="B668" s="38" t="n">
        <v>45939</v>
      </c>
      <c r="C668" s="37" t="n">
        <f aca="false">MONTH(B668)</f>
        <v>10</v>
      </c>
      <c r="D668" s="37" t="s">
        <v>144</v>
      </c>
      <c r="E668" s="37" t="s">
        <v>45</v>
      </c>
      <c r="F668" s="37" t="s">
        <v>97</v>
      </c>
      <c r="G668" s="37" t="s">
        <v>91</v>
      </c>
      <c r="H668" s="37" t="s">
        <v>119</v>
      </c>
      <c r="I668" s="37" t="n">
        <v>1</v>
      </c>
      <c r="J668" s="39" t="n">
        <v>1099</v>
      </c>
      <c r="K668" s="40" t="n">
        <v>0</v>
      </c>
      <c r="L668" s="39" t="n">
        <f aca="false">VLOOKUP(H668,'Product List'!$A$3:$D$18,4,FALSE())</f>
        <v>560</v>
      </c>
      <c r="M668" s="39" t="n">
        <f aca="false">I668*J668*(1-K668)</f>
        <v>1099</v>
      </c>
      <c r="N668" s="39" t="n">
        <f aca="false">I668*L668</f>
        <v>560</v>
      </c>
      <c r="O668" s="39" t="n">
        <f aca="false">M668-N668</f>
        <v>539</v>
      </c>
      <c r="P668" s="41" t="n">
        <f aca="false">IF(M668=0,0,O668/M668)</f>
        <v>0.490445859872611</v>
      </c>
      <c r="Q668" s="37" t="str">
        <f aca="false">IF(K668=0,"No discount",IF(K668&lt;=0.1,"1-10%",IF(K668&lt;=0.2,"11-20%",IF(K668&lt;=0.3,"21-30%","Above 30%"))))</f>
        <v>No discount</v>
      </c>
      <c r="R668" s="39" t="n">
        <f aca="false">I668*J668*MAX(0,K668-DiscountCap)</f>
        <v>0</v>
      </c>
    </row>
    <row r="669" customFormat="false" ht="15" hidden="false" customHeight="false" outlineLevel="0" collapsed="false">
      <c r="A669" s="37" t="s">
        <v>813</v>
      </c>
      <c r="B669" s="38" t="n">
        <v>45939</v>
      </c>
      <c r="C669" s="37" t="n">
        <f aca="false">MONTH(B669)</f>
        <v>10</v>
      </c>
      <c r="D669" s="37" t="s">
        <v>140</v>
      </c>
      <c r="E669" s="37" t="s">
        <v>44</v>
      </c>
      <c r="F669" s="37" t="s">
        <v>96</v>
      </c>
      <c r="G669" s="37" t="s">
        <v>90</v>
      </c>
      <c r="H669" s="37" t="s">
        <v>110</v>
      </c>
      <c r="I669" s="37" t="n">
        <v>2</v>
      </c>
      <c r="J669" s="39" t="n">
        <v>1299</v>
      </c>
      <c r="K669" s="40" t="n">
        <v>0.3</v>
      </c>
      <c r="L669" s="39" t="n">
        <f aca="false">VLOOKUP(H669,'Product List'!$A$3:$D$18,4,FALSE())</f>
        <v>1000</v>
      </c>
      <c r="M669" s="39" t="n">
        <f aca="false">I669*J669*(1-K669)</f>
        <v>1818.6</v>
      </c>
      <c r="N669" s="39" t="n">
        <f aca="false">I669*L669</f>
        <v>2000</v>
      </c>
      <c r="O669" s="39" t="n">
        <f aca="false">M669-N669</f>
        <v>-181.4</v>
      </c>
      <c r="P669" s="41" t="n">
        <f aca="false">IF(M669=0,0,O669/M669)</f>
        <v>-0.0997470581766194</v>
      </c>
      <c r="Q669" s="37" t="str">
        <f aca="false">IF(K669=0,"No discount",IF(K669&lt;=0.1,"1-10%",IF(K669&lt;=0.2,"11-20%",IF(K669&lt;=0.3,"21-30%","Above 30%"))))</f>
        <v>21-30%</v>
      </c>
      <c r="R669" s="39" t="n">
        <f aca="false">I669*J669*MAX(0,K669-DiscountCap)</f>
        <v>259.8</v>
      </c>
    </row>
    <row r="670" customFormat="false" ht="15" hidden="false" customHeight="false" outlineLevel="0" collapsed="false">
      <c r="A670" s="37" t="s">
        <v>814</v>
      </c>
      <c r="B670" s="38" t="n">
        <v>45941</v>
      </c>
      <c r="C670" s="37" t="n">
        <f aca="false">MONTH(B670)</f>
        <v>10</v>
      </c>
      <c r="D670" s="37" t="s">
        <v>142</v>
      </c>
      <c r="E670" s="37" t="s">
        <v>47</v>
      </c>
      <c r="F670" s="37" t="s">
        <v>97</v>
      </c>
      <c r="G670" s="37" t="s">
        <v>92</v>
      </c>
      <c r="H670" s="37" t="s">
        <v>114</v>
      </c>
      <c r="I670" s="37" t="n">
        <v>1</v>
      </c>
      <c r="J670" s="39" t="n">
        <v>1199</v>
      </c>
      <c r="K670" s="40" t="n">
        <v>0.05</v>
      </c>
      <c r="L670" s="39" t="n">
        <f aca="false">VLOOKUP(H670,'Product List'!$A$3:$D$18,4,FALSE())</f>
        <v>780</v>
      </c>
      <c r="M670" s="39" t="n">
        <f aca="false">I670*J670*(1-K670)</f>
        <v>1139.05</v>
      </c>
      <c r="N670" s="39" t="n">
        <f aca="false">I670*L670</f>
        <v>780</v>
      </c>
      <c r="O670" s="39" t="n">
        <f aca="false">M670-N670</f>
        <v>359.05</v>
      </c>
      <c r="P670" s="41" t="n">
        <f aca="false">IF(M670=0,0,O670/M670)</f>
        <v>0.31521882270313</v>
      </c>
      <c r="Q670" s="37" t="str">
        <f aca="false">IF(K670=0,"No discount",IF(K670&lt;=0.1,"1-10%",IF(K670&lt;=0.2,"11-20%",IF(K670&lt;=0.3,"21-30%","Above 30%"))))</f>
        <v>1-10%</v>
      </c>
      <c r="R670" s="39" t="n">
        <f aca="false">I670*J670*MAX(0,K670-DiscountCap)</f>
        <v>0</v>
      </c>
    </row>
    <row r="671" customFormat="false" ht="15" hidden="false" customHeight="false" outlineLevel="0" collapsed="false">
      <c r="A671" s="37" t="s">
        <v>815</v>
      </c>
      <c r="B671" s="38" t="n">
        <v>45933</v>
      </c>
      <c r="C671" s="37" t="n">
        <f aca="false">MONTH(B671)</f>
        <v>10</v>
      </c>
      <c r="D671" s="37" t="s">
        <v>154</v>
      </c>
      <c r="E671" s="37" t="s">
        <v>47</v>
      </c>
      <c r="F671" s="37" t="s">
        <v>96</v>
      </c>
      <c r="G671" s="37" t="s">
        <v>92</v>
      </c>
      <c r="H671" s="37" t="s">
        <v>115</v>
      </c>
      <c r="I671" s="37" t="n">
        <v>3</v>
      </c>
      <c r="J671" s="39" t="n">
        <v>1799</v>
      </c>
      <c r="K671" s="40" t="n">
        <v>0.25</v>
      </c>
      <c r="L671" s="39" t="n">
        <f aca="false">VLOOKUP(H671,'Product List'!$A$3:$D$18,4,FALSE())</f>
        <v>1150</v>
      </c>
      <c r="M671" s="39" t="n">
        <f aca="false">I671*J671*(1-K671)</f>
        <v>4047.75</v>
      </c>
      <c r="N671" s="39" t="n">
        <f aca="false">I671*L671</f>
        <v>3450</v>
      </c>
      <c r="O671" s="39" t="n">
        <f aca="false">M671-N671</f>
        <v>597.75</v>
      </c>
      <c r="P671" s="41" t="n">
        <f aca="false">IF(M671=0,0,O671/M671)</f>
        <v>0.147674634055957</v>
      </c>
      <c r="Q671" s="37" t="str">
        <f aca="false">IF(K671=0,"No discount",IF(K671&lt;=0.1,"1-10%",IF(K671&lt;=0.2,"11-20%",IF(K671&lt;=0.3,"21-30%","Above 30%"))))</f>
        <v>21-30%</v>
      </c>
      <c r="R671" s="39" t="n">
        <f aca="false">I671*J671*MAX(0,K671-DiscountCap)</f>
        <v>269.85</v>
      </c>
    </row>
    <row r="672" customFormat="false" ht="15" hidden="false" customHeight="false" outlineLevel="0" collapsed="false">
      <c r="A672" s="37" t="s">
        <v>816</v>
      </c>
      <c r="B672" s="38" t="n">
        <v>45942</v>
      </c>
      <c r="C672" s="37" t="n">
        <f aca="false">MONTH(B672)</f>
        <v>10</v>
      </c>
      <c r="D672" s="37" t="s">
        <v>134</v>
      </c>
      <c r="E672" s="37" t="s">
        <v>45</v>
      </c>
      <c r="F672" s="37" t="s">
        <v>96</v>
      </c>
      <c r="G672" s="37" t="s">
        <v>90</v>
      </c>
      <c r="H672" s="37" t="s">
        <v>109</v>
      </c>
      <c r="I672" s="37" t="n">
        <v>1</v>
      </c>
      <c r="J672" s="39" t="n">
        <v>3499</v>
      </c>
      <c r="K672" s="40" t="n">
        <v>0.15</v>
      </c>
      <c r="L672" s="39" t="n">
        <f aca="false">VLOOKUP(H672,'Product List'!$A$3:$D$18,4,FALSE())</f>
        <v>2750</v>
      </c>
      <c r="M672" s="39" t="n">
        <f aca="false">I672*J672*(1-K672)</f>
        <v>2974.15</v>
      </c>
      <c r="N672" s="39" t="n">
        <f aca="false">I672*L672</f>
        <v>2750</v>
      </c>
      <c r="O672" s="39" t="n">
        <f aca="false">M672-N672</f>
        <v>224.15</v>
      </c>
      <c r="P672" s="41" t="n">
        <f aca="false">IF(M672=0,0,O672/M672)</f>
        <v>0.0753660709782627</v>
      </c>
      <c r="Q672" s="37" t="str">
        <f aca="false">IF(K672=0,"No discount",IF(K672&lt;=0.1,"1-10%",IF(K672&lt;=0.2,"11-20%",IF(K672&lt;=0.3,"21-30%","Above 30%"))))</f>
        <v>11-20%</v>
      </c>
      <c r="R672" s="39" t="n">
        <f aca="false">I672*J672*MAX(0,K672-DiscountCap)</f>
        <v>0</v>
      </c>
    </row>
    <row r="673" customFormat="false" ht="15" hidden="false" customHeight="false" outlineLevel="0" collapsed="false">
      <c r="A673" s="37" t="s">
        <v>817</v>
      </c>
      <c r="B673" s="38" t="n">
        <v>45952</v>
      </c>
      <c r="C673" s="37" t="n">
        <f aca="false">MONTH(B673)</f>
        <v>10</v>
      </c>
      <c r="D673" s="37" t="s">
        <v>172</v>
      </c>
      <c r="E673" s="37" t="s">
        <v>46</v>
      </c>
      <c r="F673" s="37" t="s">
        <v>97</v>
      </c>
      <c r="G673" s="37" t="s">
        <v>91</v>
      </c>
      <c r="H673" s="37" t="s">
        <v>116</v>
      </c>
      <c r="I673" s="37" t="n">
        <v>1</v>
      </c>
      <c r="J673" s="39" t="n">
        <v>899</v>
      </c>
      <c r="K673" s="40" t="n">
        <v>0.2</v>
      </c>
      <c r="L673" s="39" t="n">
        <f aca="false">VLOOKUP(H673,'Product List'!$A$3:$D$18,4,FALSE())</f>
        <v>430</v>
      </c>
      <c r="M673" s="39" t="n">
        <f aca="false">I673*J673*(1-K673)</f>
        <v>719.2</v>
      </c>
      <c r="N673" s="39" t="n">
        <f aca="false">I673*L673</f>
        <v>430</v>
      </c>
      <c r="O673" s="39" t="n">
        <f aca="false">M673-N673</f>
        <v>289.2</v>
      </c>
      <c r="P673" s="41" t="n">
        <f aca="false">IF(M673=0,0,O673/M673)</f>
        <v>0.402113459399333</v>
      </c>
      <c r="Q673" s="37" t="str">
        <f aca="false">IF(K673=0,"No discount",IF(K673&lt;=0.1,"1-10%",IF(K673&lt;=0.2,"11-20%",IF(K673&lt;=0.3,"21-30%","Above 30%"))))</f>
        <v>11-20%</v>
      </c>
      <c r="R673" s="39" t="n">
        <f aca="false">I673*J673*MAX(0,K673-DiscountCap)</f>
        <v>0</v>
      </c>
    </row>
    <row r="674" customFormat="false" ht="15" hidden="false" customHeight="false" outlineLevel="0" collapsed="false">
      <c r="A674" s="37" t="s">
        <v>818</v>
      </c>
      <c r="B674" s="38" t="n">
        <v>45956</v>
      </c>
      <c r="C674" s="37" t="n">
        <f aca="false">MONTH(B674)</f>
        <v>10</v>
      </c>
      <c r="D674" s="37" t="s">
        <v>136</v>
      </c>
      <c r="E674" s="37" t="s">
        <v>47</v>
      </c>
      <c r="F674" s="37" t="s">
        <v>97</v>
      </c>
      <c r="G674" s="37" t="s">
        <v>93</v>
      </c>
      <c r="H674" s="37" t="s">
        <v>120</v>
      </c>
      <c r="I674" s="37" t="n">
        <v>1</v>
      </c>
      <c r="J674" s="39" t="n">
        <v>449</v>
      </c>
      <c r="K674" s="40" t="n">
        <v>0</v>
      </c>
      <c r="L674" s="39" t="n">
        <f aca="false">VLOOKUP(H674,'Product List'!$A$3:$D$18,4,FALSE())</f>
        <v>240</v>
      </c>
      <c r="M674" s="39" t="n">
        <f aca="false">I674*J674*(1-K674)</f>
        <v>449</v>
      </c>
      <c r="N674" s="39" t="n">
        <f aca="false">I674*L674</f>
        <v>240</v>
      </c>
      <c r="O674" s="39" t="n">
        <f aca="false">M674-N674</f>
        <v>209</v>
      </c>
      <c r="P674" s="41" t="n">
        <f aca="false">IF(M674=0,0,O674/M674)</f>
        <v>0.465478841870824</v>
      </c>
      <c r="Q674" s="37" t="str">
        <f aca="false">IF(K674=0,"No discount",IF(K674&lt;=0.1,"1-10%",IF(K674&lt;=0.2,"11-20%",IF(K674&lt;=0.3,"21-30%","Above 30%"))))</f>
        <v>No discount</v>
      </c>
      <c r="R674" s="39" t="n">
        <f aca="false">I674*J674*MAX(0,K674-DiscountCap)</f>
        <v>0</v>
      </c>
    </row>
    <row r="675" customFormat="false" ht="15" hidden="false" customHeight="false" outlineLevel="0" collapsed="false">
      <c r="A675" s="37" t="s">
        <v>819</v>
      </c>
      <c r="B675" s="38" t="n">
        <v>45951</v>
      </c>
      <c r="C675" s="37" t="n">
        <f aca="false">MONTH(B675)</f>
        <v>10</v>
      </c>
      <c r="D675" s="37" t="s">
        <v>140</v>
      </c>
      <c r="E675" s="37" t="s">
        <v>44</v>
      </c>
      <c r="F675" s="37" t="s">
        <v>97</v>
      </c>
      <c r="G675" s="37" t="s">
        <v>92</v>
      </c>
      <c r="H675" s="37" t="s">
        <v>115</v>
      </c>
      <c r="I675" s="37" t="n">
        <v>3</v>
      </c>
      <c r="J675" s="39" t="n">
        <v>1799</v>
      </c>
      <c r="K675" s="40" t="n">
        <v>0.1</v>
      </c>
      <c r="L675" s="39" t="n">
        <f aca="false">VLOOKUP(H675,'Product List'!$A$3:$D$18,4,FALSE())</f>
        <v>1150</v>
      </c>
      <c r="M675" s="39" t="n">
        <f aca="false">I675*J675*(1-K675)</f>
        <v>4857.3</v>
      </c>
      <c r="N675" s="39" t="n">
        <f aca="false">I675*L675</f>
        <v>3450</v>
      </c>
      <c r="O675" s="39" t="n">
        <f aca="false">M675-N675</f>
        <v>1407.3</v>
      </c>
      <c r="P675" s="41" t="n">
        <f aca="false">IF(M675=0,0,O675/M675)</f>
        <v>0.289728861713298</v>
      </c>
      <c r="Q675" s="37" t="str">
        <f aca="false">IF(K675=0,"No discount",IF(K675&lt;=0.1,"1-10%",IF(K675&lt;=0.2,"11-20%",IF(K675&lt;=0.3,"21-30%","Above 30%"))))</f>
        <v>1-10%</v>
      </c>
      <c r="R675" s="39" t="n">
        <f aca="false">I675*J675*MAX(0,K675-DiscountCap)</f>
        <v>0</v>
      </c>
    </row>
    <row r="676" customFormat="false" ht="15" hidden="false" customHeight="false" outlineLevel="0" collapsed="false">
      <c r="A676" s="37" t="s">
        <v>820</v>
      </c>
      <c r="B676" s="38" t="n">
        <v>45932</v>
      </c>
      <c r="C676" s="37" t="n">
        <f aca="false">MONTH(B676)</f>
        <v>10</v>
      </c>
      <c r="D676" s="37" t="s">
        <v>146</v>
      </c>
      <c r="E676" s="37" t="s">
        <v>45</v>
      </c>
      <c r="F676" s="37" t="s">
        <v>97</v>
      </c>
      <c r="G676" s="37" t="s">
        <v>90</v>
      </c>
      <c r="H676" s="37" t="s">
        <v>111</v>
      </c>
      <c r="I676" s="37" t="n">
        <v>1</v>
      </c>
      <c r="J676" s="39" t="n">
        <v>2499</v>
      </c>
      <c r="K676" s="40" t="n">
        <v>0.1</v>
      </c>
      <c r="L676" s="39" t="n">
        <f aca="false">VLOOKUP(H676,'Product List'!$A$3:$D$18,4,FALSE())</f>
        <v>1950</v>
      </c>
      <c r="M676" s="39" t="n">
        <f aca="false">I676*J676*(1-K676)</f>
        <v>2249.1</v>
      </c>
      <c r="N676" s="39" t="n">
        <f aca="false">I676*L676</f>
        <v>1950</v>
      </c>
      <c r="O676" s="39" t="n">
        <f aca="false">M676-N676</f>
        <v>299.1</v>
      </c>
      <c r="P676" s="41" t="n">
        <f aca="false">IF(M676=0,0,O676/M676)</f>
        <v>0.132986527944511</v>
      </c>
      <c r="Q676" s="37" t="str">
        <f aca="false">IF(K676=0,"No discount",IF(K676&lt;=0.1,"1-10%",IF(K676&lt;=0.2,"11-20%",IF(K676&lt;=0.3,"21-30%","Above 30%"))))</f>
        <v>1-10%</v>
      </c>
      <c r="R676" s="39" t="n">
        <f aca="false">I676*J676*MAX(0,K676-DiscountCap)</f>
        <v>0</v>
      </c>
    </row>
    <row r="677" customFormat="false" ht="15" hidden="false" customHeight="false" outlineLevel="0" collapsed="false">
      <c r="A677" s="37" t="s">
        <v>821</v>
      </c>
      <c r="B677" s="38" t="n">
        <v>45959</v>
      </c>
      <c r="C677" s="37" t="n">
        <f aca="false">MONTH(B677)</f>
        <v>10</v>
      </c>
      <c r="D677" s="37" t="s">
        <v>140</v>
      </c>
      <c r="E677" s="37" t="s">
        <v>44</v>
      </c>
      <c r="F677" s="37" t="s">
        <v>96</v>
      </c>
      <c r="G677" s="37" t="s">
        <v>91</v>
      </c>
      <c r="H677" s="37" t="s">
        <v>119</v>
      </c>
      <c r="I677" s="37" t="n">
        <v>1</v>
      </c>
      <c r="J677" s="39" t="n">
        <v>1099</v>
      </c>
      <c r="K677" s="40" t="n">
        <v>0.15</v>
      </c>
      <c r="L677" s="39" t="n">
        <f aca="false">VLOOKUP(H677,'Product List'!$A$3:$D$18,4,FALSE())</f>
        <v>560</v>
      </c>
      <c r="M677" s="39" t="n">
        <f aca="false">I677*J677*(1-K677)</f>
        <v>934.15</v>
      </c>
      <c r="N677" s="39" t="n">
        <f aca="false">I677*L677</f>
        <v>560</v>
      </c>
      <c r="O677" s="39" t="n">
        <f aca="false">M677-N677</f>
        <v>374.15</v>
      </c>
      <c r="P677" s="41" t="n">
        <f aca="false">IF(M677=0,0,O677/M677)</f>
        <v>0.400524541026602</v>
      </c>
      <c r="Q677" s="37" t="str">
        <f aca="false">IF(K677=0,"No discount",IF(K677&lt;=0.1,"1-10%",IF(K677&lt;=0.2,"11-20%",IF(K677&lt;=0.3,"21-30%","Above 30%"))))</f>
        <v>11-20%</v>
      </c>
      <c r="R677" s="39" t="n">
        <f aca="false">I677*J677*MAX(0,K677-DiscountCap)</f>
        <v>0</v>
      </c>
    </row>
    <row r="678" customFormat="false" ht="15" hidden="false" customHeight="false" outlineLevel="0" collapsed="false">
      <c r="A678" s="37" t="s">
        <v>822</v>
      </c>
      <c r="B678" s="38" t="n">
        <v>45936</v>
      </c>
      <c r="C678" s="37" t="n">
        <f aca="false">MONTH(B678)</f>
        <v>10</v>
      </c>
      <c r="D678" s="37" t="s">
        <v>166</v>
      </c>
      <c r="E678" s="37" t="s">
        <v>44</v>
      </c>
      <c r="F678" s="37" t="s">
        <v>97</v>
      </c>
      <c r="G678" s="37" t="s">
        <v>93</v>
      </c>
      <c r="H678" s="37" t="s">
        <v>123</v>
      </c>
      <c r="I678" s="37" t="n">
        <v>1</v>
      </c>
      <c r="J678" s="39" t="n">
        <v>1299</v>
      </c>
      <c r="K678" s="40" t="n">
        <v>0.05</v>
      </c>
      <c r="L678" s="39" t="n">
        <f aca="false">VLOOKUP(H678,'Product List'!$A$3:$D$18,4,FALSE())</f>
        <v>700</v>
      </c>
      <c r="M678" s="39" t="n">
        <f aca="false">I678*J678*(1-K678)</f>
        <v>1234.05</v>
      </c>
      <c r="N678" s="39" t="n">
        <f aca="false">I678*L678</f>
        <v>700</v>
      </c>
      <c r="O678" s="39" t="n">
        <f aca="false">M678-N678</f>
        <v>534.05</v>
      </c>
      <c r="P678" s="41" t="n">
        <f aca="false">IF(M678=0,0,O678/M678)</f>
        <v>0.432762043677323</v>
      </c>
      <c r="Q678" s="37" t="str">
        <f aca="false">IF(K678=0,"No discount",IF(K678&lt;=0.1,"1-10%",IF(K678&lt;=0.2,"11-20%",IF(K678&lt;=0.3,"21-30%","Above 30%"))))</f>
        <v>1-10%</v>
      </c>
      <c r="R678" s="39" t="n">
        <f aca="false">I678*J678*MAX(0,K678-DiscountCap)</f>
        <v>0</v>
      </c>
    </row>
    <row r="679" customFormat="false" ht="15" hidden="false" customHeight="false" outlineLevel="0" collapsed="false">
      <c r="A679" s="37" t="s">
        <v>823</v>
      </c>
      <c r="B679" s="38" t="n">
        <v>45943</v>
      </c>
      <c r="C679" s="37" t="n">
        <f aca="false">MONTH(B679)</f>
        <v>10</v>
      </c>
      <c r="D679" s="37" t="s">
        <v>142</v>
      </c>
      <c r="E679" s="37" t="s">
        <v>47</v>
      </c>
      <c r="F679" s="37" t="s">
        <v>96</v>
      </c>
      <c r="G679" s="37" t="s">
        <v>91</v>
      </c>
      <c r="H679" s="37" t="s">
        <v>118</v>
      </c>
      <c r="I679" s="37" t="n">
        <v>1</v>
      </c>
      <c r="J679" s="39" t="n">
        <v>2299</v>
      </c>
      <c r="K679" s="40" t="n">
        <v>0.3</v>
      </c>
      <c r="L679" s="39" t="n">
        <f aca="false">VLOOKUP(H679,'Product List'!$A$3:$D$18,4,FALSE())</f>
        <v>1300</v>
      </c>
      <c r="M679" s="39" t="n">
        <f aca="false">I679*J679*(1-K679)</f>
        <v>1609.3</v>
      </c>
      <c r="N679" s="39" t="n">
        <f aca="false">I679*L679</f>
        <v>1300</v>
      </c>
      <c r="O679" s="39" t="n">
        <f aca="false">M679-N679</f>
        <v>309.3</v>
      </c>
      <c r="P679" s="41" t="n">
        <f aca="false">IF(M679=0,0,O679/M679)</f>
        <v>0.192195364444168</v>
      </c>
      <c r="Q679" s="37" t="str">
        <f aca="false">IF(K679=0,"No discount",IF(K679&lt;=0.1,"1-10%",IF(K679&lt;=0.2,"11-20%",IF(K679&lt;=0.3,"21-30%","Above 30%"))))</f>
        <v>21-30%</v>
      </c>
      <c r="R679" s="39" t="n">
        <f aca="false">I679*J679*MAX(0,K679-DiscountCap)</f>
        <v>229.9</v>
      </c>
    </row>
    <row r="680" customFormat="false" ht="15" hidden="false" customHeight="false" outlineLevel="0" collapsed="false">
      <c r="A680" s="37" t="s">
        <v>824</v>
      </c>
      <c r="B680" s="38" t="n">
        <v>45959</v>
      </c>
      <c r="C680" s="37" t="n">
        <f aca="false">MONTH(B680)</f>
        <v>10</v>
      </c>
      <c r="D680" s="37" t="s">
        <v>160</v>
      </c>
      <c r="E680" s="37" t="s">
        <v>46</v>
      </c>
      <c r="F680" s="37" t="s">
        <v>97</v>
      </c>
      <c r="G680" s="37" t="s">
        <v>91</v>
      </c>
      <c r="H680" s="37" t="s">
        <v>117</v>
      </c>
      <c r="I680" s="37" t="n">
        <v>1</v>
      </c>
      <c r="J680" s="39" t="n">
        <v>1499</v>
      </c>
      <c r="K680" s="40" t="n">
        <v>0</v>
      </c>
      <c r="L680" s="39" t="n">
        <f aca="false">VLOOKUP(H680,'Product List'!$A$3:$D$18,4,FALSE())</f>
        <v>780</v>
      </c>
      <c r="M680" s="39" t="n">
        <f aca="false">I680*J680*(1-K680)</f>
        <v>1499</v>
      </c>
      <c r="N680" s="39" t="n">
        <f aca="false">I680*L680</f>
        <v>780</v>
      </c>
      <c r="O680" s="39" t="n">
        <f aca="false">M680-N680</f>
        <v>719</v>
      </c>
      <c r="P680" s="41" t="n">
        <f aca="false">IF(M680=0,0,O680/M680)</f>
        <v>0.479653102068045</v>
      </c>
      <c r="Q680" s="37" t="str">
        <f aca="false">IF(K680=0,"No discount",IF(K680&lt;=0.1,"1-10%",IF(K680&lt;=0.2,"11-20%",IF(K680&lt;=0.3,"21-30%","Above 30%"))))</f>
        <v>No discount</v>
      </c>
      <c r="R680" s="39" t="n">
        <f aca="false">I680*J680*MAX(0,K680-DiscountCap)</f>
        <v>0</v>
      </c>
    </row>
    <row r="681" customFormat="false" ht="15" hidden="false" customHeight="false" outlineLevel="0" collapsed="false">
      <c r="A681" s="37" t="s">
        <v>825</v>
      </c>
      <c r="B681" s="38" t="n">
        <v>45956</v>
      </c>
      <c r="C681" s="37" t="n">
        <f aca="false">MONTH(B681)</f>
        <v>10</v>
      </c>
      <c r="D681" s="37" t="s">
        <v>140</v>
      </c>
      <c r="E681" s="37" t="s">
        <v>44</v>
      </c>
      <c r="F681" s="37" t="s">
        <v>96</v>
      </c>
      <c r="G681" s="37" t="s">
        <v>91</v>
      </c>
      <c r="H681" s="37" t="s">
        <v>119</v>
      </c>
      <c r="I681" s="37" t="n">
        <v>1</v>
      </c>
      <c r="J681" s="39" t="n">
        <v>1099</v>
      </c>
      <c r="K681" s="40" t="n">
        <v>0.25</v>
      </c>
      <c r="L681" s="39" t="n">
        <f aca="false">VLOOKUP(H681,'Product List'!$A$3:$D$18,4,FALSE())</f>
        <v>560</v>
      </c>
      <c r="M681" s="39" t="n">
        <f aca="false">I681*J681*(1-K681)</f>
        <v>824.25</v>
      </c>
      <c r="N681" s="39" t="n">
        <f aca="false">I681*L681</f>
        <v>560</v>
      </c>
      <c r="O681" s="39" t="n">
        <f aca="false">M681-N681</f>
        <v>264.25</v>
      </c>
      <c r="P681" s="41" t="n">
        <f aca="false">IF(M681=0,0,O681/M681)</f>
        <v>0.320594479830149</v>
      </c>
      <c r="Q681" s="37" t="str">
        <f aca="false">IF(K681=0,"No discount",IF(K681&lt;=0.1,"1-10%",IF(K681&lt;=0.2,"11-20%",IF(K681&lt;=0.3,"21-30%","Above 30%"))))</f>
        <v>21-30%</v>
      </c>
      <c r="R681" s="39" t="n">
        <f aca="false">I681*J681*MAX(0,K681-DiscountCap)</f>
        <v>54.95</v>
      </c>
    </row>
    <row r="682" customFormat="false" ht="15" hidden="false" customHeight="false" outlineLevel="0" collapsed="false">
      <c r="A682" s="37" t="s">
        <v>826</v>
      </c>
      <c r="B682" s="38" t="n">
        <v>45947</v>
      </c>
      <c r="C682" s="37" t="n">
        <f aca="false">MONTH(B682)</f>
        <v>10</v>
      </c>
      <c r="D682" s="37" t="s">
        <v>136</v>
      </c>
      <c r="E682" s="37" t="s">
        <v>47</v>
      </c>
      <c r="F682" s="37" t="s">
        <v>97</v>
      </c>
      <c r="G682" s="37" t="s">
        <v>91</v>
      </c>
      <c r="H682" s="37" t="s">
        <v>118</v>
      </c>
      <c r="I682" s="37" t="n">
        <v>4</v>
      </c>
      <c r="J682" s="39" t="n">
        <v>2299</v>
      </c>
      <c r="K682" s="40" t="n">
        <v>0.15</v>
      </c>
      <c r="L682" s="39" t="n">
        <f aca="false">VLOOKUP(H682,'Product List'!$A$3:$D$18,4,FALSE())</f>
        <v>1300</v>
      </c>
      <c r="M682" s="39" t="n">
        <f aca="false">I682*J682*(1-K682)</f>
        <v>7816.6</v>
      </c>
      <c r="N682" s="39" t="n">
        <f aca="false">I682*L682</f>
        <v>5200</v>
      </c>
      <c r="O682" s="39" t="n">
        <f aca="false">M682-N682</f>
        <v>2616.6</v>
      </c>
      <c r="P682" s="41" t="n">
        <f aca="false">IF(M682=0,0,O682/M682)</f>
        <v>0.334749123659903</v>
      </c>
      <c r="Q682" s="37" t="str">
        <f aca="false">IF(K682=0,"No discount",IF(K682&lt;=0.1,"1-10%",IF(K682&lt;=0.2,"11-20%",IF(K682&lt;=0.3,"21-30%","Above 30%"))))</f>
        <v>11-20%</v>
      </c>
      <c r="R682" s="39" t="n">
        <f aca="false">I682*J682*MAX(0,K682-DiscountCap)</f>
        <v>0</v>
      </c>
    </row>
    <row r="683" customFormat="false" ht="15" hidden="false" customHeight="false" outlineLevel="0" collapsed="false">
      <c r="A683" s="37" t="s">
        <v>827</v>
      </c>
      <c r="B683" s="38" t="n">
        <v>45955</v>
      </c>
      <c r="C683" s="37" t="n">
        <f aca="false">MONTH(B683)</f>
        <v>10</v>
      </c>
      <c r="D683" s="37" t="s">
        <v>140</v>
      </c>
      <c r="E683" s="37" t="s">
        <v>44</v>
      </c>
      <c r="F683" s="37" t="s">
        <v>96</v>
      </c>
      <c r="G683" s="37" t="s">
        <v>92</v>
      </c>
      <c r="H683" s="37" t="s">
        <v>115</v>
      </c>
      <c r="I683" s="37" t="n">
        <v>1</v>
      </c>
      <c r="J683" s="39" t="n">
        <v>1799</v>
      </c>
      <c r="K683" s="40" t="n">
        <v>0.15</v>
      </c>
      <c r="L683" s="39" t="n">
        <f aca="false">VLOOKUP(H683,'Product List'!$A$3:$D$18,4,FALSE())</f>
        <v>1150</v>
      </c>
      <c r="M683" s="39" t="n">
        <f aca="false">I683*J683*(1-K683)</f>
        <v>1529.15</v>
      </c>
      <c r="N683" s="39" t="n">
        <f aca="false">I683*L683</f>
        <v>1150</v>
      </c>
      <c r="O683" s="39" t="n">
        <f aca="false">M683-N683</f>
        <v>379.15</v>
      </c>
      <c r="P683" s="41" t="n">
        <f aca="false">IF(M683=0,0,O683/M683)</f>
        <v>0.247948206519962</v>
      </c>
      <c r="Q683" s="37" t="str">
        <f aca="false">IF(K683=0,"No discount",IF(K683&lt;=0.1,"1-10%",IF(K683&lt;=0.2,"11-20%",IF(K683&lt;=0.3,"21-30%","Above 30%"))))</f>
        <v>11-20%</v>
      </c>
      <c r="R683" s="39" t="n">
        <f aca="false">I683*J683*MAX(0,K683-DiscountCap)</f>
        <v>0</v>
      </c>
    </row>
    <row r="684" customFormat="false" ht="15" hidden="false" customHeight="false" outlineLevel="0" collapsed="false">
      <c r="A684" s="37" t="s">
        <v>828</v>
      </c>
      <c r="B684" s="38" t="n">
        <v>45931</v>
      </c>
      <c r="C684" s="37" t="n">
        <f aca="false">MONTH(B684)</f>
        <v>10</v>
      </c>
      <c r="D684" s="37" t="s">
        <v>154</v>
      </c>
      <c r="E684" s="37" t="s">
        <v>47</v>
      </c>
      <c r="F684" s="37" t="s">
        <v>96</v>
      </c>
      <c r="G684" s="37" t="s">
        <v>91</v>
      </c>
      <c r="H684" s="37" t="s">
        <v>116</v>
      </c>
      <c r="I684" s="37" t="n">
        <v>2</v>
      </c>
      <c r="J684" s="39" t="n">
        <v>899</v>
      </c>
      <c r="K684" s="40" t="n">
        <v>0.2</v>
      </c>
      <c r="L684" s="39" t="n">
        <f aca="false">VLOOKUP(H684,'Product List'!$A$3:$D$18,4,FALSE())</f>
        <v>430</v>
      </c>
      <c r="M684" s="39" t="n">
        <f aca="false">I684*J684*(1-K684)</f>
        <v>1438.4</v>
      </c>
      <c r="N684" s="39" t="n">
        <f aca="false">I684*L684</f>
        <v>860</v>
      </c>
      <c r="O684" s="39" t="n">
        <f aca="false">M684-N684</f>
        <v>578.4</v>
      </c>
      <c r="P684" s="41" t="n">
        <f aca="false">IF(M684=0,0,O684/M684)</f>
        <v>0.402113459399333</v>
      </c>
      <c r="Q684" s="37" t="str">
        <f aca="false">IF(K684=0,"No discount",IF(K684&lt;=0.1,"1-10%",IF(K684&lt;=0.2,"11-20%",IF(K684&lt;=0.3,"21-30%","Above 30%"))))</f>
        <v>11-20%</v>
      </c>
      <c r="R684" s="39" t="n">
        <f aca="false">I684*J684*MAX(0,K684-DiscountCap)</f>
        <v>0</v>
      </c>
    </row>
    <row r="685" customFormat="false" ht="15" hidden="false" customHeight="false" outlineLevel="0" collapsed="false">
      <c r="A685" s="37" t="s">
        <v>829</v>
      </c>
      <c r="B685" s="38" t="n">
        <v>45940</v>
      </c>
      <c r="C685" s="37" t="n">
        <f aca="false">MONTH(B685)</f>
        <v>10</v>
      </c>
      <c r="D685" s="37" t="s">
        <v>136</v>
      </c>
      <c r="E685" s="37" t="s">
        <v>47</v>
      </c>
      <c r="F685" s="37" t="s">
        <v>97</v>
      </c>
      <c r="G685" s="37" t="s">
        <v>90</v>
      </c>
      <c r="H685" s="37" t="s">
        <v>110</v>
      </c>
      <c r="I685" s="37" t="n">
        <v>3</v>
      </c>
      <c r="J685" s="39" t="n">
        <v>1299</v>
      </c>
      <c r="K685" s="40" t="n">
        <v>0</v>
      </c>
      <c r="L685" s="39" t="n">
        <f aca="false">VLOOKUP(H685,'Product List'!$A$3:$D$18,4,FALSE())</f>
        <v>1000</v>
      </c>
      <c r="M685" s="39" t="n">
        <f aca="false">I685*J685*(1-K685)</f>
        <v>3897</v>
      </c>
      <c r="N685" s="39" t="n">
        <f aca="false">I685*L685</f>
        <v>3000</v>
      </c>
      <c r="O685" s="39" t="n">
        <f aca="false">M685-N685</f>
        <v>897</v>
      </c>
      <c r="P685" s="41" t="n">
        <f aca="false">IF(M685=0,0,O685/M685)</f>
        <v>0.230177059276366</v>
      </c>
      <c r="Q685" s="37" t="str">
        <f aca="false">IF(K685=0,"No discount",IF(K685&lt;=0.1,"1-10%",IF(K685&lt;=0.2,"11-20%",IF(K685&lt;=0.3,"21-30%","Above 30%"))))</f>
        <v>No discount</v>
      </c>
      <c r="R685" s="39" t="n">
        <f aca="false">I685*J685*MAX(0,K685-DiscountCap)</f>
        <v>0</v>
      </c>
    </row>
    <row r="686" customFormat="false" ht="15" hidden="false" customHeight="false" outlineLevel="0" collapsed="false">
      <c r="A686" s="37" t="s">
        <v>830</v>
      </c>
      <c r="B686" s="38" t="n">
        <v>45932</v>
      </c>
      <c r="C686" s="37" t="n">
        <f aca="false">MONTH(B686)</f>
        <v>10</v>
      </c>
      <c r="D686" s="37" t="s">
        <v>146</v>
      </c>
      <c r="E686" s="37" t="s">
        <v>45</v>
      </c>
      <c r="F686" s="37" t="s">
        <v>97</v>
      </c>
      <c r="G686" s="37" t="s">
        <v>92</v>
      </c>
      <c r="H686" s="37" t="s">
        <v>112</v>
      </c>
      <c r="I686" s="37" t="n">
        <v>1</v>
      </c>
      <c r="J686" s="39" t="n">
        <v>3299</v>
      </c>
      <c r="K686" s="40" t="n">
        <v>0</v>
      </c>
      <c r="L686" s="39" t="n">
        <f aca="false">VLOOKUP(H686,'Product List'!$A$3:$D$18,4,FALSE())</f>
        <v>2250</v>
      </c>
      <c r="M686" s="39" t="n">
        <f aca="false">I686*J686*(1-K686)</f>
        <v>3299</v>
      </c>
      <c r="N686" s="39" t="n">
        <f aca="false">I686*L686</f>
        <v>2250</v>
      </c>
      <c r="O686" s="39" t="n">
        <f aca="false">M686-N686</f>
        <v>1049</v>
      </c>
      <c r="P686" s="41" t="n">
        <f aca="false">IF(M686=0,0,O686/M686)</f>
        <v>0.317975143983025</v>
      </c>
      <c r="Q686" s="37" t="str">
        <f aca="false">IF(K686=0,"No discount",IF(K686&lt;=0.1,"1-10%",IF(K686&lt;=0.2,"11-20%",IF(K686&lt;=0.3,"21-30%","Above 30%"))))</f>
        <v>No discount</v>
      </c>
      <c r="R686" s="39" t="n">
        <f aca="false">I686*J686*MAX(0,K686-DiscountCap)</f>
        <v>0</v>
      </c>
    </row>
    <row r="687" customFormat="false" ht="15" hidden="false" customHeight="false" outlineLevel="0" collapsed="false">
      <c r="A687" s="37" t="s">
        <v>831</v>
      </c>
      <c r="B687" s="38" t="n">
        <v>45937</v>
      </c>
      <c r="C687" s="37" t="n">
        <f aca="false">MONTH(B687)</f>
        <v>10</v>
      </c>
      <c r="D687" s="37" t="s">
        <v>142</v>
      </c>
      <c r="E687" s="37" t="s">
        <v>47</v>
      </c>
      <c r="F687" s="37" t="s">
        <v>96</v>
      </c>
      <c r="G687" s="37" t="s">
        <v>90</v>
      </c>
      <c r="H687" s="37" t="s">
        <v>109</v>
      </c>
      <c r="I687" s="37" t="n">
        <v>2</v>
      </c>
      <c r="J687" s="39" t="n">
        <v>3499</v>
      </c>
      <c r="K687" s="40" t="n">
        <v>0.1</v>
      </c>
      <c r="L687" s="39" t="n">
        <f aca="false">VLOOKUP(H687,'Product List'!$A$3:$D$18,4,FALSE())</f>
        <v>2750</v>
      </c>
      <c r="M687" s="39" t="n">
        <f aca="false">I687*J687*(1-K687)</f>
        <v>6298.2</v>
      </c>
      <c r="N687" s="39" t="n">
        <f aca="false">I687*L687</f>
        <v>5500</v>
      </c>
      <c r="O687" s="39" t="n">
        <f aca="false">M687-N687</f>
        <v>798.2</v>
      </c>
      <c r="P687" s="41" t="n">
        <f aca="false">IF(M687=0,0,O687/M687)</f>
        <v>0.126734622590581</v>
      </c>
      <c r="Q687" s="37" t="str">
        <f aca="false">IF(K687=0,"No discount",IF(K687&lt;=0.1,"1-10%",IF(K687&lt;=0.2,"11-20%",IF(K687&lt;=0.3,"21-30%","Above 30%"))))</f>
        <v>1-10%</v>
      </c>
      <c r="R687" s="39" t="n">
        <f aca="false">I687*J687*MAX(0,K687-DiscountCap)</f>
        <v>0</v>
      </c>
    </row>
    <row r="688" customFormat="false" ht="15" hidden="false" customHeight="false" outlineLevel="0" collapsed="false">
      <c r="A688" s="37" t="s">
        <v>832</v>
      </c>
      <c r="B688" s="38" t="n">
        <v>45946</v>
      </c>
      <c r="C688" s="37" t="n">
        <f aca="false">MONTH(B688)</f>
        <v>10</v>
      </c>
      <c r="D688" s="37" t="s">
        <v>136</v>
      </c>
      <c r="E688" s="37" t="s">
        <v>47</v>
      </c>
      <c r="F688" s="37" t="s">
        <v>96</v>
      </c>
      <c r="G688" s="37" t="s">
        <v>93</v>
      </c>
      <c r="H688" s="37" t="s">
        <v>123</v>
      </c>
      <c r="I688" s="37" t="n">
        <v>3</v>
      </c>
      <c r="J688" s="39" t="n">
        <v>1299</v>
      </c>
      <c r="K688" s="40" t="n">
        <v>0.2</v>
      </c>
      <c r="L688" s="39" t="n">
        <f aca="false">VLOOKUP(H688,'Product List'!$A$3:$D$18,4,FALSE())</f>
        <v>700</v>
      </c>
      <c r="M688" s="39" t="n">
        <f aca="false">I688*J688*(1-K688)</f>
        <v>3117.6</v>
      </c>
      <c r="N688" s="39" t="n">
        <f aca="false">I688*L688</f>
        <v>2100</v>
      </c>
      <c r="O688" s="39" t="n">
        <f aca="false">M688-N688</f>
        <v>1017.6</v>
      </c>
      <c r="P688" s="41" t="n">
        <f aca="false">IF(M688=0,0,O688/M688)</f>
        <v>0.326404926866821</v>
      </c>
      <c r="Q688" s="37" t="str">
        <f aca="false">IF(K688=0,"No discount",IF(K688&lt;=0.1,"1-10%",IF(K688&lt;=0.2,"11-20%",IF(K688&lt;=0.3,"21-30%","Above 30%"))))</f>
        <v>11-20%</v>
      </c>
      <c r="R688" s="39" t="n">
        <f aca="false">I688*J688*MAX(0,K688-DiscountCap)</f>
        <v>0</v>
      </c>
    </row>
    <row r="689" customFormat="false" ht="15" hidden="false" customHeight="false" outlineLevel="0" collapsed="false">
      <c r="A689" s="37" t="s">
        <v>833</v>
      </c>
      <c r="B689" s="38" t="n">
        <v>45945</v>
      </c>
      <c r="C689" s="37" t="n">
        <f aca="false">MONTH(B689)</f>
        <v>10</v>
      </c>
      <c r="D689" s="37" t="s">
        <v>146</v>
      </c>
      <c r="E689" s="37" t="s">
        <v>45</v>
      </c>
      <c r="F689" s="37" t="s">
        <v>96</v>
      </c>
      <c r="G689" s="37" t="s">
        <v>90</v>
      </c>
      <c r="H689" s="37" t="s">
        <v>108</v>
      </c>
      <c r="I689" s="37" t="n">
        <v>5</v>
      </c>
      <c r="J689" s="39" t="n">
        <v>1999</v>
      </c>
      <c r="K689" s="40" t="n">
        <v>0.15</v>
      </c>
      <c r="L689" s="39" t="n">
        <f aca="false">VLOOKUP(H689,'Product List'!$A$3:$D$18,4,FALSE())</f>
        <v>1560</v>
      </c>
      <c r="M689" s="39" t="n">
        <f aca="false">I689*J689*(1-K689)</f>
        <v>8495.75</v>
      </c>
      <c r="N689" s="39" t="n">
        <f aca="false">I689*L689</f>
        <v>7800</v>
      </c>
      <c r="O689" s="39" t="n">
        <f aca="false">M689-N689</f>
        <v>695.75</v>
      </c>
      <c r="P689" s="41" t="n">
        <f aca="false">IF(M689=0,0,O689/M689)</f>
        <v>0.0818938881205309</v>
      </c>
      <c r="Q689" s="37" t="str">
        <f aca="false">IF(K689=0,"No discount",IF(K689&lt;=0.1,"1-10%",IF(K689&lt;=0.2,"11-20%",IF(K689&lt;=0.3,"21-30%","Above 30%"))))</f>
        <v>11-20%</v>
      </c>
      <c r="R689" s="39" t="n">
        <f aca="false">I689*J689*MAX(0,K689-DiscountCap)</f>
        <v>0</v>
      </c>
    </row>
    <row r="690" customFormat="false" ht="15" hidden="false" customHeight="false" outlineLevel="0" collapsed="false">
      <c r="A690" s="37" t="s">
        <v>834</v>
      </c>
      <c r="B690" s="38" t="n">
        <v>45932</v>
      </c>
      <c r="C690" s="37" t="n">
        <f aca="false">MONTH(B690)</f>
        <v>10</v>
      </c>
      <c r="D690" s="37" t="s">
        <v>142</v>
      </c>
      <c r="E690" s="37" t="s">
        <v>47</v>
      </c>
      <c r="F690" s="37" t="s">
        <v>96</v>
      </c>
      <c r="G690" s="37" t="s">
        <v>90</v>
      </c>
      <c r="H690" s="37" t="s">
        <v>108</v>
      </c>
      <c r="I690" s="37" t="n">
        <v>1</v>
      </c>
      <c r="J690" s="39" t="n">
        <v>1999</v>
      </c>
      <c r="K690" s="40" t="n">
        <v>0.05</v>
      </c>
      <c r="L690" s="39" t="n">
        <f aca="false">VLOOKUP(H690,'Product List'!$A$3:$D$18,4,FALSE())</f>
        <v>1560</v>
      </c>
      <c r="M690" s="39" t="n">
        <f aca="false">I690*J690*(1-K690)</f>
        <v>1899.05</v>
      </c>
      <c r="N690" s="39" t="n">
        <f aca="false">I690*L690</f>
        <v>1560</v>
      </c>
      <c r="O690" s="39" t="n">
        <f aca="false">M690-N690</f>
        <v>339.05</v>
      </c>
      <c r="P690" s="41" t="n">
        <f aca="false">IF(M690=0,0,O690/M690)</f>
        <v>0.178536636739422</v>
      </c>
      <c r="Q690" s="37" t="str">
        <f aca="false">IF(K690=0,"No discount",IF(K690&lt;=0.1,"1-10%",IF(K690&lt;=0.2,"11-20%",IF(K690&lt;=0.3,"21-30%","Above 30%"))))</f>
        <v>1-10%</v>
      </c>
      <c r="R690" s="39" t="n">
        <f aca="false">I690*J690*MAX(0,K690-DiscountCap)</f>
        <v>0</v>
      </c>
    </row>
    <row r="691" customFormat="false" ht="15" hidden="false" customHeight="false" outlineLevel="0" collapsed="false">
      <c r="A691" s="37" t="s">
        <v>835</v>
      </c>
      <c r="B691" s="38" t="n">
        <v>45961</v>
      </c>
      <c r="C691" s="37" t="n">
        <f aca="false">MONTH(B691)</f>
        <v>10</v>
      </c>
      <c r="D691" s="37" t="s">
        <v>136</v>
      </c>
      <c r="E691" s="37" t="s">
        <v>47</v>
      </c>
      <c r="F691" s="37" t="s">
        <v>97</v>
      </c>
      <c r="G691" s="37" t="s">
        <v>90</v>
      </c>
      <c r="H691" s="37" t="s">
        <v>109</v>
      </c>
      <c r="I691" s="37" t="n">
        <v>1</v>
      </c>
      <c r="J691" s="39" t="n">
        <v>3499</v>
      </c>
      <c r="K691" s="40" t="n">
        <v>0.25</v>
      </c>
      <c r="L691" s="39" t="n">
        <f aca="false">VLOOKUP(H691,'Product List'!$A$3:$D$18,4,FALSE())</f>
        <v>2750</v>
      </c>
      <c r="M691" s="39" t="n">
        <f aca="false">I691*J691*(1-K691)</f>
        <v>2624.25</v>
      </c>
      <c r="N691" s="39" t="n">
        <f aca="false">I691*L691</f>
        <v>2750</v>
      </c>
      <c r="O691" s="39" t="n">
        <f aca="false">M691-N691</f>
        <v>-125.75</v>
      </c>
      <c r="P691" s="41" t="n">
        <f aca="false">IF(M691=0,0,O691/M691)</f>
        <v>-0.0479184528913023</v>
      </c>
      <c r="Q691" s="37" t="str">
        <f aca="false">IF(K691=0,"No discount",IF(K691&lt;=0.1,"1-10%",IF(K691&lt;=0.2,"11-20%",IF(K691&lt;=0.3,"21-30%","Above 30%"))))</f>
        <v>21-30%</v>
      </c>
      <c r="R691" s="39" t="n">
        <f aca="false">I691*J691*MAX(0,K691-DiscountCap)</f>
        <v>174.95</v>
      </c>
    </row>
    <row r="692" customFormat="false" ht="15" hidden="false" customHeight="false" outlineLevel="0" collapsed="false">
      <c r="A692" s="37" t="s">
        <v>836</v>
      </c>
      <c r="B692" s="38" t="n">
        <v>45952</v>
      </c>
      <c r="C692" s="37" t="n">
        <f aca="false">MONTH(B692)</f>
        <v>10</v>
      </c>
      <c r="D692" s="37" t="s">
        <v>142</v>
      </c>
      <c r="E692" s="37" t="s">
        <v>47</v>
      </c>
      <c r="F692" s="37" t="s">
        <v>96</v>
      </c>
      <c r="G692" s="37" t="s">
        <v>93</v>
      </c>
      <c r="H692" s="37" t="s">
        <v>122</v>
      </c>
      <c r="I692" s="37" t="n">
        <v>1</v>
      </c>
      <c r="J692" s="39" t="n">
        <v>1799</v>
      </c>
      <c r="K692" s="40" t="n">
        <v>0.25</v>
      </c>
      <c r="L692" s="39" t="n">
        <f aca="false">VLOOKUP(H692,'Product List'!$A$3:$D$18,4,FALSE())</f>
        <v>1250</v>
      </c>
      <c r="M692" s="39" t="n">
        <f aca="false">I692*J692*(1-K692)</f>
        <v>1349.25</v>
      </c>
      <c r="N692" s="39" t="n">
        <f aca="false">I692*L692</f>
        <v>1250</v>
      </c>
      <c r="O692" s="39" t="n">
        <f aca="false">M692-N692</f>
        <v>99.25</v>
      </c>
      <c r="P692" s="41" t="n">
        <f aca="false">IF(M692=0,0,O692/M692)</f>
        <v>0.0735593848434315</v>
      </c>
      <c r="Q692" s="37" t="str">
        <f aca="false">IF(K692=0,"No discount",IF(K692&lt;=0.1,"1-10%",IF(K692&lt;=0.2,"11-20%",IF(K692&lt;=0.3,"21-30%","Above 30%"))))</f>
        <v>21-30%</v>
      </c>
      <c r="R692" s="39" t="n">
        <f aca="false">I692*J692*MAX(0,K692-DiscountCap)</f>
        <v>89.95</v>
      </c>
    </row>
    <row r="693" customFormat="false" ht="15" hidden="false" customHeight="false" outlineLevel="0" collapsed="false">
      <c r="A693" s="37" t="s">
        <v>837</v>
      </c>
      <c r="B693" s="38" t="n">
        <v>45949</v>
      </c>
      <c r="C693" s="37" t="n">
        <f aca="false">MONTH(B693)</f>
        <v>10</v>
      </c>
      <c r="D693" s="37" t="s">
        <v>138</v>
      </c>
      <c r="E693" s="37" t="s">
        <v>46</v>
      </c>
      <c r="F693" s="37" t="s">
        <v>97</v>
      </c>
      <c r="G693" s="37" t="s">
        <v>90</v>
      </c>
      <c r="H693" s="37" t="s">
        <v>108</v>
      </c>
      <c r="I693" s="37" t="n">
        <v>3</v>
      </c>
      <c r="J693" s="39" t="n">
        <v>1999</v>
      </c>
      <c r="K693" s="40" t="n">
        <v>0.1</v>
      </c>
      <c r="L693" s="39" t="n">
        <f aca="false">VLOOKUP(H693,'Product List'!$A$3:$D$18,4,FALSE())</f>
        <v>1560</v>
      </c>
      <c r="M693" s="39" t="n">
        <f aca="false">I693*J693*(1-K693)</f>
        <v>5397.3</v>
      </c>
      <c r="N693" s="39" t="n">
        <f aca="false">I693*L693</f>
        <v>4680</v>
      </c>
      <c r="O693" s="39" t="n">
        <f aca="false">M693-N693</f>
        <v>717.3</v>
      </c>
      <c r="P693" s="41" t="n">
        <f aca="false">IF(M693=0,0,O693/M693)</f>
        <v>0.132899783224946</v>
      </c>
      <c r="Q693" s="37" t="str">
        <f aca="false">IF(K693=0,"No discount",IF(K693&lt;=0.1,"1-10%",IF(K693&lt;=0.2,"11-20%",IF(K693&lt;=0.3,"21-30%","Above 30%"))))</f>
        <v>1-10%</v>
      </c>
      <c r="R693" s="39" t="n">
        <f aca="false">I693*J693*MAX(0,K693-DiscountCap)</f>
        <v>0</v>
      </c>
    </row>
    <row r="694" customFormat="false" ht="15" hidden="false" customHeight="false" outlineLevel="0" collapsed="false">
      <c r="A694" s="37" t="s">
        <v>838</v>
      </c>
      <c r="B694" s="38" t="n">
        <v>45958</v>
      </c>
      <c r="C694" s="37" t="n">
        <f aca="false">MONTH(B694)</f>
        <v>10</v>
      </c>
      <c r="D694" s="37" t="s">
        <v>142</v>
      </c>
      <c r="E694" s="37" t="s">
        <v>47</v>
      </c>
      <c r="F694" s="37" t="s">
        <v>96</v>
      </c>
      <c r="G694" s="37" t="s">
        <v>90</v>
      </c>
      <c r="H694" s="37" t="s">
        <v>109</v>
      </c>
      <c r="I694" s="37" t="n">
        <v>1</v>
      </c>
      <c r="J694" s="39" t="n">
        <v>3499</v>
      </c>
      <c r="K694" s="40" t="n">
        <v>0.1</v>
      </c>
      <c r="L694" s="39" t="n">
        <f aca="false">VLOOKUP(H694,'Product List'!$A$3:$D$18,4,FALSE())</f>
        <v>2750</v>
      </c>
      <c r="M694" s="39" t="n">
        <f aca="false">I694*J694*(1-K694)</f>
        <v>3149.1</v>
      </c>
      <c r="N694" s="39" t="n">
        <f aca="false">I694*L694</f>
        <v>2750</v>
      </c>
      <c r="O694" s="39" t="n">
        <f aca="false">M694-N694</f>
        <v>399.1</v>
      </c>
      <c r="P694" s="41" t="n">
        <f aca="false">IF(M694=0,0,O694/M694)</f>
        <v>0.126734622590581</v>
      </c>
      <c r="Q694" s="37" t="str">
        <f aca="false">IF(K694=0,"No discount",IF(K694&lt;=0.1,"1-10%",IF(K694&lt;=0.2,"11-20%",IF(K694&lt;=0.3,"21-30%","Above 30%"))))</f>
        <v>1-10%</v>
      </c>
      <c r="R694" s="39" t="n">
        <f aca="false">I694*J694*MAX(0,K694-DiscountCap)</f>
        <v>0</v>
      </c>
    </row>
    <row r="695" customFormat="false" ht="15" hidden="false" customHeight="false" outlineLevel="0" collapsed="false">
      <c r="A695" s="37" t="s">
        <v>839</v>
      </c>
      <c r="B695" s="38" t="n">
        <v>45952</v>
      </c>
      <c r="C695" s="37" t="n">
        <f aca="false">MONTH(B695)</f>
        <v>10</v>
      </c>
      <c r="D695" s="37" t="s">
        <v>134</v>
      </c>
      <c r="E695" s="37" t="s">
        <v>45</v>
      </c>
      <c r="F695" s="37" t="s">
        <v>97</v>
      </c>
      <c r="G695" s="37" t="s">
        <v>90</v>
      </c>
      <c r="H695" s="37" t="s">
        <v>108</v>
      </c>
      <c r="I695" s="37" t="n">
        <v>4</v>
      </c>
      <c r="J695" s="39" t="n">
        <v>1999</v>
      </c>
      <c r="K695" s="40" t="n">
        <v>0.1</v>
      </c>
      <c r="L695" s="39" t="n">
        <f aca="false">VLOOKUP(H695,'Product List'!$A$3:$D$18,4,FALSE())</f>
        <v>1560</v>
      </c>
      <c r="M695" s="39" t="n">
        <f aca="false">I695*J695*(1-K695)</f>
        <v>7196.4</v>
      </c>
      <c r="N695" s="39" t="n">
        <f aca="false">I695*L695</f>
        <v>6240</v>
      </c>
      <c r="O695" s="39" t="n">
        <f aca="false">M695-N695</f>
        <v>956.400000000001</v>
      </c>
      <c r="P695" s="41" t="n">
        <f aca="false">IF(M695=0,0,O695/M695)</f>
        <v>0.132899783224946</v>
      </c>
      <c r="Q695" s="37" t="str">
        <f aca="false">IF(K695=0,"No discount",IF(K695&lt;=0.1,"1-10%",IF(K695&lt;=0.2,"11-20%",IF(K695&lt;=0.3,"21-30%","Above 30%"))))</f>
        <v>1-10%</v>
      </c>
      <c r="R695" s="39" t="n">
        <f aca="false">I695*J695*MAX(0,K695-DiscountCap)</f>
        <v>0</v>
      </c>
    </row>
    <row r="696" customFormat="false" ht="15" hidden="false" customHeight="false" outlineLevel="0" collapsed="false">
      <c r="A696" s="37" t="s">
        <v>840</v>
      </c>
      <c r="B696" s="38" t="n">
        <v>45932</v>
      </c>
      <c r="C696" s="37" t="n">
        <f aca="false">MONTH(B696)</f>
        <v>10</v>
      </c>
      <c r="D696" s="37" t="s">
        <v>160</v>
      </c>
      <c r="E696" s="37" t="s">
        <v>46</v>
      </c>
      <c r="F696" s="37" t="s">
        <v>96</v>
      </c>
      <c r="G696" s="37" t="s">
        <v>91</v>
      </c>
      <c r="H696" s="37" t="s">
        <v>116</v>
      </c>
      <c r="I696" s="37" t="n">
        <v>3</v>
      </c>
      <c r="J696" s="39" t="n">
        <v>899</v>
      </c>
      <c r="K696" s="40" t="n">
        <v>0.25</v>
      </c>
      <c r="L696" s="39" t="n">
        <f aca="false">VLOOKUP(H696,'Product List'!$A$3:$D$18,4,FALSE())</f>
        <v>430</v>
      </c>
      <c r="M696" s="39" t="n">
        <f aca="false">I696*J696*(1-K696)</f>
        <v>2022.75</v>
      </c>
      <c r="N696" s="39" t="n">
        <f aca="false">I696*L696</f>
        <v>1290</v>
      </c>
      <c r="O696" s="39" t="n">
        <f aca="false">M696-N696</f>
        <v>732.75</v>
      </c>
      <c r="P696" s="41" t="n">
        <f aca="false">IF(M696=0,0,O696/M696)</f>
        <v>0.362254356692621</v>
      </c>
      <c r="Q696" s="37" t="str">
        <f aca="false">IF(K696=0,"No discount",IF(K696&lt;=0.1,"1-10%",IF(K696&lt;=0.2,"11-20%",IF(K696&lt;=0.3,"21-30%","Above 30%"))))</f>
        <v>21-30%</v>
      </c>
      <c r="R696" s="39" t="n">
        <f aca="false">I696*J696*MAX(0,K696-DiscountCap)</f>
        <v>134.85</v>
      </c>
    </row>
    <row r="697" customFormat="false" ht="15" hidden="false" customHeight="false" outlineLevel="0" collapsed="false">
      <c r="A697" s="37" t="s">
        <v>841</v>
      </c>
      <c r="B697" s="38" t="n">
        <v>45959</v>
      </c>
      <c r="C697" s="37" t="n">
        <f aca="false">MONTH(B697)</f>
        <v>10</v>
      </c>
      <c r="D697" s="37" t="s">
        <v>166</v>
      </c>
      <c r="E697" s="37" t="s">
        <v>44</v>
      </c>
      <c r="F697" s="37" t="s">
        <v>97</v>
      </c>
      <c r="G697" s="37" t="s">
        <v>92</v>
      </c>
      <c r="H697" s="37" t="s">
        <v>112</v>
      </c>
      <c r="I697" s="37" t="n">
        <v>1</v>
      </c>
      <c r="J697" s="39" t="n">
        <v>3299</v>
      </c>
      <c r="K697" s="40" t="n">
        <v>0.15</v>
      </c>
      <c r="L697" s="39" t="n">
        <f aca="false">VLOOKUP(H697,'Product List'!$A$3:$D$18,4,FALSE())</f>
        <v>2250</v>
      </c>
      <c r="M697" s="39" t="n">
        <f aca="false">I697*J697*(1-K697)</f>
        <v>2804.15</v>
      </c>
      <c r="N697" s="39" t="n">
        <f aca="false">I697*L697</f>
        <v>2250</v>
      </c>
      <c r="O697" s="39" t="n">
        <f aca="false">M697-N697</f>
        <v>554.15</v>
      </c>
      <c r="P697" s="41" t="n">
        <f aca="false">IF(M697=0,0,O697/M697)</f>
        <v>0.197617816450618</v>
      </c>
      <c r="Q697" s="37" t="str">
        <f aca="false">IF(K697=0,"No discount",IF(K697&lt;=0.1,"1-10%",IF(K697&lt;=0.2,"11-20%",IF(K697&lt;=0.3,"21-30%","Above 30%"))))</f>
        <v>11-20%</v>
      </c>
      <c r="R697" s="39" t="n">
        <f aca="false">I697*J697*MAX(0,K697-DiscountCap)</f>
        <v>0</v>
      </c>
    </row>
    <row r="698" customFormat="false" ht="15" hidden="false" customHeight="false" outlineLevel="0" collapsed="false">
      <c r="A698" s="37" t="s">
        <v>842</v>
      </c>
      <c r="B698" s="38" t="n">
        <v>45955</v>
      </c>
      <c r="C698" s="37" t="n">
        <f aca="false">MONTH(B698)</f>
        <v>10</v>
      </c>
      <c r="D698" s="37" t="s">
        <v>136</v>
      </c>
      <c r="E698" s="37" t="s">
        <v>47</v>
      </c>
      <c r="F698" s="37" t="s">
        <v>97</v>
      </c>
      <c r="G698" s="37" t="s">
        <v>91</v>
      </c>
      <c r="H698" s="37" t="s">
        <v>117</v>
      </c>
      <c r="I698" s="37" t="n">
        <v>1</v>
      </c>
      <c r="J698" s="39" t="n">
        <v>1499</v>
      </c>
      <c r="K698" s="40" t="n">
        <v>0.1</v>
      </c>
      <c r="L698" s="39" t="n">
        <f aca="false">VLOOKUP(H698,'Product List'!$A$3:$D$18,4,FALSE())</f>
        <v>780</v>
      </c>
      <c r="M698" s="39" t="n">
        <f aca="false">I698*J698*(1-K698)</f>
        <v>1349.1</v>
      </c>
      <c r="N698" s="39" t="n">
        <f aca="false">I698*L698</f>
        <v>780</v>
      </c>
      <c r="O698" s="39" t="n">
        <f aca="false">M698-N698</f>
        <v>569.1</v>
      </c>
      <c r="P698" s="41" t="n">
        <f aca="false">IF(M698=0,0,O698/M698)</f>
        <v>0.421836780075606</v>
      </c>
      <c r="Q698" s="37" t="str">
        <f aca="false">IF(K698=0,"No discount",IF(K698&lt;=0.1,"1-10%",IF(K698&lt;=0.2,"11-20%",IF(K698&lt;=0.3,"21-30%","Above 30%"))))</f>
        <v>1-10%</v>
      </c>
      <c r="R698" s="39" t="n">
        <f aca="false">I698*J698*MAX(0,K698-DiscountCap)</f>
        <v>0</v>
      </c>
    </row>
    <row r="699" customFormat="false" ht="15" hidden="false" customHeight="false" outlineLevel="0" collapsed="false">
      <c r="A699" s="37" t="s">
        <v>843</v>
      </c>
      <c r="B699" s="38" t="n">
        <v>45953</v>
      </c>
      <c r="C699" s="37" t="n">
        <f aca="false">MONTH(B699)</f>
        <v>10</v>
      </c>
      <c r="D699" s="37" t="s">
        <v>144</v>
      </c>
      <c r="E699" s="37" t="s">
        <v>45</v>
      </c>
      <c r="F699" s="37" t="s">
        <v>96</v>
      </c>
      <c r="G699" s="37" t="s">
        <v>92</v>
      </c>
      <c r="H699" s="37" t="s">
        <v>113</v>
      </c>
      <c r="I699" s="37" t="n">
        <v>1</v>
      </c>
      <c r="J699" s="39" t="n">
        <v>2199</v>
      </c>
      <c r="K699" s="40" t="n">
        <v>0.1</v>
      </c>
      <c r="L699" s="39" t="n">
        <f aca="false">VLOOKUP(H699,'Product List'!$A$3:$D$18,4,FALSE())</f>
        <v>1400</v>
      </c>
      <c r="M699" s="39" t="n">
        <f aca="false">I699*J699*(1-K699)</f>
        <v>1979.1</v>
      </c>
      <c r="N699" s="39" t="n">
        <f aca="false">I699*L699</f>
        <v>1400</v>
      </c>
      <c r="O699" s="39" t="n">
        <f aca="false">M699-N699</f>
        <v>579.1</v>
      </c>
      <c r="P699" s="41" t="n">
        <f aca="false">IF(M699=0,0,O699/M699)</f>
        <v>0.292607750997928</v>
      </c>
      <c r="Q699" s="37" t="str">
        <f aca="false">IF(K699=0,"No discount",IF(K699&lt;=0.1,"1-10%",IF(K699&lt;=0.2,"11-20%",IF(K699&lt;=0.3,"21-30%","Above 30%"))))</f>
        <v>1-10%</v>
      </c>
      <c r="R699" s="39" t="n">
        <f aca="false">I699*J699*MAX(0,K699-DiscountCap)</f>
        <v>0</v>
      </c>
    </row>
    <row r="700" customFormat="false" ht="15" hidden="false" customHeight="false" outlineLevel="0" collapsed="false">
      <c r="A700" s="37" t="s">
        <v>844</v>
      </c>
      <c r="B700" s="38" t="n">
        <v>45943</v>
      </c>
      <c r="C700" s="37" t="n">
        <f aca="false">MONTH(B700)</f>
        <v>10</v>
      </c>
      <c r="D700" s="37" t="s">
        <v>172</v>
      </c>
      <c r="E700" s="37" t="s">
        <v>46</v>
      </c>
      <c r="F700" s="37" t="s">
        <v>97</v>
      </c>
      <c r="G700" s="37" t="s">
        <v>93</v>
      </c>
      <c r="H700" s="37" t="s">
        <v>121</v>
      </c>
      <c r="I700" s="37" t="n">
        <v>1</v>
      </c>
      <c r="J700" s="39" t="n">
        <v>999</v>
      </c>
      <c r="K700" s="40" t="n">
        <v>0.05</v>
      </c>
      <c r="L700" s="39" t="n">
        <f aca="false">VLOOKUP(H700,'Product List'!$A$3:$D$18,4,FALSE())</f>
        <v>500</v>
      </c>
      <c r="M700" s="39" t="n">
        <f aca="false">I700*J700*(1-K700)</f>
        <v>949.05</v>
      </c>
      <c r="N700" s="39" t="n">
        <f aca="false">I700*L700</f>
        <v>500</v>
      </c>
      <c r="O700" s="39" t="n">
        <f aca="false">M700-N700</f>
        <v>449.05</v>
      </c>
      <c r="P700" s="41" t="n">
        <f aca="false">IF(M700=0,0,O700/M700)</f>
        <v>0.47315736789421</v>
      </c>
      <c r="Q700" s="37" t="str">
        <f aca="false">IF(K700=0,"No discount",IF(K700&lt;=0.1,"1-10%",IF(K700&lt;=0.2,"11-20%",IF(K700&lt;=0.3,"21-30%","Above 30%"))))</f>
        <v>1-10%</v>
      </c>
      <c r="R700" s="39" t="n">
        <f aca="false">I700*J700*MAX(0,K700-DiscountCap)</f>
        <v>0</v>
      </c>
    </row>
    <row r="701" customFormat="false" ht="15" hidden="false" customHeight="false" outlineLevel="0" collapsed="false">
      <c r="A701" s="37" t="s">
        <v>845</v>
      </c>
      <c r="B701" s="38" t="n">
        <v>45939</v>
      </c>
      <c r="C701" s="37" t="n">
        <f aca="false">MONTH(B701)</f>
        <v>10</v>
      </c>
      <c r="D701" s="37" t="s">
        <v>154</v>
      </c>
      <c r="E701" s="37" t="s">
        <v>47</v>
      </c>
      <c r="F701" s="37" t="s">
        <v>97</v>
      </c>
      <c r="G701" s="37" t="s">
        <v>91</v>
      </c>
      <c r="H701" s="37" t="s">
        <v>116</v>
      </c>
      <c r="I701" s="37" t="n">
        <v>1</v>
      </c>
      <c r="J701" s="39" t="n">
        <v>899</v>
      </c>
      <c r="K701" s="40" t="n">
        <v>0.05</v>
      </c>
      <c r="L701" s="39" t="n">
        <f aca="false">VLOOKUP(H701,'Product List'!$A$3:$D$18,4,FALSE())</f>
        <v>430</v>
      </c>
      <c r="M701" s="39" t="n">
        <f aca="false">I701*J701*(1-K701)</f>
        <v>854.05</v>
      </c>
      <c r="N701" s="39" t="n">
        <f aca="false">I701*L701</f>
        <v>430</v>
      </c>
      <c r="O701" s="39" t="n">
        <f aca="false">M701-N701</f>
        <v>424.05</v>
      </c>
      <c r="P701" s="41" t="n">
        <f aca="false">IF(M701=0,0,O701/M701)</f>
        <v>0.496516597388912</v>
      </c>
      <c r="Q701" s="37" t="str">
        <f aca="false">IF(K701=0,"No discount",IF(K701&lt;=0.1,"1-10%",IF(K701&lt;=0.2,"11-20%",IF(K701&lt;=0.3,"21-30%","Above 30%"))))</f>
        <v>1-10%</v>
      </c>
      <c r="R701" s="39" t="n">
        <f aca="false">I701*J701*MAX(0,K701-DiscountCap)</f>
        <v>0</v>
      </c>
    </row>
    <row r="702" customFormat="false" ht="15" hidden="false" customHeight="false" outlineLevel="0" collapsed="false">
      <c r="A702" s="37" t="s">
        <v>846</v>
      </c>
      <c r="B702" s="38" t="n">
        <v>45958</v>
      </c>
      <c r="C702" s="37" t="n">
        <f aca="false">MONTH(B702)</f>
        <v>10</v>
      </c>
      <c r="D702" s="37" t="s">
        <v>138</v>
      </c>
      <c r="E702" s="37" t="s">
        <v>46</v>
      </c>
      <c r="F702" s="37" t="s">
        <v>97</v>
      </c>
      <c r="G702" s="37" t="s">
        <v>90</v>
      </c>
      <c r="H702" s="37" t="s">
        <v>109</v>
      </c>
      <c r="I702" s="37" t="n">
        <v>2</v>
      </c>
      <c r="J702" s="39" t="n">
        <v>3499</v>
      </c>
      <c r="K702" s="40" t="n">
        <v>0.2</v>
      </c>
      <c r="L702" s="39" t="n">
        <f aca="false">VLOOKUP(H702,'Product List'!$A$3:$D$18,4,FALSE())</f>
        <v>2750</v>
      </c>
      <c r="M702" s="39" t="n">
        <f aca="false">I702*J702*(1-K702)</f>
        <v>5598.4</v>
      </c>
      <c r="N702" s="39" t="n">
        <f aca="false">I702*L702</f>
        <v>5500</v>
      </c>
      <c r="O702" s="39" t="n">
        <f aca="false">M702-N702</f>
        <v>98.4000000000006</v>
      </c>
      <c r="P702" s="41" t="n">
        <f aca="false">IF(M702=0,0,O702/M702)</f>
        <v>0.0175764504144042</v>
      </c>
      <c r="Q702" s="37" t="str">
        <f aca="false">IF(K702=0,"No discount",IF(K702&lt;=0.1,"1-10%",IF(K702&lt;=0.2,"11-20%",IF(K702&lt;=0.3,"21-30%","Above 30%"))))</f>
        <v>11-20%</v>
      </c>
      <c r="R702" s="39" t="n">
        <f aca="false">I702*J702*MAX(0,K702-DiscountCap)</f>
        <v>0</v>
      </c>
    </row>
    <row r="703" customFormat="false" ht="15" hidden="false" customHeight="false" outlineLevel="0" collapsed="false">
      <c r="A703" s="37" t="s">
        <v>847</v>
      </c>
      <c r="B703" s="38" t="n">
        <v>45961</v>
      </c>
      <c r="C703" s="37" t="n">
        <f aca="false">MONTH(B703)</f>
        <v>10</v>
      </c>
      <c r="D703" s="37" t="s">
        <v>172</v>
      </c>
      <c r="E703" s="37" t="s">
        <v>46</v>
      </c>
      <c r="F703" s="37" t="s">
        <v>97</v>
      </c>
      <c r="G703" s="37" t="s">
        <v>90</v>
      </c>
      <c r="H703" s="37" t="s">
        <v>109</v>
      </c>
      <c r="I703" s="37" t="n">
        <v>1</v>
      </c>
      <c r="J703" s="39" t="n">
        <v>3499</v>
      </c>
      <c r="K703" s="40" t="n">
        <v>0</v>
      </c>
      <c r="L703" s="39" t="n">
        <f aca="false">VLOOKUP(H703,'Product List'!$A$3:$D$18,4,FALSE())</f>
        <v>2750</v>
      </c>
      <c r="M703" s="39" t="n">
        <f aca="false">I703*J703*(1-K703)</f>
        <v>3499</v>
      </c>
      <c r="N703" s="39" t="n">
        <f aca="false">I703*L703</f>
        <v>2750</v>
      </c>
      <c r="O703" s="39" t="n">
        <f aca="false">M703-N703</f>
        <v>749</v>
      </c>
      <c r="P703" s="41" t="n">
        <f aca="false">IF(M703=0,0,O703/M703)</f>
        <v>0.214061160331523</v>
      </c>
      <c r="Q703" s="37" t="str">
        <f aca="false">IF(K703=0,"No discount",IF(K703&lt;=0.1,"1-10%",IF(K703&lt;=0.2,"11-20%",IF(K703&lt;=0.3,"21-30%","Above 30%"))))</f>
        <v>No discount</v>
      </c>
      <c r="R703" s="39" t="n">
        <f aca="false">I703*J703*MAX(0,K703-DiscountCap)</f>
        <v>0</v>
      </c>
    </row>
    <row r="704" customFormat="false" ht="15" hidden="false" customHeight="false" outlineLevel="0" collapsed="false">
      <c r="A704" s="37" t="s">
        <v>848</v>
      </c>
      <c r="B704" s="38" t="n">
        <v>45942</v>
      </c>
      <c r="C704" s="37" t="n">
        <f aca="false">MONTH(B704)</f>
        <v>10</v>
      </c>
      <c r="D704" s="37" t="s">
        <v>166</v>
      </c>
      <c r="E704" s="37" t="s">
        <v>44</v>
      </c>
      <c r="F704" s="37" t="s">
        <v>97</v>
      </c>
      <c r="G704" s="37" t="s">
        <v>93</v>
      </c>
      <c r="H704" s="37" t="s">
        <v>121</v>
      </c>
      <c r="I704" s="37" t="n">
        <v>1</v>
      </c>
      <c r="J704" s="39" t="n">
        <v>999</v>
      </c>
      <c r="K704" s="40" t="n">
        <v>0.05</v>
      </c>
      <c r="L704" s="39" t="n">
        <f aca="false">VLOOKUP(H704,'Product List'!$A$3:$D$18,4,FALSE())</f>
        <v>500</v>
      </c>
      <c r="M704" s="39" t="n">
        <f aca="false">I704*J704*(1-K704)</f>
        <v>949.05</v>
      </c>
      <c r="N704" s="39" t="n">
        <f aca="false">I704*L704</f>
        <v>500</v>
      </c>
      <c r="O704" s="39" t="n">
        <f aca="false">M704-N704</f>
        <v>449.05</v>
      </c>
      <c r="P704" s="41" t="n">
        <f aca="false">IF(M704=0,0,O704/M704)</f>
        <v>0.47315736789421</v>
      </c>
      <c r="Q704" s="37" t="str">
        <f aca="false">IF(K704=0,"No discount",IF(K704&lt;=0.1,"1-10%",IF(K704&lt;=0.2,"11-20%",IF(K704&lt;=0.3,"21-30%","Above 30%"))))</f>
        <v>1-10%</v>
      </c>
      <c r="R704" s="39" t="n">
        <f aca="false">I704*J704*MAX(0,K704-DiscountCap)</f>
        <v>0</v>
      </c>
    </row>
    <row r="705" customFormat="false" ht="15" hidden="false" customHeight="false" outlineLevel="0" collapsed="false">
      <c r="A705" s="37" t="s">
        <v>849</v>
      </c>
      <c r="B705" s="38" t="n">
        <v>45931</v>
      </c>
      <c r="C705" s="37" t="n">
        <f aca="false">MONTH(B705)</f>
        <v>10</v>
      </c>
      <c r="D705" s="37" t="s">
        <v>144</v>
      </c>
      <c r="E705" s="37" t="s">
        <v>45</v>
      </c>
      <c r="F705" s="37" t="s">
        <v>97</v>
      </c>
      <c r="G705" s="37" t="s">
        <v>92</v>
      </c>
      <c r="H705" s="37" t="s">
        <v>113</v>
      </c>
      <c r="I705" s="37" t="n">
        <v>1</v>
      </c>
      <c r="J705" s="39" t="n">
        <v>2199</v>
      </c>
      <c r="K705" s="40" t="n">
        <v>0.05</v>
      </c>
      <c r="L705" s="39" t="n">
        <f aca="false">VLOOKUP(H705,'Product List'!$A$3:$D$18,4,FALSE())</f>
        <v>1400</v>
      </c>
      <c r="M705" s="39" t="n">
        <f aca="false">I705*J705*(1-K705)</f>
        <v>2089.05</v>
      </c>
      <c r="N705" s="39" t="n">
        <f aca="false">I705*L705</f>
        <v>1400</v>
      </c>
      <c r="O705" s="39" t="n">
        <f aca="false">M705-N705</f>
        <v>689.05</v>
      </c>
      <c r="P705" s="41" t="n">
        <f aca="false">IF(M705=0,0,O705/M705)</f>
        <v>0.329838921998037</v>
      </c>
      <c r="Q705" s="37" t="str">
        <f aca="false">IF(K705=0,"No discount",IF(K705&lt;=0.1,"1-10%",IF(K705&lt;=0.2,"11-20%",IF(K705&lt;=0.3,"21-30%","Above 30%"))))</f>
        <v>1-10%</v>
      </c>
      <c r="R705" s="39" t="n">
        <f aca="false">I705*J705*MAX(0,K705-DiscountCap)</f>
        <v>0</v>
      </c>
    </row>
    <row r="706" customFormat="false" ht="15" hidden="false" customHeight="false" outlineLevel="0" collapsed="false">
      <c r="A706" s="37" t="s">
        <v>850</v>
      </c>
      <c r="B706" s="38" t="n">
        <v>45953</v>
      </c>
      <c r="C706" s="37" t="n">
        <f aca="false">MONTH(B706)</f>
        <v>10</v>
      </c>
      <c r="D706" s="37" t="s">
        <v>142</v>
      </c>
      <c r="E706" s="37" t="s">
        <v>47</v>
      </c>
      <c r="F706" s="37" t="s">
        <v>97</v>
      </c>
      <c r="G706" s="37" t="s">
        <v>91</v>
      </c>
      <c r="H706" s="37" t="s">
        <v>116</v>
      </c>
      <c r="I706" s="37" t="n">
        <v>1</v>
      </c>
      <c r="J706" s="39" t="n">
        <v>899</v>
      </c>
      <c r="K706" s="40" t="n">
        <v>0.25</v>
      </c>
      <c r="L706" s="39" t="n">
        <f aca="false">VLOOKUP(H706,'Product List'!$A$3:$D$18,4,FALSE())</f>
        <v>430</v>
      </c>
      <c r="M706" s="39" t="n">
        <f aca="false">I706*J706*(1-K706)</f>
        <v>674.25</v>
      </c>
      <c r="N706" s="39" t="n">
        <f aca="false">I706*L706</f>
        <v>430</v>
      </c>
      <c r="O706" s="39" t="n">
        <f aca="false">M706-N706</f>
        <v>244.25</v>
      </c>
      <c r="P706" s="41" t="n">
        <f aca="false">IF(M706=0,0,O706/M706)</f>
        <v>0.362254356692621</v>
      </c>
      <c r="Q706" s="37" t="str">
        <f aca="false">IF(K706=0,"No discount",IF(K706&lt;=0.1,"1-10%",IF(K706&lt;=0.2,"11-20%",IF(K706&lt;=0.3,"21-30%","Above 30%"))))</f>
        <v>21-30%</v>
      </c>
      <c r="R706" s="39" t="n">
        <f aca="false">I706*J706*MAX(0,K706-DiscountCap)</f>
        <v>44.95</v>
      </c>
    </row>
    <row r="707" customFormat="false" ht="15" hidden="false" customHeight="false" outlineLevel="0" collapsed="false">
      <c r="A707" s="37" t="s">
        <v>851</v>
      </c>
      <c r="B707" s="38" t="n">
        <v>45951</v>
      </c>
      <c r="C707" s="37" t="n">
        <f aca="false">MONTH(B707)</f>
        <v>10</v>
      </c>
      <c r="D707" s="37" t="s">
        <v>154</v>
      </c>
      <c r="E707" s="37" t="s">
        <v>47</v>
      </c>
      <c r="F707" s="37" t="s">
        <v>96</v>
      </c>
      <c r="G707" s="37" t="s">
        <v>90</v>
      </c>
      <c r="H707" s="37" t="s">
        <v>109</v>
      </c>
      <c r="I707" s="37" t="n">
        <v>1</v>
      </c>
      <c r="J707" s="39" t="n">
        <v>3499</v>
      </c>
      <c r="K707" s="40" t="n">
        <v>0.3</v>
      </c>
      <c r="L707" s="39" t="n">
        <f aca="false">VLOOKUP(H707,'Product List'!$A$3:$D$18,4,FALSE())</f>
        <v>2750</v>
      </c>
      <c r="M707" s="39" t="n">
        <f aca="false">I707*J707*(1-K707)</f>
        <v>2449.3</v>
      </c>
      <c r="N707" s="39" t="n">
        <f aca="false">I707*L707</f>
        <v>2750</v>
      </c>
      <c r="O707" s="39" t="n">
        <f aca="false">M707-N707</f>
        <v>-300.7</v>
      </c>
      <c r="P707" s="41" t="n">
        <f aca="false">IF(M707=0,0,O707/M707)</f>
        <v>-0.122769770954967</v>
      </c>
      <c r="Q707" s="37" t="str">
        <f aca="false">IF(K707=0,"No discount",IF(K707&lt;=0.1,"1-10%",IF(K707&lt;=0.2,"11-20%",IF(K707&lt;=0.3,"21-30%","Above 30%"))))</f>
        <v>21-30%</v>
      </c>
      <c r="R707" s="39" t="n">
        <f aca="false">I707*J707*MAX(0,K707-DiscountCap)</f>
        <v>349.9</v>
      </c>
    </row>
    <row r="708" customFormat="false" ht="15" hidden="false" customHeight="false" outlineLevel="0" collapsed="false">
      <c r="A708" s="37" t="s">
        <v>852</v>
      </c>
      <c r="B708" s="38" t="n">
        <v>45956</v>
      </c>
      <c r="C708" s="37" t="n">
        <f aca="false">MONTH(B708)</f>
        <v>10</v>
      </c>
      <c r="D708" s="37" t="s">
        <v>134</v>
      </c>
      <c r="E708" s="37" t="s">
        <v>45</v>
      </c>
      <c r="F708" s="37" t="s">
        <v>96</v>
      </c>
      <c r="G708" s="37" t="s">
        <v>92</v>
      </c>
      <c r="H708" s="37" t="s">
        <v>114</v>
      </c>
      <c r="I708" s="37" t="n">
        <v>3</v>
      </c>
      <c r="J708" s="39" t="n">
        <v>1199</v>
      </c>
      <c r="K708" s="40" t="n">
        <v>0.1</v>
      </c>
      <c r="L708" s="39" t="n">
        <f aca="false">VLOOKUP(H708,'Product List'!$A$3:$D$18,4,FALSE())</f>
        <v>780</v>
      </c>
      <c r="M708" s="39" t="n">
        <f aca="false">I708*J708*(1-K708)</f>
        <v>3237.3</v>
      </c>
      <c r="N708" s="39" t="n">
        <f aca="false">I708*L708</f>
        <v>2340</v>
      </c>
      <c r="O708" s="39" t="n">
        <f aca="false">M708-N708</f>
        <v>897.3</v>
      </c>
      <c r="P708" s="41" t="n">
        <f aca="false">IF(M708=0,0,O708/M708)</f>
        <v>0.277175423964415</v>
      </c>
      <c r="Q708" s="37" t="str">
        <f aca="false">IF(K708=0,"No discount",IF(K708&lt;=0.1,"1-10%",IF(K708&lt;=0.2,"11-20%",IF(K708&lt;=0.3,"21-30%","Above 30%"))))</f>
        <v>1-10%</v>
      </c>
      <c r="R708" s="39" t="n">
        <f aca="false">I708*J708*MAX(0,K708-DiscountCap)</f>
        <v>0</v>
      </c>
    </row>
    <row r="709" customFormat="false" ht="15" hidden="false" customHeight="false" outlineLevel="0" collapsed="false">
      <c r="A709" s="37" t="s">
        <v>853</v>
      </c>
      <c r="B709" s="38" t="n">
        <v>45944</v>
      </c>
      <c r="C709" s="37" t="n">
        <f aca="false">MONTH(B709)</f>
        <v>10</v>
      </c>
      <c r="D709" s="37" t="s">
        <v>142</v>
      </c>
      <c r="E709" s="37" t="s">
        <v>47</v>
      </c>
      <c r="F709" s="37" t="s">
        <v>96</v>
      </c>
      <c r="G709" s="37" t="s">
        <v>91</v>
      </c>
      <c r="H709" s="37" t="s">
        <v>117</v>
      </c>
      <c r="I709" s="37" t="n">
        <v>1</v>
      </c>
      <c r="J709" s="39" t="n">
        <v>1499</v>
      </c>
      <c r="K709" s="40" t="n">
        <v>0.25</v>
      </c>
      <c r="L709" s="39" t="n">
        <f aca="false">VLOOKUP(H709,'Product List'!$A$3:$D$18,4,FALSE())</f>
        <v>780</v>
      </c>
      <c r="M709" s="39" t="n">
        <f aca="false">I709*J709*(1-K709)</f>
        <v>1124.25</v>
      </c>
      <c r="N709" s="39" t="n">
        <f aca="false">I709*L709</f>
        <v>780</v>
      </c>
      <c r="O709" s="39" t="n">
        <f aca="false">M709-N709</f>
        <v>344.25</v>
      </c>
      <c r="P709" s="41" t="n">
        <f aca="false">IF(M709=0,0,O709/M709)</f>
        <v>0.306204136090727</v>
      </c>
      <c r="Q709" s="37" t="str">
        <f aca="false">IF(K709=0,"No discount",IF(K709&lt;=0.1,"1-10%",IF(K709&lt;=0.2,"11-20%",IF(K709&lt;=0.3,"21-30%","Above 30%"))))</f>
        <v>21-30%</v>
      </c>
      <c r="R709" s="39" t="n">
        <f aca="false">I709*J709*MAX(0,K709-DiscountCap)</f>
        <v>74.95</v>
      </c>
    </row>
    <row r="710" customFormat="false" ht="15" hidden="false" customHeight="false" outlineLevel="0" collapsed="false">
      <c r="A710" s="37" t="s">
        <v>854</v>
      </c>
      <c r="B710" s="38" t="n">
        <v>45938</v>
      </c>
      <c r="C710" s="37" t="n">
        <f aca="false">MONTH(B710)</f>
        <v>10</v>
      </c>
      <c r="D710" s="37" t="s">
        <v>169</v>
      </c>
      <c r="E710" s="37" t="s">
        <v>44</v>
      </c>
      <c r="F710" s="37" t="s">
        <v>97</v>
      </c>
      <c r="G710" s="37" t="s">
        <v>90</v>
      </c>
      <c r="H710" s="37" t="s">
        <v>111</v>
      </c>
      <c r="I710" s="37" t="n">
        <v>4</v>
      </c>
      <c r="J710" s="39" t="n">
        <v>2499</v>
      </c>
      <c r="K710" s="40" t="n">
        <v>0.15</v>
      </c>
      <c r="L710" s="39" t="n">
        <f aca="false">VLOOKUP(H710,'Product List'!$A$3:$D$18,4,FALSE())</f>
        <v>1950</v>
      </c>
      <c r="M710" s="39" t="n">
        <f aca="false">I710*J710*(1-K710)</f>
        <v>8496.6</v>
      </c>
      <c r="N710" s="39" t="n">
        <f aca="false">I710*L710</f>
        <v>7800</v>
      </c>
      <c r="O710" s="39" t="n">
        <f aca="false">M710-N710</f>
        <v>696.6</v>
      </c>
      <c r="P710" s="41" t="n">
        <f aca="false">IF(M710=0,0,O710/M710)</f>
        <v>0.0819857354706589</v>
      </c>
      <c r="Q710" s="37" t="str">
        <f aca="false">IF(K710=0,"No discount",IF(K710&lt;=0.1,"1-10%",IF(K710&lt;=0.2,"11-20%",IF(K710&lt;=0.3,"21-30%","Above 30%"))))</f>
        <v>11-20%</v>
      </c>
      <c r="R710" s="39" t="n">
        <f aca="false">I710*J710*MAX(0,K710-DiscountCap)</f>
        <v>0</v>
      </c>
    </row>
    <row r="711" customFormat="false" ht="15" hidden="false" customHeight="false" outlineLevel="0" collapsed="false">
      <c r="A711" s="37" t="s">
        <v>855</v>
      </c>
      <c r="B711" s="38" t="n">
        <v>45955</v>
      </c>
      <c r="C711" s="37" t="n">
        <f aca="false">MONTH(B711)</f>
        <v>10</v>
      </c>
      <c r="D711" s="37" t="s">
        <v>134</v>
      </c>
      <c r="E711" s="37" t="s">
        <v>45</v>
      </c>
      <c r="F711" s="37" t="s">
        <v>96</v>
      </c>
      <c r="G711" s="37" t="s">
        <v>91</v>
      </c>
      <c r="H711" s="37" t="s">
        <v>116</v>
      </c>
      <c r="I711" s="37" t="n">
        <v>4</v>
      </c>
      <c r="J711" s="39" t="n">
        <v>899</v>
      </c>
      <c r="K711" s="40" t="n">
        <v>0.15</v>
      </c>
      <c r="L711" s="39" t="n">
        <f aca="false">VLOOKUP(H711,'Product List'!$A$3:$D$18,4,FALSE())</f>
        <v>430</v>
      </c>
      <c r="M711" s="39" t="n">
        <f aca="false">I711*J711*(1-K711)</f>
        <v>3056.6</v>
      </c>
      <c r="N711" s="39" t="n">
        <f aca="false">I711*L711</f>
        <v>1720</v>
      </c>
      <c r="O711" s="39" t="n">
        <f aca="false">M711-N711</f>
        <v>1336.6</v>
      </c>
      <c r="P711" s="41" t="n">
        <f aca="false">IF(M711=0,0,O711/M711)</f>
        <v>0.437283255905254</v>
      </c>
      <c r="Q711" s="37" t="str">
        <f aca="false">IF(K711=0,"No discount",IF(K711&lt;=0.1,"1-10%",IF(K711&lt;=0.2,"11-20%",IF(K711&lt;=0.3,"21-30%","Above 30%"))))</f>
        <v>11-20%</v>
      </c>
      <c r="R711" s="39" t="n">
        <f aca="false">I711*J711*MAX(0,K711-DiscountCap)</f>
        <v>0</v>
      </c>
    </row>
    <row r="712" customFormat="false" ht="15" hidden="false" customHeight="false" outlineLevel="0" collapsed="false">
      <c r="A712" s="37" t="s">
        <v>856</v>
      </c>
      <c r="B712" s="38" t="n">
        <v>45952</v>
      </c>
      <c r="C712" s="37" t="n">
        <f aca="false">MONTH(B712)</f>
        <v>10</v>
      </c>
      <c r="D712" s="37" t="s">
        <v>144</v>
      </c>
      <c r="E712" s="37" t="s">
        <v>45</v>
      </c>
      <c r="F712" s="37" t="s">
        <v>96</v>
      </c>
      <c r="G712" s="37" t="s">
        <v>93</v>
      </c>
      <c r="H712" s="37" t="s">
        <v>123</v>
      </c>
      <c r="I712" s="37" t="n">
        <v>1</v>
      </c>
      <c r="J712" s="39" t="n">
        <v>1299</v>
      </c>
      <c r="K712" s="40" t="n">
        <v>0.4</v>
      </c>
      <c r="L712" s="39" t="n">
        <f aca="false">VLOOKUP(H712,'Product List'!$A$3:$D$18,4,FALSE())</f>
        <v>700</v>
      </c>
      <c r="M712" s="39" t="n">
        <f aca="false">I712*J712*(1-K712)</f>
        <v>779.4</v>
      </c>
      <c r="N712" s="39" t="n">
        <f aca="false">I712*L712</f>
        <v>700</v>
      </c>
      <c r="O712" s="39" t="n">
        <f aca="false">M712-N712</f>
        <v>79.4</v>
      </c>
      <c r="P712" s="41" t="n">
        <f aca="false">IF(M712=0,0,O712/M712)</f>
        <v>0.101873235822427</v>
      </c>
      <c r="Q712" s="37" t="str">
        <f aca="false">IF(K712=0,"No discount",IF(K712&lt;=0.1,"1-10%",IF(K712&lt;=0.2,"11-20%",IF(K712&lt;=0.3,"21-30%","Above 30%"))))</f>
        <v>Above 30%</v>
      </c>
      <c r="R712" s="39" t="n">
        <f aca="false">I712*J712*MAX(0,K712-DiscountCap)</f>
        <v>259.8</v>
      </c>
    </row>
    <row r="713" customFormat="false" ht="15" hidden="false" customHeight="false" outlineLevel="0" collapsed="false">
      <c r="A713" s="37" t="s">
        <v>857</v>
      </c>
      <c r="B713" s="38" t="n">
        <v>45935</v>
      </c>
      <c r="C713" s="37" t="n">
        <f aca="false">MONTH(B713)</f>
        <v>10</v>
      </c>
      <c r="D713" s="37" t="s">
        <v>142</v>
      </c>
      <c r="E713" s="37" t="s">
        <v>47</v>
      </c>
      <c r="F713" s="37" t="s">
        <v>96</v>
      </c>
      <c r="G713" s="37" t="s">
        <v>91</v>
      </c>
      <c r="H713" s="37" t="s">
        <v>116</v>
      </c>
      <c r="I713" s="37" t="n">
        <v>2</v>
      </c>
      <c r="J713" s="39" t="n">
        <v>899</v>
      </c>
      <c r="K713" s="40" t="n">
        <v>0</v>
      </c>
      <c r="L713" s="39" t="n">
        <f aca="false">VLOOKUP(H713,'Product List'!$A$3:$D$18,4,FALSE())</f>
        <v>430</v>
      </c>
      <c r="M713" s="39" t="n">
        <f aca="false">I713*J713*(1-K713)</f>
        <v>1798</v>
      </c>
      <c r="N713" s="39" t="n">
        <f aca="false">I713*L713</f>
        <v>860</v>
      </c>
      <c r="O713" s="39" t="n">
        <f aca="false">M713-N713</f>
        <v>938</v>
      </c>
      <c r="P713" s="41" t="n">
        <f aca="false">IF(M713=0,0,O713/M713)</f>
        <v>0.521690767519466</v>
      </c>
      <c r="Q713" s="37" t="str">
        <f aca="false">IF(K713=0,"No discount",IF(K713&lt;=0.1,"1-10%",IF(K713&lt;=0.2,"11-20%",IF(K713&lt;=0.3,"21-30%","Above 30%"))))</f>
        <v>No discount</v>
      </c>
      <c r="R713" s="39" t="n">
        <f aca="false">I713*J713*MAX(0,K713-DiscountCap)</f>
        <v>0</v>
      </c>
    </row>
    <row r="714" customFormat="false" ht="15" hidden="false" customHeight="false" outlineLevel="0" collapsed="false">
      <c r="A714" s="37" t="s">
        <v>858</v>
      </c>
      <c r="B714" s="38" t="n">
        <v>45936</v>
      </c>
      <c r="C714" s="37" t="n">
        <f aca="false">MONTH(B714)</f>
        <v>10</v>
      </c>
      <c r="D714" s="37" t="s">
        <v>172</v>
      </c>
      <c r="E714" s="37" t="s">
        <v>46</v>
      </c>
      <c r="F714" s="37" t="s">
        <v>96</v>
      </c>
      <c r="G714" s="37" t="s">
        <v>91</v>
      </c>
      <c r="H714" s="37" t="s">
        <v>119</v>
      </c>
      <c r="I714" s="37" t="n">
        <v>1</v>
      </c>
      <c r="J714" s="39" t="n">
        <v>1099</v>
      </c>
      <c r="K714" s="40" t="n">
        <v>0.25</v>
      </c>
      <c r="L714" s="39" t="n">
        <f aca="false">VLOOKUP(H714,'Product List'!$A$3:$D$18,4,FALSE())</f>
        <v>560</v>
      </c>
      <c r="M714" s="39" t="n">
        <f aca="false">I714*J714*(1-K714)</f>
        <v>824.25</v>
      </c>
      <c r="N714" s="39" t="n">
        <f aca="false">I714*L714</f>
        <v>560</v>
      </c>
      <c r="O714" s="39" t="n">
        <f aca="false">M714-N714</f>
        <v>264.25</v>
      </c>
      <c r="P714" s="41" t="n">
        <f aca="false">IF(M714=0,0,O714/M714)</f>
        <v>0.320594479830149</v>
      </c>
      <c r="Q714" s="37" t="str">
        <f aca="false">IF(K714=0,"No discount",IF(K714&lt;=0.1,"1-10%",IF(K714&lt;=0.2,"11-20%",IF(K714&lt;=0.3,"21-30%","Above 30%"))))</f>
        <v>21-30%</v>
      </c>
      <c r="R714" s="39" t="n">
        <f aca="false">I714*J714*MAX(0,K714-DiscountCap)</f>
        <v>54.95</v>
      </c>
    </row>
    <row r="715" customFormat="false" ht="15" hidden="false" customHeight="false" outlineLevel="0" collapsed="false">
      <c r="A715" s="37" t="s">
        <v>859</v>
      </c>
      <c r="B715" s="38" t="n">
        <v>45955</v>
      </c>
      <c r="C715" s="37" t="n">
        <f aca="false">MONTH(B715)</f>
        <v>10</v>
      </c>
      <c r="D715" s="37" t="s">
        <v>134</v>
      </c>
      <c r="E715" s="37" t="s">
        <v>45</v>
      </c>
      <c r="F715" s="37" t="s">
        <v>97</v>
      </c>
      <c r="G715" s="37" t="s">
        <v>93</v>
      </c>
      <c r="H715" s="37" t="s">
        <v>123</v>
      </c>
      <c r="I715" s="37" t="n">
        <v>2</v>
      </c>
      <c r="J715" s="39" t="n">
        <v>1299</v>
      </c>
      <c r="K715" s="40" t="n">
        <v>0.15</v>
      </c>
      <c r="L715" s="39" t="n">
        <f aca="false">VLOOKUP(H715,'Product List'!$A$3:$D$18,4,FALSE())</f>
        <v>700</v>
      </c>
      <c r="M715" s="39" t="n">
        <f aca="false">I715*J715*(1-K715)</f>
        <v>2208.3</v>
      </c>
      <c r="N715" s="39" t="n">
        <f aca="false">I715*L715</f>
        <v>1400</v>
      </c>
      <c r="O715" s="39" t="n">
        <f aca="false">M715-N715</f>
        <v>808.3</v>
      </c>
      <c r="P715" s="41" t="n">
        <f aca="false">IF(M715=0,0,O715/M715)</f>
        <v>0.36602816646289</v>
      </c>
      <c r="Q715" s="37" t="str">
        <f aca="false">IF(K715=0,"No discount",IF(K715&lt;=0.1,"1-10%",IF(K715&lt;=0.2,"11-20%",IF(K715&lt;=0.3,"21-30%","Above 30%"))))</f>
        <v>11-20%</v>
      </c>
      <c r="R715" s="39" t="n">
        <f aca="false">I715*J715*MAX(0,K715-DiscountCap)</f>
        <v>0</v>
      </c>
    </row>
    <row r="716" customFormat="false" ht="15" hidden="false" customHeight="false" outlineLevel="0" collapsed="false">
      <c r="A716" s="37" t="s">
        <v>860</v>
      </c>
      <c r="B716" s="38" t="n">
        <v>45940</v>
      </c>
      <c r="C716" s="37" t="n">
        <f aca="false">MONTH(B716)</f>
        <v>10</v>
      </c>
      <c r="D716" s="37" t="s">
        <v>136</v>
      </c>
      <c r="E716" s="37" t="s">
        <v>47</v>
      </c>
      <c r="F716" s="37" t="s">
        <v>96</v>
      </c>
      <c r="G716" s="37" t="s">
        <v>91</v>
      </c>
      <c r="H716" s="37" t="s">
        <v>118</v>
      </c>
      <c r="I716" s="37" t="n">
        <v>1</v>
      </c>
      <c r="J716" s="39" t="n">
        <v>2299</v>
      </c>
      <c r="K716" s="40" t="n">
        <v>0.1</v>
      </c>
      <c r="L716" s="39" t="n">
        <f aca="false">VLOOKUP(H716,'Product List'!$A$3:$D$18,4,FALSE())</f>
        <v>1300</v>
      </c>
      <c r="M716" s="39" t="n">
        <f aca="false">I716*J716*(1-K716)</f>
        <v>2069.1</v>
      </c>
      <c r="N716" s="39" t="n">
        <f aca="false">I716*L716</f>
        <v>1300</v>
      </c>
      <c r="O716" s="39" t="n">
        <f aca="false">M716-N716</f>
        <v>769.1</v>
      </c>
      <c r="P716" s="41" t="n">
        <f aca="false">IF(M716=0,0,O716/M716)</f>
        <v>0.371707505678798</v>
      </c>
      <c r="Q716" s="37" t="str">
        <f aca="false">IF(K716=0,"No discount",IF(K716&lt;=0.1,"1-10%",IF(K716&lt;=0.2,"11-20%",IF(K716&lt;=0.3,"21-30%","Above 30%"))))</f>
        <v>1-10%</v>
      </c>
      <c r="R716" s="39" t="n">
        <f aca="false">I716*J716*MAX(0,K716-DiscountCap)</f>
        <v>0</v>
      </c>
    </row>
    <row r="717" customFormat="false" ht="15" hidden="false" customHeight="false" outlineLevel="0" collapsed="false">
      <c r="A717" s="37" t="s">
        <v>861</v>
      </c>
      <c r="B717" s="38" t="n">
        <v>45961</v>
      </c>
      <c r="C717" s="37" t="n">
        <f aca="false">MONTH(B717)</f>
        <v>10</v>
      </c>
      <c r="D717" s="37" t="s">
        <v>154</v>
      </c>
      <c r="E717" s="37" t="s">
        <v>47</v>
      </c>
      <c r="F717" s="37" t="s">
        <v>97</v>
      </c>
      <c r="G717" s="37" t="s">
        <v>90</v>
      </c>
      <c r="H717" s="37" t="s">
        <v>109</v>
      </c>
      <c r="I717" s="37" t="n">
        <v>1</v>
      </c>
      <c r="J717" s="39" t="n">
        <v>3499</v>
      </c>
      <c r="K717" s="40" t="n">
        <v>0.15</v>
      </c>
      <c r="L717" s="39" t="n">
        <f aca="false">VLOOKUP(H717,'Product List'!$A$3:$D$18,4,FALSE())</f>
        <v>2750</v>
      </c>
      <c r="M717" s="39" t="n">
        <f aca="false">I717*J717*(1-K717)</f>
        <v>2974.15</v>
      </c>
      <c r="N717" s="39" t="n">
        <f aca="false">I717*L717</f>
        <v>2750</v>
      </c>
      <c r="O717" s="39" t="n">
        <f aca="false">M717-N717</f>
        <v>224.15</v>
      </c>
      <c r="P717" s="41" t="n">
        <f aca="false">IF(M717=0,0,O717/M717)</f>
        <v>0.0753660709782627</v>
      </c>
      <c r="Q717" s="37" t="str">
        <f aca="false">IF(K717=0,"No discount",IF(K717&lt;=0.1,"1-10%",IF(K717&lt;=0.2,"11-20%",IF(K717&lt;=0.3,"21-30%","Above 30%"))))</f>
        <v>11-20%</v>
      </c>
      <c r="R717" s="39" t="n">
        <f aca="false">I717*J717*MAX(0,K717-DiscountCap)</f>
        <v>0</v>
      </c>
    </row>
    <row r="718" customFormat="false" ht="15" hidden="false" customHeight="false" outlineLevel="0" collapsed="false">
      <c r="A718" s="37" t="s">
        <v>862</v>
      </c>
      <c r="B718" s="38" t="n">
        <v>45945</v>
      </c>
      <c r="C718" s="37" t="n">
        <f aca="false">MONTH(B718)</f>
        <v>10</v>
      </c>
      <c r="D718" s="37" t="s">
        <v>166</v>
      </c>
      <c r="E718" s="37" t="s">
        <v>44</v>
      </c>
      <c r="F718" s="37" t="s">
        <v>97</v>
      </c>
      <c r="G718" s="37" t="s">
        <v>90</v>
      </c>
      <c r="H718" s="37" t="s">
        <v>111</v>
      </c>
      <c r="I718" s="37" t="n">
        <v>2</v>
      </c>
      <c r="J718" s="39" t="n">
        <v>2499</v>
      </c>
      <c r="K718" s="40" t="n">
        <v>0.2</v>
      </c>
      <c r="L718" s="39" t="n">
        <f aca="false">VLOOKUP(H718,'Product List'!$A$3:$D$18,4,FALSE())</f>
        <v>1950</v>
      </c>
      <c r="M718" s="39" t="n">
        <f aca="false">I718*J718*(1-K718)</f>
        <v>3998.4</v>
      </c>
      <c r="N718" s="39" t="n">
        <f aca="false">I718*L718</f>
        <v>3900</v>
      </c>
      <c r="O718" s="39" t="n">
        <f aca="false">M718-N718</f>
        <v>98.4000000000001</v>
      </c>
      <c r="P718" s="41" t="n">
        <f aca="false">IF(M718=0,0,O718/M718)</f>
        <v>0.0246098439375751</v>
      </c>
      <c r="Q718" s="37" t="str">
        <f aca="false">IF(K718=0,"No discount",IF(K718&lt;=0.1,"1-10%",IF(K718&lt;=0.2,"11-20%",IF(K718&lt;=0.3,"21-30%","Above 30%"))))</f>
        <v>11-20%</v>
      </c>
      <c r="R718" s="39" t="n">
        <f aca="false">I718*J718*MAX(0,K718-DiscountCap)</f>
        <v>0</v>
      </c>
    </row>
    <row r="719" customFormat="false" ht="15" hidden="false" customHeight="false" outlineLevel="0" collapsed="false">
      <c r="A719" s="37" t="s">
        <v>863</v>
      </c>
      <c r="B719" s="38" t="n">
        <v>45939</v>
      </c>
      <c r="C719" s="37" t="n">
        <f aca="false">MONTH(B719)</f>
        <v>10</v>
      </c>
      <c r="D719" s="37" t="s">
        <v>134</v>
      </c>
      <c r="E719" s="37" t="s">
        <v>45</v>
      </c>
      <c r="F719" s="37" t="s">
        <v>97</v>
      </c>
      <c r="G719" s="37" t="s">
        <v>90</v>
      </c>
      <c r="H719" s="37" t="s">
        <v>111</v>
      </c>
      <c r="I719" s="37" t="n">
        <v>2</v>
      </c>
      <c r="J719" s="39" t="n">
        <v>2499</v>
      </c>
      <c r="K719" s="40" t="n">
        <v>0.2</v>
      </c>
      <c r="L719" s="39" t="n">
        <f aca="false">VLOOKUP(H719,'Product List'!$A$3:$D$18,4,FALSE())</f>
        <v>1950</v>
      </c>
      <c r="M719" s="39" t="n">
        <f aca="false">I719*J719*(1-K719)</f>
        <v>3998.4</v>
      </c>
      <c r="N719" s="39" t="n">
        <f aca="false">I719*L719</f>
        <v>3900</v>
      </c>
      <c r="O719" s="39" t="n">
        <f aca="false">M719-N719</f>
        <v>98.4000000000001</v>
      </c>
      <c r="P719" s="41" t="n">
        <f aca="false">IF(M719=0,0,O719/M719)</f>
        <v>0.0246098439375751</v>
      </c>
      <c r="Q719" s="37" t="str">
        <f aca="false">IF(K719=0,"No discount",IF(K719&lt;=0.1,"1-10%",IF(K719&lt;=0.2,"11-20%",IF(K719&lt;=0.3,"21-30%","Above 30%"))))</f>
        <v>11-20%</v>
      </c>
      <c r="R719" s="39" t="n">
        <f aca="false">I719*J719*MAX(0,K719-DiscountCap)</f>
        <v>0</v>
      </c>
    </row>
    <row r="720" customFormat="false" ht="15" hidden="false" customHeight="false" outlineLevel="0" collapsed="false">
      <c r="A720" s="37" t="s">
        <v>864</v>
      </c>
      <c r="B720" s="38" t="n">
        <v>45940</v>
      </c>
      <c r="C720" s="37" t="n">
        <f aca="false">MONTH(B720)</f>
        <v>10</v>
      </c>
      <c r="D720" s="37" t="s">
        <v>166</v>
      </c>
      <c r="E720" s="37" t="s">
        <v>44</v>
      </c>
      <c r="F720" s="37" t="s">
        <v>96</v>
      </c>
      <c r="G720" s="37" t="s">
        <v>93</v>
      </c>
      <c r="H720" s="37" t="s">
        <v>123</v>
      </c>
      <c r="I720" s="37" t="n">
        <v>1</v>
      </c>
      <c r="J720" s="39" t="n">
        <v>1299</v>
      </c>
      <c r="K720" s="40" t="n">
        <v>0.25</v>
      </c>
      <c r="L720" s="39" t="n">
        <f aca="false">VLOOKUP(H720,'Product List'!$A$3:$D$18,4,FALSE())</f>
        <v>700</v>
      </c>
      <c r="M720" s="39" t="n">
        <f aca="false">I720*J720*(1-K720)</f>
        <v>974.25</v>
      </c>
      <c r="N720" s="39" t="n">
        <f aca="false">I720*L720</f>
        <v>700</v>
      </c>
      <c r="O720" s="39" t="n">
        <f aca="false">M720-N720</f>
        <v>274.25</v>
      </c>
      <c r="P720" s="41" t="n">
        <f aca="false">IF(M720=0,0,O720/M720)</f>
        <v>0.281498588657942</v>
      </c>
      <c r="Q720" s="37" t="str">
        <f aca="false">IF(K720=0,"No discount",IF(K720&lt;=0.1,"1-10%",IF(K720&lt;=0.2,"11-20%",IF(K720&lt;=0.3,"21-30%","Above 30%"))))</f>
        <v>21-30%</v>
      </c>
      <c r="R720" s="39" t="n">
        <f aca="false">I720*J720*MAX(0,K720-DiscountCap)</f>
        <v>64.95</v>
      </c>
    </row>
    <row r="721" customFormat="false" ht="15" hidden="false" customHeight="false" outlineLevel="0" collapsed="false">
      <c r="A721" s="37" t="s">
        <v>865</v>
      </c>
      <c r="B721" s="38" t="n">
        <v>45936</v>
      </c>
      <c r="C721" s="37" t="n">
        <f aca="false">MONTH(B721)</f>
        <v>10</v>
      </c>
      <c r="D721" s="37" t="s">
        <v>140</v>
      </c>
      <c r="E721" s="37" t="s">
        <v>44</v>
      </c>
      <c r="F721" s="37" t="s">
        <v>97</v>
      </c>
      <c r="G721" s="37" t="s">
        <v>91</v>
      </c>
      <c r="H721" s="37" t="s">
        <v>117</v>
      </c>
      <c r="I721" s="37" t="n">
        <v>3</v>
      </c>
      <c r="J721" s="39" t="n">
        <v>1499</v>
      </c>
      <c r="K721" s="40" t="n">
        <v>0.1</v>
      </c>
      <c r="L721" s="39" t="n">
        <f aca="false">VLOOKUP(H721,'Product List'!$A$3:$D$18,4,FALSE())</f>
        <v>780</v>
      </c>
      <c r="M721" s="39" t="n">
        <f aca="false">I721*J721*(1-K721)</f>
        <v>4047.3</v>
      </c>
      <c r="N721" s="39" t="n">
        <f aca="false">I721*L721</f>
        <v>2340</v>
      </c>
      <c r="O721" s="39" t="n">
        <f aca="false">M721-N721</f>
        <v>1707.3</v>
      </c>
      <c r="P721" s="41" t="n">
        <f aca="false">IF(M721=0,0,O721/M721)</f>
        <v>0.421836780075606</v>
      </c>
      <c r="Q721" s="37" t="str">
        <f aca="false">IF(K721=0,"No discount",IF(K721&lt;=0.1,"1-10%",IF(K721&lt;=0.2,"11-20%",IF(K721&lt;=0.3,"21-30%","Above 30%"))))</f>
        <v>1-10%</v>
      </c>
      <c r="R721" s="39" t="n">
        <f aca="false">I721*J721*MAX(0,K721-DiscountCap)</f>
        <v>0</v>
      </c>
    </row>
    <row r="722" customFormat="false" ht="15" hidden="false" customHeight="false" outlineLevel="0" collapsed="false">
      <c r="A722" s="37" t="s">
        <v>866</v>
      </c>
      <c r="B722" s="38" t="n">
        <v>45956</v>
      </c>
      <c r="C722" s="37" t="n">
        <f aca="false">MONTH(B722)</f>
        <v>10</v>
      </c>
      <c r="D722" s="37" t="s">
        <v>136</v>
      </c>
      <c r="E722" s="37" t="s">
        <v>47</v>
      </c>
      <c r="F722" s="37" t="s">
        <v>97</v>
      </c>
      <c r="G722" s="37" t="s">
        <v>91</v>
      </c>
      <c r="H722" s="37" t="s">
        <v>118</v>
      </c>
      <c r="I722" s="37" t="n">
        <v>2</v>
      </c>
      <c r="J722" s="39" t="n">
        <v>2299</v>
      </c>
      <c r="K722" s="40" t="n">
        <v>0.1</v>
      </c>
      <c r="L722" s="39" t="n">
        <f aca="false">VLOOKUP(H722,'Product List'!$A$3:$D$18,4,FALSE())</f>
        <v>1300</v>
      </c>
      <c r="M722" s="39" t="n">
        <f aca="false">I722*J722*(1-K722)</f>
        <v>4138.2</v>
      </c>
      <c r="N722" s="39" t="n">
        <f aca="false">I722*L722</f>
        <v>2600</v>
      </c>
      <c r="O722" s="39" t="n">
        <f aca="false">M722-N722</f>
        <v>1538.2</v>
      </c>
      <c r="P722" s="41" t="n">
        <f aca="false">IF(M722=0,0,O722/M722)</f>
        <v>0.371707505678798</v>
      </c>
      <c r="Q722" s="37" t="str">
        <f aca="false">IF(K722=0,"No discount",IF(K722&lt;=0.1,"1-10%",IF(K722&lt;=0.2,"11-20%",IF(K722&lt;=0.3,"21-30%","Above 30%"))))</f>
        <v>1-10%</v>
      </c>
      <c r="R722" s="39" t="n">
        <f aca="false">I722*J722*MAX(0,K722-DiscountCap)</f>
        <v>0</v>
      </c>
    </row>
    <row r="723" customFormat="false" ht="15" hidden="false" customHeight="false" outlineLevel="0" collapsed="false">
      <c r="A723" s="37" t="s">
        <v>867</v>
      </c>
      <c r="B723" s="38" t="n">
        <v>45949</v>
      </c>
      <c r="C723" s="37" t="n">
        <f aca="false">MONTH(B723)</f>
        <v>10</v>
      </c>
      <c r="D723" s="37" t="s">
        <v>140</v>
      </c>
      <c r="E723" s="37" t="s">
        <v>44</v>
      </c>
      <c r="F723" s="37" t="s">
        <v>96</v>
      </c>
      <c r="G723" s="37" t="s">
        <v>90</v>
      </c>
      <c r="H723" s="37" t="s">
        <v>109</v>
      </c>
      <c r="I723" s="37" t="n">
        <v>1</v>
      </c>
      <c r="J723" s="39" t="n">
        <v>3499</v>
      </c>
      <c r="K723" s="40" t="n">
        <v>0.15</v>
      </c>
      <c r="L723" s="39" t="n">
        <f aca="false">VLOOKUP(H723,'Product List'!$A$3:$D$18,4,FALSE())</f>
        <v>2750</v>
      </c>
      <c r="M723" s="39" t="n">
        <f aca="false">I723*J723*(1-K723)</f>
        <v>2974.15</v>
      </c>
      <c r="N723" s="39" t="n">
        <f aca="false">I723*L723</f>
        <v>2750</v>
      </c>
      <c r="O723" s="39" t="n">
        <f aca="false">M723-N723</f>
        <v>224.15</v>
      </c>
      <c r="P723" s="41" t="n">
        <f aca="false">IF(M723=0,0,O723/M723)</f>
        <v>0.0753660709782627</v>
      </c>
      <c r="Q723" s="37" t="str">
        <f aca="false">IF(K723=0,"No discount",IF(K723&lt;=0.1,"1-10%",IF(K723&lt;=0.2,"11-20%",IF(K723&lt;=0.3,"21-30%","Above 30%"))))</f>
        <v>11-20%</v>
      </c>
      <c r="R723" s="39" t="n">
        <f aca="false">I723*J723*MAX(0,K723-DiscountCap)</f>
        <v>0</v>
      </c>
    </row>
    <row r="724" customFormat="false" ht="15" hidden="false" customHeight="false" outlineLevel="0" collapsed="false">
      <c r="A724" s="37" t="s">
        <v>868</v>
      </c>
      <c r="B724" s="38" t="n">
        <v>45941</v>
      </c>
      <c r="C724" s="37" t="n">
        <f aca="false">MONTH(B724)</f>
        <v>10</v>
      </c>
      <c r="D724" s="37" t="s">
        <v>160</v>
      </c>
      <c r="E724" s="37" t="s">
        <v>46</v>
      </c>
      <c r="F724" s="37" t="s">
        <v>96</v>
      </c>
      <c r="G724" s="37" t="s">
        <v>92</v>
      </c>
      <c r="H724" s="37" t="s">
        <v>113</v>
      </c>
      <c r="I724" s="37" t="n">
        <v>1</v>
      </c>
      <c r="J724" s="39" t="n">
        <v>2199</v>
      </c>
      <c r="K724" s="40" t="n">
        <v>0.05</v>
      </c>
      <c r="L724" s="39" t="n">
        <f aca="false">VLOOKUP(H724,'Product List'!$A$3:$D$18,4,FALSE())</f>
        <v>1400</v>
      </c>
      <c r="M724" s="39" t="n">
        <f aca="false">I724*J724*(1-K724)</f>
        <v>2089.05</v>
      </c>
      <c r="N724" s="39" t="n">
        <f aca="false">I724*L724</f>
        <v>1400</v>
      </c>
      <c r="O724" s="39" t="n">
        <f aca="false">M724-N724</f>
        <v>689.05</v>
      </c>
      <c r="P724" s="41" t="n">
        <f aca="false">IF(M724=0,0,O724/M724)</f>
        <v>0.329838921998037</v>
      </c>
      <c r="Q724" s="37" t="str">
        <f aca="false">IF(K724=0,"No discount",IF(K724&lt;=0.1,"1-10%",IF(K724&lt;=0.2,"11-20%",IF(K724&lt;=0.3,"21-30%","Above 30%"))))</f>
        <v>1-10%</v>
      </c>
      <c r="R724" s="39" t="n">
        <f aca="false">I724*J724*MAX(0,K724-DiscountCap)</f>
        <v>0</v>
      </c>
    </row>
    <row r="725" customFormat="false" ht="15" hidden="false" customHeight="false" outlineLevel="0" collapsed="false">
      <c r="A725" s="37" t="s">
        <v>869</v>
      </c>
      <c r="B725" s="38" t="n">
        <v>45947</v>
      </c>
      <c r="C725" s="37" t="n">
        <f aca="false">MONTH(B725)</f>
        <v>10</v>
      </c>
      <c r="D725" s="37" t="s">
        <v>144</v>
      </c>
      <c r="E725" s="37" t="s">
        <v>45</v>
      </c>
      <c r="F725" s="37" t="s">
        <v>96</v>
      </c>
      <c r="G725" s="37" t="s">
        <v>90</v>
      </c>
      <c r="H725" s="37" t="s">
        <v>111</v>
      </c>
      <c r="I725" s="37" t="n">
        <v>2</v>
      </c>
      <c r="J725" s="39" t="n">
        <v>2499</v>
      </c>
      <c r="K725" s="40" t="n">
        <v>0.1</v>
      </c>
      <c r="L725" s="39" t="n">
        <f aca="false">VLOOKUP(H725,'Product List'!$A$3:$D$18,4,FALSE())</f>
        <v>1950</v>
      </c>
      <c r="M725" s="39" t="n">
        <f aca="false">I725*J725*(1-K725)</f>
        <v>4498.2</v>
      </c>
      <c r="N725" s="39" t="n">
        <f aca="false">I725*L725</f>
        <v>3900</v>
      </c>
      <c r="O725" s="39" t="n">
        <f aca="false">M725-N725</f>
        <v>598.2</v>
      </c>
      <c r="P725" s="41" t="n">
        <f aca="false">IF(M725=0,0,O725/M725)</f>
        <v>0.132986527944511</v>
      </c>
      <c r="Q725" s="37" t="str">
        <f aca="false">IF(K725=0,"No discount",IF(K725&lt;=0.1,"1-10%",IF(K725&lt;=0.2,"11-20%",IF(K725&lt;=0.3,"21-30%","Above 30%"))))</f>
        <v>1-10%</v>
      </c>
      <c r="R725" s="39" t="n">
        <f aca="false">I725*J725*MAX(0,K725-DiscountCap)</f>
        <v>0</v>
      </c>
    </row>
    <row r="726" customFormat="false" ht="15" hidden="false" customHeight="false" outlineLevel="0" collapsed="false">
      <c r="A726" s="37" t="s">
        <v>870</v>
      </c>
      <c r="B726" s="38" t="n">
        <v>45947</v>
      </c>
      <c r="C726" s="37" t="n">
        <f aca="false">MONTH(B726)</f>
        <v>10</v>
      </c>
      <c r="D726" s="37" t="s">
        <v>154</v>
      </c>
      <c r="E726" s="37" t="s">
        <v>47</v>
      </c>
      <c r="F726" s="37" t="s">
        <v>96</v>
      </c>
      <c r="G726" s="37" t="s">
        <v>90</v>
      </c>
      <c r="H726" s="37" t="s">
        <v>108</v>
      </c>
      <c r="I726" s="37" t="n">
        <v>2</v>
      </c>
      <c r="J726" s="39" t="n">
        <v>1999</v>
      </c>
      <c r="K726" s="40" t="n">
        <v>0.3</v>
      </c>
      <c r="L726" s="39" t="n">
        <f aca="false">VLOOKUP(H726,'Product List'!$A$3:$D$18,4,FALSE())</f>
        <v>1560</v>
      </c>
      <c r="M726" s="39" t="n">
        <f aca="false">I726*J726*(1-K726)</f>
        <v>2798.6</v>
      </c>
      <c r="N726" s="39" t="n">
        <f aca="false">I726*L726</f>
        <v>3120</v>
      </c>
      <c r="O726" s="39" t="n">
        <f aca="false">M726-N726</f>
        <v>-321.4</v>
      </c>
      <c r="P726" s="41" t="n">
        <f aca="false">IF(M726=0,0,O726/M726)</f>
        <v>-0.114843135853641</v>
      </c>
      <c r="Q726" s="37" t="str">
        <f aca="false">IF(K726=0,"No discount",IF(K726&lt;=0.1,"1-10%",IF(K726&lt;=0.2,"11-20%",IF(K726&lt;=0.3,"21-30%","Above 30%"))))</f>
        <v>21-30%</v>
      </c>
      <c r="R726" s="39" t="n">
        <f aca="false">I726*J726*MAX(0,K726-DiscountCap)</f>
        <v>399.8</v>
      </c>
    </row>
    <row r="727" customFormat="false" ht="15" hidden="false" customHeight="false" outlineLevel="0" collapsed="false">
      <c r="A727" s="37" t="s">
        <v>871</v>
      </c>
      <c r="B727" s="38" t="n">
        <v>45943</v>
      </c>
      <c r="C727" s="37" t="n">
        <f aca="false">MONTH(B727)</f>
        <v>10</v>
      </c>
      <c r="D727" s="37" t="s">
        <v>142</v>
      </c>
      <c r="E727" s="37" t="s">
        <v>47</v>
      </c>
      <c r="F727" s="37" t="s">
        <v>96</v>
      </c>
      <c r="G727" s="37" t="s">
        <v>91</v>
      </c>
      <c r="H727" s="37" t="s">
        <v>119</v>
      </c>
      <c r="I727" s="37" t="n">
        <v>1</v>
      </c>
      <c r="J727" s="39" t="n">
        <v>1099</v>
      </c>
      <c r="K727" s="40" t="n">
        <v>0.1</v>
      </c>
      <c r="L727" s="39" t="n">
        <f aca="false">VLOOKUP(H727,'Product List'!$A$3:$D$18,4,FALSE())</f>
        <v>560</v>
      </c>
      <c r="M727" s="39" t="n">
        <f aca="false">I727*J727*(1-K727)</f>
        <v>989.1</v>
      </c>
      <c r="N727" s="39" t="n">
        <f aca="false">I727*L727</f>
        <v>560</v>
      </c>
      <c r="O727" s="39" t="n">
        <f aca="false">M727-N727</f>
        <v>429.1</v>
      </c>
      <c r="P727" s="41" t="n">
        <f aca="false">IF(M727=0,0,O727/M727)</f>
        <v>0.433828733191791</v>
      </c>
      <c r="Q727" s="37" t="str">
        <f aca="false">IF(K727=0,"No discount",IF(K727&lt;=0.1,"1-10%",IF(K727&lt;=0.2,"11-20%",IF(K727&lt;=0.3,"21-30%","Above 30%"))))</f>
        <v>1-10%</v>
      </c>
      <c r="R727" s="39" t="n">
        <f aca="false">I727*J727*MAX(0,K727-DiscountCap)</f>
        <v>0</v>
      </c>
    </row>
    <row r="728" customFormat="false" ht="15" hidden="false" customHeight="false" outlineLevel="0" collapsed="false">
      <c r="A728" s="37" t="s">
        <v>872</v>
      </c>
      <c r="B728" s="38" t="n">
        <v>45936</v>
      </c>
      <c r="C728" s="37" t="n">
        <f aca="false">MONTH(B728)</f>
        <v>10</v>
      </c>
      <c r="D728" s="37" t="s">
        <v>136</v>
      </c>
      <c r="E728" s="37" t="s">
        <v>47</v>
      </c>
      <c r="F728" s="37" t="s">
        <v>97</v>
      </c>
      <c r="G728" s="37" t="s">
        <v>91</v>
      </c>
      <c r="H728" s="37" t="s">
        <v>117</v>
      </c>
      <c r="I728" s="37" t="n">
        <v>2</v>
      </c>
      <c r="J728" s="39" t="n">
        <v>1499</v>
      </c>
      <c r="K728" s="40" t="n">
        <v>0.15</v>
      </c>
      <c r="L728" s="39" t="n">
        <f aca="false">VLOOKUP(H728,'Product List'!$A$3:$D$18,4,FALSE())</f>
        <v>780</v>
      </c>
      <c r="M728" s="39" t="n">
        <f aca="false">I728*J728*(1-K728)</f>
        <v>2548.3</v>
      </c>
      <c r="N728" s="39" t="n">
        <f aca="false">I728*L728</f>
        <v>1560</v>
      </c>
      <c r="O728" s="39" t="n">
        <f aca="false">M728-N728</f>
        <v>988.3</v>
      </c>
      <c r="P728" s="41" t="n">
        <f aca="false">IF(M728=0,0,O728/M728)</f>
        <v>0.387827178903583</v>
      </c>
      <c r="Q728" s="37" t="str">
        <f aca="false">IF(K728=0,"No discount",IF(K728&lt;=0.1,"1-10%",IF(K728&lt;=0.2,"11-20%",IF(K728&lt;=0.3,"21-30%","Above 30%"))))</f>
        <v>11-20%</v>
      </c>
      <c r="R728" s="39" t="n">
        <f aca="false">I728*J728*MAX(0,K728-DiscountCap)</f>
        <v>0</v>
      </c>
    </row>
    <row r="729" customFormat="false" ht="15" hidden="false" customHeight="false" outlineLevel="0" collapsed="false">
      <c r="A729" s="37" t="s">
        <v>873</v>
      </c>
      <c r="B729" s="38" t="n">
        <v>45931</v>
      </c>
      <c r="C729" s="37" t="n">
        <f aca="false">MONTH(B729)</f>
        <v>10</v>
      </c>
      <c r="D729" s="37" t="s">
        <v>172</v>
      </c>
      <c r="E729" s="37" t="s">
        <v>46</v>
      </c>
      <c r="F729" s="37" t="s">
        <v>97</v>
      </c>
      <c r="G729" s="37" t="s">
        <v>90</v>
      </c>
      <c r="H729" s="37" t="s">
        <v>108</v>
      </c>
      <c r="I729" s="37" t="n">
        <v>1</v>
      </c>
      <c r="J729" s="39" t="n">
        <v>1999</v>
      </c>
      <c r="K729" s="40" t="n">
        <v>0.2</v>
      </c>
      <c r="L729" s="39" t="n">
        <f aca="false">VLOOKUP(H729,'Product List'!$A$3:$D$18,4,FALSE())</f>
        <v>1560</v>
      </c>
      <c r="M729" s="39" t="n">
        <f aca="false">I729*J729*(1-K729)</f>
        <v>1599.2</v>
      </c>
      <c r="N729" s="39" t="n">
        <f aca="false">I729*L729</f>
        <v>1560</v>
      </c>
      <c r="O729" s="39" t="n">
        <f aca="false">M729-N729</f>
        <v>39.2</v>
      </c>
      <c r="P729" s="41" t="n">
        <f aca="false">IF(M729=0,0,O729/M729)</f>
        <v>0.0245122561280641</v>
      </c>
      <c r="Q729" s="37" t="str">
        <f aca="false">IF(K729=0,"No discount",IF(K729&lt;=0.1,"1-10%",IF(K729&lt;=0.2,"11-20%",IF(K729&lt;=0.3,"21-30%","Above 30%"))))</f>
        <v>11-20%</v>
      </c>
      <c r="R729" s="39" t="n">
        <f aca="false">I729*J729*MAX(0,K729-DiscountCap)</f>
        <v>0</v>
      </c>
    </row>
    <row r="730" customFormat="false" ht="15" hidden="false" customHeight="false" outlineLevel="0" collapsed="false">
      <c r="A730" s="37" t="s">
        <v>874</v>
      </c>
      <c r="B730" s="38" t="n">
        <v>45940</v>
      </c>
      <c r="C730" s="37" t="n">
        <f aca="false">MONTH(B730)</f>
        <v>10</v>
      </c>
      <c r="D730" s="37" t="s">
        <v>182</v>
      </c>
      <c r="E730" s="37" t="s">
        <v>45</v>
      </c>
      <c r="F730" s="37" t="s">
        <v>96</v>
      </c>
      <c r="G730" s="37" t="s">
        <v>90</v>
      </c>
      <c r="H730" s="37" t="s">
        <v>111</v>
      </c>
      <c r="I730" s="37" t="n">
        <v>1</v>
      </c>
      <c r="J730" s="39" t="n">
        <v>2499</v>
      </c>
      <c r="K730" s="40" t="n">
        <v>0.25</v>
      </c>
      <c r="L730" s="39" t="n">
        <f aca="false">VLOOKUP(H730,'Product List'!$A$3:$D$18,4,FALSE())</f>
        <v>1950</v>
      </c>
      <c r="M730" s="39" t="n">
        <f aca="false">I730*J730*(1-K730)</f>
        <v>1874.25</v>
      </c>
      <c r="N730" s="39" t="n">
        <f aca="false">I730*L730</f>
        <v>1950</v>
      </c>
      <c r="O730" s="39" t="n">
        <f aca="false">M730-N730</f>
        <v>-75.75</v>
      </c>
      <c r="P730" s="41" t="n">
        <f aca="false">IF(M730=0,0,O730/M730)</f>
        <v>-0.0404161664665866</v>
      </c>
      <c r="Q730" s="37" t="str">
        <f aca="false">IF(K730=0,"No discount",IF(K730&lt;=0.1,"1-10%",IF(K730&lt;=0.2,"11-20%",IF(K730&lt;=0.3,"21-30%","Above 30%"))))</f>
        <v>21-30%</v>
      </c>
      <c r="R730" s="39" t="n">
        <f aca="false">I730*J730*MAX(0,K730-DiscountCap)</f>
        <v>124.95</v>
      </c>
    </row>
    <row r="731" customFormat="false" ht="15" hidden="false" customHeight="false" outlineLevel="0" collapsed="false">
      <c r="A731" s="37" t="s">
        <v>875</v>
      </c>
      <c r="B731" s="38" t="n">
        <v>45951</v>
      </c>
      <c r="C731" s="37" t="n">
        <f aca="false">MONTH(B731)</f>
        <v>10</v>
      </c>
      <c r="D731" s="37" t="s">
        <v>166</v>
      </c>
      <c r="E731" s="37" t="s">
        <v>44</v>
      </c>
      <c r="F731" s="37" t="s">
        <v>96</v>
      </c>
      <c r="G731" s="37" t="s">
        <v>90</v>
      </c>
      <c r="H731" s="37" t="s">
        <v>109</v>
      </c>
      <c r="I731" s="37" t="n">
        <v>1</v>
      </c>
      <c r="J731" s="39" t="n">
        <v>3499</v>
      </c>
      <c r="K731" s="40" t="n">
        <v>0.1</v>
      </c>
      <c r="L731" s="39" t="n">
        <f aca="false">VLOOKUP(H731,'Product List'!$A$3:$D$18,4,FALSE())</f>
        <v>2750</v>
      </c>
      <c r="M731" s="39" t="n">
        <f aca="false">I731*J731*(1-K731)</f>
        <v>3149.1</v>
      </c>
      <c r="N731" s="39" t="n">
        <f aca="false">I731*L731</f>
        <v>2750</v>
      </c>
      <c r="O731" s="39" t="n">
        <f aca="false">M731-N731</f>
        <v>399.1</v>
      </c>
      <c r="P731" s="41" t="n">
        <f aca="false">IF(M731=0,0,O731/M731)</f>
        <v>0.126734622590581</v>
      </c>
      <c r="Q731" s="37" t="str">
        <f aca="false">IF(K731=0,"No discount",IF(K731&lt;=0.1,"1-10%",IF(K731&lt;=0.2,"11-20%",IF(K731&lt;=0.3,"21-30%","Above 30%"))))</f>
        <v>1-10%</v>
      </c>
      <c r="R731" s="39" t="n">
        <f aca="false">I731*J731*MAX(0,K731-DiscountCap)</f>
        <v>0</v>
      </c>
    </row>
    <row r="732" customFormat="false" ht="15" hidden="false" customHeight="false" outlineLevel="0" collapsed="false">
      <c r="A732" s="37" t="s">
        <v>876</v>
      </c>
      <c r="B732" s="38" t="n">
        <v>45955</v>
      </c>
      <c r="C732" s="37" t="n">
        <f aca="false">MONTH(B732)</f>
        <v>10</v>
      </c>
      <c r="D732" s="37" t="s">
        <v>142</v>
      </c>
      <c r="E732" s="37" t="s">
        <v>47</v>
      </c>
      <c r="F732" s="37" t="s">
        <v>97</v>
      </c>
      <c r="G732" s="37" t="s">
        <v>91</v>
      </c>
      <c r="H732" s="37" t="s">
        <v>118</v>
      </c>
      <c r="I732" s="37" t="n">
        <v>1</v>
      </c>
      <c r="J732" s="39" t="n">
        <v>2299</v>
      </c>
      <c r="K732" s="40" t="n">
        <v>0.15</v>
      </c>
      <c r="L732" s="39" t="n">
        <f aca="false">VLOOKUP(H732,'Product List'!$A$3:$D$18,4,FALSE())</f>
        <v>1300</v>
      </c>
      <c r="M732" s="39" t="n">
        <f aca="false">I732*J732*(1-K732)</f>
        <v>1954.15</v>
      </c>
      <c r="N732" s="39" t="n">
        <f aca="false">I732*L732</f>
        <v>1300</v>
      </c>
      <c r="O732" s="39" t="n">
        <f aca="false">M732-N732</f>
        <v>654.15</v>
      </c>
      <c r="P732" s="41" t="n">
        <f aca="false">IF(M732=0,0,O732/M732)</f>
        <v>0.334749123659903</v>
      </c>
      <c r="Q732" s="37" t="str">
        <f aca="false">IF(K732=0,"No discount",IF(K732&lt;=0.1,"1-10%",IF(K732&lt;=0.2,"11-20%",IF(K732&lt;=0.3,"21-30%","Above 30%"))))</f>
        <v>11-20%</v>
      </c>
      <c r="R732" s="39" t="n">
        <f aca="false">I732*J732*MAX(0,K732-DiscountCap)</f>
        <v>0</v>
      </c>
    </row>
    <row r="733" customFormat="false" ht="15" hidden="false" customHeight="false" outlineLevel="0" collapsed="false">
      <c r="A733" s="37" t="s">
        <v>877</v>
      </c>
      <c r="B733" s="38" t="n">
        <v>45942</v>
      </c>
      <c r="C733" s="37" t="n">
        <f aca="false">MONTH(B733)</f>
        <v>10</v>
      </c>
      <c r="D733" s="37" t="s">
        <v>154</v>
      </c>
      <c r="E733" s="37" t="s">
        <v>47</v>
      </c>
      <c r="F733" s="37" t="s">
        <v>96</v>
      </c>
      <c r="G733" s="37" t="s">
        <v>92</v>
      </c>
      <c r="H733" s="37" t="s">
        <v>114</v>
      </c>
      <c r="I733" s="37" t="n">
        <v>4</v>
      </c>
      <c r="J733" s="39" t="n">
        <v>1199</v>
      </c>
      <c r="K733" s="40" t="n">
        <v>0.15</v>
      </c>
      <c r="L733" s="39" t="n">
        <f aca="false">VLOOKUP(H733,'Product List'!$A$3:$D$18,4,FALSE())</f>
        <v>780</v>
      </c>
      <c r="M733" s="39" t="n">
        <f aca="false">I733*J733*(1-K733)</f>
        <v>4076.6</v>
      </c>
      <c r="N733" s="39" t="n">
        <f aca="false">I733*L733</f>
        <v>3120</v>
      </c>
      <c r="O733" s="39" t="n">
        <f aca="false">M733-N733</f>
        <v>956.6</v>
      </c>
      <c r="P733" s="41" t="n">
        <f aca="false">IF(M733=0,0,O733/M733)</f>
        <v>0.234656331256439</v>
      </c>
      <c r="Q733" s="37" t="str">
        <f aca="false">IF(K733=0,"No discount",IF(K733&lt;=0.1,"1-10%",IF(K733&lt;=0.2,"11-20%",IF(K733&lt;=0.3,"21-30%","Above 30%"))))</f>
        <v>11-20%</v>
      </c>
      <c r="R733" s="39" t="n">
        <f aca="false">I733*J733*MAX(0,K733-DiscountCap)</f>
        <v>0</v>
      </c>
    </row>
    <row r="734" customFormat="false" ht="15" hidden="false" customHeight="false" outlineLevel="0" collapsed="false">
      <c r="A734" s="37" t="s">
        <v>878</v>
      </c>
      <c r="B734" s="38" t="n">
        <v>45936</v>
      </c>
      <c r="C734" s="37" t="n">
        <f aca="false">MONTH(B734)</f>
        <v>10</v>
      </c>
      <c r="D734" s="37" t="s">
        <v>134</v>
      </c>
      <c r="E734" s="37" t="s">
        <v>45</v>
      </c>
      <c r="F734" s="37" t="s">
        <v>96</v>
      </c>
      <c r="G734" s="37" t="s">
        <v>90</v>
      </c>
      <c r="H734" s="37" t="s">
        <v>110</v>
      </c>
      <c r="I734" s="37" t="n">
        <v>2</v>
      </c>
      <c r="J734" s="39" t="n">
        <v>1299</v>
      </c>
      <c r="K734" s="40" t="n">
        <v>0.15</v>
      </c>
      <c r="L734" s="39" t="n">
        <f aca="false">VLOOKUP(H734,'Product List'!$A$3:$D$18,4,FALSE())</f>
        <v>1000</v>
      </c>
      <c r="M734" s="39" t="n">
        <f aca="false">I734*J734*(1-K734)</f>
        <v>2208.3</v>
      </c>
      <c r="N734" s="39" t="n">
        <f aca="false">I734*L734</f>
        <v>2000</v>
      </c>
      <c r="O734" s="39" t="n">
        <f aca="false">M734-N734</f>
        <v>208.3</v>
      </c>
      <c r="P734" s="41" t="n">
        <f aca="false">IF(M734=0,0,O734/M734)</f>
        <v>0.0943259520898428</v>
      </c>
      <c r="Q734" s="37" t="str">
        <f aca="false">IF(K734=0,"No discount",IF(K734&lt;=0.1,"1-10%",IF(K734&lt;=0.2,"11-20%",IF(K734&lt;=0.3,"21-30%","Above 30%"))))</f>
        <v>11-20%</v>
      </c>
      <c r="R734" s="39" t="n">
        <f aca="false">I734*J734*MAX(0,K734-DiscountCap)</f>
        <v>0</v>
      </c>
    </row>
    <row r="735" customFormat="false" ht="15" hidden="false" customHeight="false" outlineLevel="0" collapsed="false">
      <c r="A735" s="37" t="s">
        <v>879</v>
      </c>
      <c r="B735" s="38" t="n">
        <v>45961</v>
      </c>
      <c r="C735" s="37" t="n">
        <f aca="false">MONTH(B735)</f>
        <v>10</v>
      </c>
      <c r="D735" s="37" t="s">
        <v>138</v>
      </c>
      <c r="E735" s="37" t="s">
        <v>46</v>
      </c>
      <c r="F735" s="37" t="s">
        <v>97</v>
      </c>
      <c r="G735" s="37" t="s">
        <v>92</v>
      </c>
      <c r="H735" s="37" t="s">
        <v>115</v>
      </c>
      <c r="I735" s="37" t="n">
        <v>1</v>
      </c>
      <c r="J735" s="39" t="n">
        <v>1799</v>
      </c>
      <c r="K735" s="40" t="n">
        <v>0.05</v>
      </c>
      <c r="L735" s="39" t="n">
        <f aca="false">VLOOKUP(H735,'Product List'!$A$3:$D$18,4,FALSE())</f>
        <v>1150</v>
      </c>
      <c r="M735" s="39" t="n">
        <f aca="false">I735*J735*(1-K735)</f>
        <v>1709.05</v>
      </c>
      <c r="N735" s="39" t="n">
        <f aca="false">I735*L735</f>
        <v>1150</v>
      </c>
      <c r="O735" s="39" t="n">
        <f aca="false">M735-N735</f>
        <v>559.05</v>
      </c>
      <c r="P735" s="41" t="n">
        <f aca="false">IF(M735=0,0,O735/M735)</f>
        <v>0.327111553202071</v>
      </c>
      <c r="Q735" s="37" t="str">
        <f aca="false">IF(K735=0,"No discount",IF(K735&lt;=0.1,"1-10%",IF(K735&lt;=0.2,"11-20%",IF(K735&lt;=0.3,"21-30%","Above 30%"))))</f>
        <v>1-10%</v>
      </c>
      <c r="R735" s="39" t="n">
        <f aca="false">I735*J735*MAX(0,K735-DiscountCap)</f>
        <v>0</v>
      </c>
    </row>
    <row r="736" customFormat="false" ht="15" hidden="false" customHeight="false" outlineLevel="0" collapsed="false">
      <c r="A736" s="37" t="s">
        <v>880</v>
      </c>
      <c r="B736" s="38" t="n">
        <v>45952</v>
      </c>
      <c r="C736" s="37" t="n">
        <f aca="false">MONTH(B736)</f>
        <v>10</v>
      </c>
      <c r="D736" s="37" t="s">
        <v>144</v>
      </c>
      <c r="E736" s="37" t="s">
        <v>45</v>
      </c>
      <c r="F736" s="37" t="s">
        <v>97</v>
      </c>
      <c r="G736" s="37" t="s">
        <v>91</v>
      </c>
      <c r="H736" s="37" t="s">
        <v>116</v>
      </c>
      <c r="I736" s="37" t="n">
        <v>1</v>
      </c>
      <c r="J736" s="39" t="n">
        <v>899</v>
      </c>
      <c r="K736" s="40" t="n">
        <v>0.05</v>
      </c>
      <c r="L736" s="39" t="n">
        <f aca="false">VLOOKUP(H736,'Product List'!$A$3:$D$18,4,FALSE())</f>
        <v>430</v>
      </c>
      <c r="M736" s="39" t="n">
        <f aca="false">I736*J736*(1-K736)</f>
        <v>854.05</v>
      </c>
      <c r="N736" s="39" t="n">
        <f aca="false">I736*L736</f>
        <v>430</v>
      </c>
      <c r="O736" s="39" t="n">
        <f aca="false">M736-N736</f>
        <v>424.05</v>
      </c>
      <c r="P736" s="41" t="n">
        <f aca="false">IF(M736=0,0,O736/M736)</f>
        <v>0.496516597388912</v>
      </c>
      <c r="Q736" s="37" t="str">
        <f aca="false">IF(K736=0,"No discount",IF(K736&lt;=0.1,"1-10%",IF(K736&lt;=0.2,"11-20%",IF(K736&lt;=0.3,"21-30%","Above 30%"))))</f>
        <v>1-10%</v>
      </c>
      <c r="R736" s="39" t="n">
        <f aca="false">I736*J736*MAX(0,K736-DiscountCap)</f>
        <v>0</v>
      </c>
    </row>
    <row r="737" customFormat="false" ht="15" hidden="false" customHeight="false" outlineLevel="0" collapsed="false">
      <c r="A737" s="37" t="s">
        <v>881</v>
      </c>
      <c r="B737" s="38" t="n">
        <v>45947</v>
      </c>
      <c r="C737" s="37" t="n">
        <f aca="false">MONTH(B737)</f>
        <v>10</v>
      </c>
      <c r="D737" s="37" t="s">
        <v>136</v>
      </c>
      <c r="E737" s="37" t="s">
        <v>47</v>
      </c>
      <c r="F737" s="37" t="s">
        <v>97</v>
      </c>
      <c r="G737" s="37" t="s">
        <v>90</v>
      </c>
      <c r="H737" s="37" t="s">
        <v>111</v>
      </c>
      <c r="I737" s="37" t="n">
        <v>1</v>
      </c>
      <c r="J737" s="39" t="n">
        <v>2499</v>
      </c>
      <c r="K737" s="40" t="n">
        <v>0.05</v>
      </c>
      <c r="L737" s="39" t="n">
        <f aca="false">VLOOKUP(H737,'Product List'!$A$3:$D$18,4,FALSE())</f>
        <v>1950</v>
      </c>
      <c r="M737" s="39" t="n">
        <f aca="false">I737*J737*(1-K737)</f>
        <v>2374.05</v>
      </c>
      <c r="N737" s="39" t="n">
        <f aca="false">I737*L737</f>
        <v>1950</v>
      </c>
      <c r="O737" s="39" t="n">
        <f aca="false">M737-N737</f>
        <v>424.05</v>
      </c>
      <c r="P737" s="41" t="n">
        <f aca="false">IF(M737=0,0,O737/M737)</f>
        <v>0.178618815947432</v>
      </c>
      <c r="Q737" s="37" t="str">
        <f aca="false">IF(K737=0,"No discount",IF(K737&lt;=0.1,"1-10%",IF(K737&lt;=0.2,"11-20%",IF(K737&lt;=0.3,"21-30%","Above 30%"))))</f>
        <v>1-10%</v>
      </c>
      <c r="R737" s="39" t="n">
        <f aca="false">I737*J737*MAX(0,K737-DiscountCap)</f>
        <v>0</v>
      </c>
    </row>
    <row r="738" customFormat="false" ht="15" hidden="false" customHeight="false" outlineLevel="0" collapsed="false">
      <c r="A738" s="37" t="s">
        <v>882</v>
      </c>
      <c r="B738" s="38" t="n">
        <v>45946</v>
      </c>
      <c r="C738" s="37" t="n">
        <f aca="false">MONTH(B738)</f>
        <v>10</v>
      </c>
      <c r="D738" s="37" t="s">
        <v>136</v>
      </c>
      <c r="E738" s="37" t="s">
        <v>47</v>
      </c>
      <c r="F738" s="37" t="s">
        <v>97</v>
      </c>
      <c r="G738" s="37" t="s">
        <v>91</v>
      </c>
      <c r="H738" s="37" t="s">
        <v>118</v>
      </c>
      <c r="I738" s="37" t="n">
        <v>2</v>
      </c>
      <c r="J738" s="39" t="n">
        <v>2299</v>
      </c>
      <c r="K738" s="40" t="n">
        <v>0.2</v>
      </c>
      <c r="L738" s="39" t="n">
        <f aca="false">VLOOKUP(H738,'Product List'!$A$3:$D$18,4,FALSE())</f>
        <v>1300</v>
      </c>
      <c r="M738" s="39" t="n">
        <f aca="false">I738*J738*(1-K738)</f>
        <v>3678.4</v>
      </c>
      <c r="N738" s="39" t="n">
        <f aca="false">I738*L738</f>
        <v>2600</v>
      </c>
      <c r="O738" s="39" t="n">
        <f aca="false">M738-N738</f>
        <v>1078.4</v>
      </c>
      <c r="P738" s="41" t="n">
        <f aca="false">IF(M738=0,0,O738/M738)</f>
        <v>0.293170943888647</v>
      </c>
      <c r="Q738" s="37" t="str">
        <f aca="false">IF(K738=0,"No discount",IF(K738&lt;=0.1,"1-10%",IF(K738&lt;=0.2,"11-20%",IF(K738&lt;=0.3,"21-30%","Above 30%"))))</f>
        <v>11-20%</v>
      </c>
      <c r="R738" s="39" t="n">
        <f aca="false">I738*J738*MAX(0,K738-DiscountCap)</f>
        <v>0</v>
      </c>
    </row>
    <row r="739" customFormat="false" ht="15" hidden="false" customHeight="false" outlineLevel="0" collapsed="false">
      <c r="A739" s="37" t="s">
        <v>883</v>
      </c>
      <c r="B739" s="38" t="n">
        <v>45950</v>
      </c>
      <c r="C739" s="37" t="n">
        <f aca="false">MONTH(B739)</f>
        <v>10</v>
      </c>
      <c r="D739" s="37" t="s">
        <v>146</v>
      </c>
      <c r="E739" s="37" t="s">
        <v>45</v>
      </c>
      <c r="F739" s="37" t="s">
        <v>97</v>
      </c>
      <c r="G739" s="37" t="s">
        <v>91</v>
      </c>
      <c r="H739" s="37" t="s">
        <v>119</v>
      </c>
      <c r="I739" s="37" t="n">
        <v>1</v>
      </c>
      <c r="J739" s="39" t="n">
        <v>1099</v>
      </c>
      <c r="K739" s="40" t="n">
        <v>0.25</v>
      </c>
      <c r="L739" s="39" t="n">
        <f aca="false">VLOOKUP(H739,'Product List'!$A$3:$D$18,4,FALSE())</f>
        <v>560</v>
      </c>
      <c r="M739" s="39" t="n">
        <f aca="false">I739*J739*(1-K739)</f>
        <v>824.25</v>
      </c>
      <c r="N739" s="39" t="n">
        <f aca="false">I739*L739</f>
        <v>560</v>
      </c>
      <c r="O739" s="39" t="n">
        <f aca="false">M739-N739</f>
        <v>264.25</v>
      </c>
      <c r="P739" s="41" t="n">
        <f aca="false">IF(M739=0,0,O739/M739)</f>
        <v>0.320594479830149</v>
      </c>
      <c r="Q739" s="37" t="str">
        <f aca="false">IF(K739=0,"No discount",IF(K739&lt;=0.1,"1-10%",IF(K739&lt;=0.2,"11-20%",IF(K739&lt;=0.3,"21-30%","Above 30%"))))</f>
        <v>21-30%</v>
      </c>
      <c r="R739" s="39" t="n">
        <f aca="false">I739*J739*MAX(0,K739-DiscountCap)</f>
        <v>54.95</v>
      </c>
    </row>
    <row r="740" customFormat="false" ht="15" hidden="false" customHeight="false" outlineLevel="0" collapsed="false">
      <c r="A740" s="37" t="s">
        <v>884</v>
      </c>
      <c r="B740" s="38" t="n">
        <v>45959</v>
      </c>
      <c r="C740" s="37" t="n">
        <f aca="false">MONTH(B740)</f>
        <v>10</v>
      </c>
      <c r="D740" s="37" t="s">
        <v>136</v>
      </c>
      <c r="E740" s="37" t="s">
        <v>47</v>
      </c>
      <c r="F740" s="37" t="s">
        <v>97</v>
      </c>
      <c r="G740" s="37" t="s">
        <v>93</v>
      </c>
      <c r="H740" s="37" t="s">
        <v>121</v>
      </c>
      <c r="I740" s="37" t="n">
        <v>1</v>
      </c>
      <c r="J740" s="39" t="n">
        <v>999</v>
      </c>
      <c r="K740" s="40" t="n">
        <v>0</v>
      </c>
      <c r="L740" s="39" t="n">
        <f aca="false">VLOOKUP(H740,'Product List'!$A$3:$D$18,4,FALSE())</f>
        <v>500</v>
      </c>
      <c r="M740" s="39" t="n">
        <f aca="false">I740*J740*(1-K740)</f>
        <v>999</v>
      </c>
      <c r="N740" s="39" t="n">
        <f aca="false">I740*L740</f>
        <v>500</v>
      </c>
      <c r="O740" s="39" t="n">
        <f aca="false">M740-N740</f>
        <v>499</v>
      </c>
      <c r="P740" s="41" t="n">
        <f aca="false">IF(M740=0,0,O740/M740)</f>
        <v>0.4994994994995</v>
      </c>
      <c r="Q740" s="37" t="str">
        <f aca="false">IF(K740=0,"No discount",IF(K740&lt;=0.1,"1-10%",IF(K740&lt;=0.2,"11-20%",IF(K740&lt;=0.3,"21-30%","Above 30%"))))</f>
        <v>No discount</v>
      </c>
      <c r="R740" s="39" t="n">
        <f aca="false">I740*J740*MAX(0,K740-DiscountCap)</f>
        <v>0</v>
      </c>
    </row>
    <row r="741" customFormat="false" ht="15" hidden="false" customHeight="false" outlineLevel="0" collapsed="false">
      <c r="A741" s="37" t="s">
        <v>885</v>
      </c>
      <c r="B741" s="38" t="n">
        <v>45946</v>
      </c>
      <c r="C741" s="37" t="n">
        <f aca="false">MONTH(B741)</f>
        <v>10</v>
      </c>
      <c r="D741" s="37" t="s">
        <v>142</v>
      </c>
      <c r="E741" s="37" t="s">
        <v>47</v>
      </c>
      <c r="F741" s="37" t="s">
        <v>96</v>
      </c>
      <c r="G741" s="37" t="s">
        <v>93</v>
      </c>
      <c r="H741" s="37" t="s">
        <v>123</v>
      </c>
      <c r="I741" s="37" t="n">
        <v>4</v>
      </c>
      <c r="J741" s="39" t="n">
        <v>1299</v>
      </c>
      <c r="K741" s="40" t="n">
        <v>0.1</v>
      </c>
      <c r="L741" s="39" t="n">
        <f aca="false">VLOOKUP(H741,'Product List'!$A$3:$D$18,4,FALSE())</f>
        <v>700</v>
      </c>
      <c r="M741" s="39" t="n">
        <f aca="false">I741*J741*(1-K741)</f>
        <v>4676.4</v>
      </c>
      <c r="N741" s="39" t="n">
        <f aca="false">I741*L741</f>
        <v>2800</v>
      </c>
      <c r="O741" s="39" t="n">
        <f aca="false">M741-N741</f>
        <v>1876.4</v>
      </c>
      <c r="P741" s="41" t="n">
        <f aca="false">IF(M741=0,0,O741/M741)</f>
        <v>0.401248823881618</v>
      </c>
      <c r="Q741" s="37" t="str">
        <f aca="false">IF(K741=0,"No discount",IF(K741&lt;=0.1,"1-10%",IF(K741&lt;=0.2,"11-20%",IF(K741&lt;=0.3,"21-30%","Above 30%"))))</f>
        <v>1-10%</v>
      </c>
      <c r="R741" s="39" t="n">
        <f aca="false">I741*J741*MAX(0,K741-DiscountCap)</f>
        <v>0</v>
      </c>
    </row>
    <row r="742" customFormat="false" ht="15" hidden="false" customHeight="false" outlineLevel="0" collapsed="false">
      <c r="A742" s="37" t="s">
        <v>886</v>
      </c>
      <c r="B742" s="38" t="n">
        <v>45960</v>
      </c>
      <c r="C742" s="37" t="n">
        <f aca="false">MONTH(B742)</f>
        <v>10</v>
      </c>
      <c r="D742" s="37" t="s">
        <v>140</v>
      </c>
      <c r="E742" s="37" t="s">
        <v>44</v>
      </c>
      <c r="F742" s="37" t="s">
        <v>96</v>
      </c>
      <c r="G742" s="37" t="s">
        <v>93</v>
      </c>
      <c r="H742" s="37" t="s">
        <v>123</v>
      </c>
      <c r="I742" s="37" t="n">
        <v>1</v>
      </c>
      <c r="J742" s="39" t="n">
        <v>1299</v>
      </c>
      <c r="K742" s="40" t="n">
        <v>0.3</v>
      </c>
      <c r="L742" s="39" t="n">
        <f aca="false">VLOOKUP(H742,'Product List'!$A$3:$D$18,4,FALSE())</f>
        <v>700</v>
      </c>
      <c r="M742" s="39" t="n">
        <f aca="false">I742*J742*(1-K742)</f>
        <v>909.3</v>
      </c>
      <c r="N742" s="39" t="n">
        <f aca="false">I742*L742</f>
        <v>700</v>
      </c>
      <c r="O742" s="39" t="n">
        <f aca="false">M742-N742</f>
        <v>209.3</v>
      </c>
      <c r="P742" s="41" t="n">
        <f aca="false">IF(M742=0,0,O742/M742)</f>
        <v>0.230177059276366</v>
      </c>
      <c r="Q742" s="37" t="str">
        <f aca="false">IF(K742=0,"No discount",IF(K742&lt;=0.1,"1-10%",IF(K742&lt;=0.2,"11-20%",IF(K742&lt;=0.3,"21-30%","Above 30%"))))</f>
        <v>21-30%</v>
      </c>
      <c r="R742" s="39" t="n">
        <f aca="false">I742*J742*MAX(0,K742-DiscountCap)</f>
        <v>129.9</v>
      </c>
    </row>
    <row r="743" customFormat="false" ht="15" hidden="false" customHeight="false" outlineLevel="0" collapsed="false">
      <c r="A743" s="37" t="s">
        <v>887</v>
      </c>
      <c r="B743" s="38" t="n">
        <v>45943</v>
      </c>
      <c r="C743" s="37" t="n">
        <f aca="false">MONTH(B743)</f>
        <v>10</v>
      </c>
      <c r="D743" s="37" t="s">
        <v>136</v>
      </c>
      <c r="E743" s="37" t="s">
        <v>47</v>
      </c>
      <c r="F743" s="37" t="s">
        <v>96</v>
      </c>
      <c r="G743" s="37" t="s">
        <v>92</v>
      </c>
      <c r="H743" s="37" t="s">
        <v>112</v>
      </c>
      <c r="I743" s="37" t="n">
        <v>1</v>
      </c>
      <c r="J743" s="39" t="n">
        <v>3299</v>
      </c>
      <c r="K743" s="40" t="n">
        <v>0.25</v>
      </c>
      <c r="L743" s="39" t="n">
        <f aca="false">VLOOKUP(H743,'Product List'!$A$3:$D$18,4,FALSE())</f>
        <v>2250</v>
      </c>
      <c r="M743" s="39" t="n">
        <f aca="false">I743*J743*(1-K743)</f>
        <v>2474.25</v>
      </c>
      <c r="N743" s="39" t="n">
        <f aca="false">I743*L743</f>
        <v>2250</v>
      </c>
      <c r="O743" s="39" t="n">
        <f aca="false">M743-N743</f>
        <v>224.25</v>
      </c>
      <c r="P743" s="41" t="n">
        <f aca="false">IF(M743=0,0,O743/M743)</f>
        <v>0.0906335253107002</v>
      </c>
      <c r="Q743" s="37" t="str">
        <f aca="false">IF(K743=0,"No discount",IF(K743&lt;=0.1,"1-10%",IF(K743&lt;=0.2,"11-20%",IF(K743&lt;=0.3,"21-30%","Above 30%"))))</f>
        <v>21-30%</v>
      </c>
      <c r="R743" s="39" t="n">
        <f aca="false">I743*J743*MAX(0,K743-DiscountCap)</f>
        <v>164.95</v>
      </c>
    </row>
    <row r="744" customFormat="false" ht="15" hidden="false" customHeight="false" outlineLevel="0" collapsed="false">
      <c r="A744" s="37" t="s">
        <v>888</v>
      </c>
      <c r="B744" s="38" t="n">
        <v>45931</v>
      </c>
      <c r="C744" s="37" t="n">
        <f aca="false">MONTH(B744)</f>
        <v>10</v>
      </c>
      <c r="D744" s="37" t="s">
        <v>140</v>
      </c>
      <c r="E744" s="37" t="s">
        <v>44</v>
      </c>
      <c r="F744" s="37" t="s">
        <v>96</v>
      </c>
      <c r="G744" s="37" t="s">
        <v>91</v>
      </c>
      <c r="H744" s="37" t="s">
        <v>118</v>
      </c>
      <c r="I744" s="37" t="n">
        <v>1</v>
      </c>
      <c r="J744" s="39" t="n">
        <v>2299</v>
      </c>
      <c r="K744" s="40" t="n">
        <v>0.3</v>
      </c>
      <c r="L744" s="39" t="n">
        <f aca="false">VLOOKUP(H744,'Product List'!$A$3:$D$18,4,FALSE())</f>
        <v>1300</v>
      </c>
      <c r="M744" s="39" t="n">
        <f aca="false">I744*J744*(1-K744)</f>
        <v>1609.3</v>
      </c>
      <c r="N744" s="39" t="n">
        <f aca="false">I744*L744</f>
        <v>1300</v>
      </c>
      <c r="O744" s="39" t="n">
        <f aca="false">M744-N744</f>
        <v>309.3</v>
      </c>
      <c r="P744" s="41" t="n">
        <f aca="false">IF(M744=0,0,O744/M744)</f>
        <v>0.192195364444168</v>
      </c>
      <c r="Q744" s="37" t="str">
        <f aca="false">IF(K744=0,"No discount",IF(K744&lt;=0.1,"1-10%",IF(K744&lt;=0.2,"11-20%",IF(K744&lt;=0.3,"21-30%","Above 30%"))))</f>
        <v>21-30%</v>
      </c>
      <c r="R744" s="39" t="n">
        <f aca="false">I744*J744*MAX(0,K744-DiscountCap)</f>
        <v>229.9</v>
      </c>
    </row>
    <row r="745" customFormat="false" ht="15" hidden="false" customHeight="false" outlineLevel="0" collapsed="false">
      <c r="A745" s="37" t="s">
        <v>889</v>
      </c>
      <c r="B745" s="38" t="n">
        <v>45959</v>
      </c>
      <c r="C745" s="37" t="n">
        <f aca="false">MONTH(B745)</f>
        <v>10</v>
      </c>
      <c r="D745" s="37" t="s">
        <v>144</v>
      </c>
      <c r="E745" s="37" t="s">
        <v>45</v>
      </c>
      <c r="F745" s="37" t="s">
        <v>96</v>
      </c>
      <c r="G745" s="37" t="s">
        <v>91</v>
      </c>
      <c r="H745" s="37" t="s">
        <v>118</v>
      </c>
      <c r="I745" s="37" t="n">
        <v>1</v>
      </c>
      <c r="J745" s="39" t="n">
        <v>2299</v>
      </c>
      <c r="K745" s="40" t="n">
        <v>0.3</v>
      </c>
      <c r="L745" s="39" t="n">
        <f aca="false">VLOOKUP(H745,'Product List'!$A$3:$D$18,4,FALSE())</f>
        <v>1300</v>
      </c>
      <c r="M745" s="39" t="n">
        <f aca="false">I745*J745*(1-K745)</f>
        <v>1609.3</v>
      </c>
      <c r="N745" s="39" t="n">
        <f aca="false">I745*L745</f>
        <v>1300</v>
      </c>
      <c r="O745" s="39" t="n">
        <f aca="false">M745-N745</f>
        <v>309.3</v>
      </c>
      <c r="P745" s="41" t="n">
        <f aca="false">IF(M745=0,0,O745/M745)</f>
        <v>0.192195364444168</v>
      </c>
      <c r="Q745" s="37" t="str">
        <f aca="false">IF(K745=0,"No discount",IF(K745&lt;=0.1,"1-10%",IF(K745&lt;=0.2,"11-20%",IF(K745&lt;=0.3,"21-30%","Above 30%"))))</f>
        <v>21-30%</v>
      </c>
      <c r="R745" s="39" t="n">
        <f aca="false">I745*J745*MAX(0,K745-DiscountCap)</f>
        <v>229.9</v>
      </c>
    </row>
    <row r="746" customFormat="false" ht="15" hidden="false" customHeight="false" outlineLevel="0" collapsed="false">
      <c r="A746" s="37" t="s">
        <v>890</v>
      </c>
      <c r="B746" s="38" t="n">
        <v>45950</v>
      </c>
      <c r="C746" s="37" t="n">
        <f aca="false">MONTH(B746)</f>
        <v>10</v>
      </c>
      <c r="D746" s="37" t="s">
        <v>144</v>
      </c>
      <c r="E746" s="37" t="s">
        <v>45</v>
      </c>
      <c r="F746" s="37" t="s">
        <v>97</v>
      </c>
      <c r="G746" s="37" t="s">
        <v>91</v>
      </c>
      <c r="H746" s="37" t="s">
        <v>119</v>
      </c>
      <c r="I746" s="37" t="n">
        <v>1</v>
      </c>
      <c r="J746" s="39" t="n">
        <v>1099</v>
      </c>
      <c r="K746" s="40" t="n">
        <v>0.05</v>
      </c>
      <c r="L746" s="39" t="n">
        <f aca="false">VLOOKUP(H746,'Product List'!$A$3:$D$18,4,FALSE())</f>
        <v>560</v>
      </c>
      <c r="M746" s="39" t="n">
        <f aca="false">I746*J746*(1-K746)</f>
        <v>1044.05</v>
      </c>
      <c r="N746" s="39" t="n">
        <f aca="false">I746*L746</f>
        <v>560</v>
      </c>
      <c r="O746" s="39" t="n">
        <f aca="false">M746-N746</f>
        <v>484.05</v>
      </c>
      <c r="P746" s="41" t="n">
        <f aca="false">IF(M746=0,0,O746/M746)</f>
        <v>0.463627220918538</v>
      </c>
      <c r="Q746" s="37" t="str">
        <f aca="false">IF(K746=0,"No discount",IF(K746&lt;=0.1,"1-10%",IF(K746&lt;=0.2,"11-20%",IF(K746&lt;=0.3,"21-30%","Above 30%"))))</f>
        <v>1-10%</v>
      </c>
      <c r="R746" s="39" t="n">
        <f aca="false">I746*J746*MAX(0,K746-DiscountCap)</f>
        <v>0</v>
      </c>
    </row>
    <row r="747" customFormat="false" ht="15" hidden="false" customHeight="false" outlineLevel="0" collapsed="false">
      <c r="A747" s="37" t="s">
        <v>891</v>
      </c>
      <c r="B747" s="38" t="n">
        <v>45960</v>
      </c>
      <c r="C747" s="37" t="n">
        <f aca="false">MONTH(B747)</f>
        <v>10</v>
      </c>
      <c r="D747" s="37" t="s">
        <v>169</v>
      </c>
      <c r="E747" s="37" t="s">
        <v>44</v>
      </c>
      <c r="F747" s="37" t="s">
        <v>96</v>
      </c>
      <c r="G747" s="37" t="s">
        <v>91</v>
      </c>
      <c r="H747" s="37" t="s">
        <v>117</v>
      </c>
      <c r="I747" s="37" t="n">
        <v>1</v>
      </c>
      <c r="J747" s="39" t="n">
        <v>1499</v>
      </c>
      <c r="K747" s="40" t="n">
        <v>0.05</v>
      </c>
      <c r="L747" s="39" t="n">
        <f aca="false">VLOOKUP(H747,'Product List'!$A$3:$D$18,4,FALSE())</f>
        <v>780</v>
      </c>
      <c r="M747" s="39" t="n">
        <f aca="false">I747*J747*(1-K747)</f>
        <v>1424.05</v>
      </c>
      <c r="N747" s="39" t="n">
        <f aca="false">I747*L747</f>
        <v>780</v>
      </c>
      <c r="O747" s="39" t="n">
        <f aca="false">M747-N747</f>
        <v>644.05</v>
      </c>
      <c r="P747" s="41" t="n">
        <f aca="false">IF(M747=0,0,O747/M747)</f>
        <v>0.452266423229521</v>
      </c>
      <c r="Q747" s="37" t="str">
        <f aca="false">IF(K747=0,"No discount",IF(K747&lt;=0.1,"1-10%",IF(K747&lt;=0.2,"11-20%",IF(K747&lt;=0.3,"21-30%","Above 30%"))))</f>
        <v>1-10%</v>
      </c>
      <c r="R747" s="39" t="n">
        <f aca="false">I747*J747*MAX(0,K747-DiscountCap)</f>
        <v>0</v>
      </c>
    </row>
    <row r="748" customFormat="false" ht="15" hidden="false" customHeight="false" outlineLevel="0" collapsed="false">
      <c r="A748" s="37" t="s">
        <v>892</v>
      </c>
      <c r="B748" s="38" t="n">
        <v>45947</v>
      </c>
      <c r="C748" s="37" t="n">
        <f aca="false">MONTH(B748)</f>
        <v>10</v>
      </c>
      <c r="D748" s="37" t="s">
        <v>136</v>
      </c>
      <c r="E748" s="37" t="s">
        <v>47</v>
      </c>
      <c r="F748" s="37" t="s">
        <v>97</v>
      </c>
      <c r="G748" s="37" t="s">
        <v>93</v>
      </c>
      <c r="H748" s="37" t="s">
        <v>122</v>
      </c>
      <c r="I748" s="37" t="n">
        <v>1</v>
      </c>
      <c r="J748" s="39" t="n">
        <v>1799</v>
      </c>
      <c r="K748" s="40" t="n">
        <v>0.1</v>
      </c>
      <c r="L748" s="39" t="n">
        <f aca="false">VLOOKUP(H748,'Product List'!$A$3:$D$18,4,FALSE())</f>
        <v>1250</v>
      </c>
      <c r="M748" s="39" t="n">
        <f aca="false">I748*J748*(1-K748)</f>
        <v>1619.1</v>
      </c>
      <c r="N748" s="39" t="n">
        <f aca="false">I748*L748</f>
        <v>1250</v>
      </c>
      <c r="O748" s="39" t="n">
        <f aca="false">M748-N748</f>
        <v>369.1</v>
      </c>
      <c r="P748" s="41" t="n">
        <f aca="false">IF(M748=0,0,O748/M748)</f>
        <v>0.227966154036193</v>
      </c>
      <c r="Q748" s="37" t="str">
        <f aca="false">IF(K748=0,"No discount",IF(K748&lt;=0.1,"1-10%",IF(K748&lt;=0.2,"11-20%",IF(K748&lt;=0.3,"21-30%","Above 30%"))))</f>
        <v>1-10%</v>
      </c>
      <c r="R748" s="39" t="n">
        <f aca="false">I748*J748*MAX(0,K748-DiscountCap)</f>
        <v>0</v>
      </c>
    </row>
    <row r="749" customFormat="false" ht="15" hidden="false" customHeight="false" outlineLevel="0" collapsed="false">
      <c r="A749" s="37" t="s">
        <v>893</v>
      </c>
      <c r="B749" s="38" t="n">
        <v>45956</v>
      </c>
      <c r="C749" s="37" t="n">
        <f aca="false">MONTH(B749)</f>
        <v>10</v>
      </c>
      <c r="D749" s="37" t="s">
        <v>140</v>
      </c>
      <c r="E749" s="37" t="s">
        <v>44</v>
      </c>
      <c r="F749" s="37" t="s">
        <v>97</v>
      </c>
      <c r="G749" s="37" t="s">
        <v>93</v>
      </c>
      <c r="H749" s="37" t="s">
        <v>123</v>
      </c>
      <c r="I749" s="37" t="n">
        <v>1</v>
      </c>
      <c r="J749" s="39" t="n">
        <v>1299</v>
      </c>
      <c r="K749" s="40" t="n">
        <v>0</v>
      </c>
      <c r="L749" s="39" t="n">
        <f aca="false">VLOOKUP(H749,'Product List'!$A$3:$D$18,4,FALSE())</f>
        <v>700</v>
      </c>
      <c r="M749" s="39" t="n">
        <f aca="false">I749*J749*(1-K749)</f>
        <v>1299</v>
      </c>
      <c r="N749" s="39" t="n">
        <f aca="false">I749*L749</f>
        <v>700</v>
      </c>
      <c r="O749" s="39" t="n">
        <f aca="false">M749-N749</f>
        <v>599</v>
      </c>
      <c r="P749" s="41" t="n">
        <f aca="false">IF(M749=0,0,O749/M749)</f>
        <v>0.461123941493457</v>
      </c>
      <c r="Q749" s="37" t="str">
        <f aca="false">IF(K749=0,"No discount",IF(K749&lt;=0.1,"1-10%",IF(K749&lt;=0.2,"11-20%",IF(K749&lt;=0.3,"21-30%","Above 30%"))))</f>
        <v>No discount</v>
      </c>
      <c r="R749" s="39" t="n">
        <f aca="false">I749*J749*MAX(0,K749-DiscountCap)</f>
        <v>0</v>
      </c>
    </row>
    <row r="750" customFormat="false" ht="15" hidden="false" customHeight="false" outlineLevel="0" collapsed="false">
      <c r="A750" s="37" t="s">
        <v>894</v>
      </c>
      <c r="B750" s="38" t="n">
        <v>45943</v>
      </c>
      <c r="C750" s="37" t="n">
        <f aca="false">MONTH(B750)</f>
        <v>10</v>
      </c>
      <c r="D750" s="37" t="s">
        <v>134</v>
      </c>
      <c r="E750" s="37" t="s">
        <v>45</v>
      </c>
      <c r="F750" s="37" t="s">
        <v>96</v>
      </c>
      <c r="G750" s="37" t="s">
        <v>92</v>
      </c>
      <c r="H750" s="37" t="s">
        <v>115</v>
      </c>
      <c r="I750" s="37" t="n">
        <v>2</v>
      </c>
      <c r="J750" s="39" t="n">
        <v>1799</v>
      </c>
      <c r="K750" s="40" t="n">
        <v>0.4</v>
      </c>
      <c r="L750" s="39" t="n">
        <f aca="false">VLOOKUP(H750,'Product List'!$A$3:$D$18,4,FALSE())</f>
        <v>1150</v>
      </c>
      <c r="M750" s="39" t="n">
        <f aca="false">I750*J750*(1-K750)</f>
        <v>2158.8</v>
      </c>
      <c r="N750" s="39" t="n">
        <f aca="false">I750*L750</f>
        <v>2300</v>
      </c>
      <c r="O750" s="39" t="n">
        <f aca="false">M750-N750</f>
        <v>-141.2</v>
      </c>
      <c r="P750" s="41" t="n">
        <f aca="false">IF(M750=0,0,O750/M750)</f>
        <v>-0.0654067074300539</v>
      </c>
      <c r="Q750" s="37" t="str">
        <f aca="false">IF(K750=0,"No discount",IF(K750&lt;=0.1,"1-10%",IF(K750&lt;=0.2,"11-20%",IF(K750&lt;=0.3,"21-30%","Above 30%"))))</f>
        <v>Above 30%</v>
      </c>
      <c r="R750" s="39" t="n">
        <f aca="false">I750*J750*MAX(0,K750-DiscountCap)</f>
        <v>719.6</v>
      </c>
    </row>
    <row r="751" customFormat="false" ht="15" hidden="false" customHeight="false" outlineLevel="0" collapsed="false">
      <c r="A751" s="37" t="s">
        <v>895</v>
      </c>
      <c r="B751" s="38" t="n">
        <v>45951</v>
      </c>
      <c r="C751" s="37" t="n">
        <f aca="false">MONTH(B751)</f>
        <v>10</v>
      </c>
      <c r="D751" s="37" t="s">
        <v>166</v>
      </c>
      <c r="E751" s="37" t="s">
        <v>44</v>
      </c>
      <c r="F751" s="37" t="s">
        <v>97</v>
      </c>
      <c r="G751" s="37" t="s">
        <v>91</v>
      </c>
      <c r="H751" s="37" t="s">
        <v>117</v>
      </c>
      <c r="I751" s="37" t="n">
        <v>1</v>
      </c>
      <c r="J751" s="39" t="n">
        <v>1499</v>
      </c>
      <c r="K751" s="40" t="n">
        <v>0.1</v>
      </c>
      <c r="L751" s="39" t="n">
        <f aca="false">VLOOKUP(H751,'Product List'!$A$3:$D$18,4,FALSE())</f>
        <v>780</v>
      </c>
      <c r="M751" s="39" t="n">
        <f aca="false">I751*J751*(1-K751)</f>
        <v>1349.1</v>
      </c>
      <c r="N751" s="39" t="n">
        <f aca="false">I751*L751</f>
        <v>780</v>
      </c>
      <c r="O751" s="39" t="n">
        <f aca="false">M751-N751</f>
        <v>569.1</v>
      </c>
      <c r="P751" s="41" t="n">
        <f aca="false">IF(M751=0,0,O751/M751)</f>
        <v>0.421836780075606</v>
      </c>
      <c r="Q751" s="37" t="str">
        <f aca="false">IF(K751=0,"No discount",IF(K751&lt;=0.1,"1-10%",IF(K751&lt;=0.2,"11-20%",IF(K751&lt;=0.3,"21-30%","Above 30%"))))</f>
        <v>1-10%</v>
      </c>
      <c r="R751" s="39" t="n">
        <f aca="false">I751*J751*MAX(0,K751-DiscountCap)</f>
        <v>0</v>
      </c>
    </row>
    <row r="752" customFormat="false" ht="15" hidden="false" customHeight="false" outlineLevel="0" collapsed="false">
      <c r="A752" s="37" t="s">
        <v>896</v>
      </c>
      <c r="B752" s="38" t="n">
        <v>45940</v>
      </c>
      <c r="C752" s="37" t="n">
        <f aca="false">MONTH(B752)</f>
        <v>10</v>
      </c>
      <c r="D752" s="37" t="s">
        <v>134</v>
      </c>
      <c r="E752" s="37" t="s">
        <v>45</v>
      </c>
      <c r="F752" s="37" t="s">
        <v>97</v>
      </c>
      <c r="G752" s="37" t="s">
        <v>92</v>
      </c>
      <c r="H752" s="37" t="s">
        <v>115</v>
      </c>
      <c r="I752" s="37" t="n">
        <v>1</v>
      </c>
      <c r="J752" s="39" t="n">
        <v>1799</v>
      </c>
      <c r="K752" s="40" t="n">
        <v>0</v>
      </c>
      <c r="L752" s="39" t="n">
        <f aca="false">VLOOKUP(H752,'Product List'!$A$3:$D$18,4,FALSE())</f>
        <v>1150</v>
      </c>
      <c r="M752" s="39" t="n">
        <f aca="false">I752*J752*(1-K752)</f>
        <v>1799</v>
      </c>
      <c r="N752" s="39" t="n">
        <f aca="false">I752*L752</f>
        <v>1150</v>
      </c>
      <c r="O752" s="39" t="n">
        <f aca="false">M752-N752</f>
        <v>649</v>
      </c>
      <c r="P752" s="41" t="n">
        <f aca="false">IF(M752=0,0,O752/M752)</f>
        <v>0.360755975541968</v>
      </c>
      <c r="Q752" s="37" t="str">
        <f aca="false">IF(K752=0,"No discount",IF(K752&lt;=0.1,"1-10%",IF(K752&lt;=0.2,"11-20%",IF(K752&lt;=0.3,"21-30%","Above 30%"))))</f>
        <v>No discount</v>
      </c>
      <c r="R752" s="39" t="n">
        <f aca="false">I752*J752*MAX(0,K752-DiscountCap)</f>
        <v>0</v>
      </c>
    </row>
    <row r="753" customFormat="false" ht="15" hidden="false" customHeight="false" outlineLevel="0" collapsed="false">
      <c r="A753" s="37" t="s">
        <v>897</v>
      </c>
      <c r="B753" s="38" t="n">
        <v>45935</v>
      </c>
      <c r="C753" s="37" t="n">
        <f aca="false">MONTH(B753)</f>
        <v>10</v>
      </c>
      <c r="D753" s="37" t="s">
        <v>138</v>
      </c>
      <c r="E753" s="37" t="s">
        <v>46</v>
      </c>
      <c r="F753" s="37" t="s">
        <v>97</v>
      </c>
      <c r="G753" s="37" t="s">
        <v>90</v>
      </c>
      <c r="H753" s="37" t="s">
        <v>110</v>
      </c>
      <c r="I753" s="37" t="n">
        <v>2</v>
      </c>
      <c r="J753" s="39" t="n">
        <v>1299</v>
      </c>
      <c r="K753" s="40" t="n">
        <v>0.15</v>
      </c>
      <c r="L753" s="39" t="n">
        <f aca="false">VLOOKUP(H753,'Product List'!$A$3:$D$18,4,FALSE())</f>
        <v>1000</v>
      </c>
      <c r="M753" s="39" t="n">
        <f aca="false">I753*J753*(1-K753)</f>
        <v>2208.3</v>
      </c>
      <c r="N753" s="39" t="n">
        <f aca="false">I753*L753</f>
        <v>2000</v>
      </c>
      <c r="O753" s="39" t="n">
        <f aca="false">M753-N753</f>
        <v>208.3</v>
      </c>
      <c r="P753" s="41" t="n">
        <f aca="false">IF(M753=0,0,O753/M753)</f>
        <v>0.0943259520898428</v>
      </c>
      <c r="Q753" s="37" t="str">
        <f aca="false">IF(K753=0,"No discount",IF(K753&lt;=0.1,"1-10%",IF(K753&lt;=0.2,"11-20%",IF(K753&lt;=0.3,"21-30%","Above 30%"))))</f>
        <v>11-20%</v>
      </c>
      <c r="R753" s="39" t="n">
        <f aca="false">I753*J753*MAX(0,K753-DiscountCap)</f>
        <v>0</v>
      </c>
    </row>
    <row r="754" customFormat="false" ht="15" hidden="false" customHeight="false" outlineLevel="0" collapsed="false">
      <c r="A754" s="37" t="s">
        <v>898</v>
      </c>
      <c r="B754" s="38" t="n">
        <v>45944</v>
      </c>
      <c r="C754" s="37" t="n">
        <f aca="false">MONTH(B754)</f>
        <v>10</v>
      </c>
      <c r="D754" s="37" t="s">
        <v>146</v>
      </c>
      <c r="E754" s="37" t="s">
        <v>45</v>
      </c>
      <c r="F754" s="37" t="s">
        <v>96</v>
      </c>
      <c r="G754" s="37" t="s">
        <v>91</v>
      </c>
      <c r="H754" s="37" t="s">
        <v>116</v>
      </c>
      <c r="I754" s="37" t="n">
        <v>4</v>
      </c>
      <c r="J754" s="39" t="n">
        <v>899</v>
      </c>
      <c r="K754" s="40" t="n">
        <v>0.4</v>
      </c>
      <c r="L754" s="39" t="n">
        <f aca="false">VLOOKUP(H754,'Product List'!$A$3:$D$18,4,FALSE())</f>
        <v>430</v>
      </c>
      <c r="M754" s="39" t="n">
        <f aca="false">I754*J754*(1-K754)</f>
        <v>2157.6</v>
      </c>
      <c r="N754" s="39" t="n">
        <f aca="false">I754*L754</f>
        <v>1720</v>
      </c>
      <c r="O754" s="39" t="n">
        <f aca="false">M754-N754</f>
        <v>437.6</v>
      </c>
      <c r="P754" s="41" t="n">
        <f aca="false">IF(M754=0,0,O754/M754)</f>
        <v>0.202817945865777</v>
      </c>
      <c r="Q754" s="37" t="str">
        <f aca="false">IF(K754=0,"No discount",IF(K754&lt;=0.1,"1-10%",IF(K754&lt;=0.2,"11-20%",IF(K754&lt;=0.3,"21-30%","Above 30%"))))</f>
        <v>Above 30%</v>
      </c>
      <c r="R754" s="39" t="n">
        <f aca="false">I754*J754*MAX(0,K754-DiscountCap)</f>
        <v>719.2</v>
      </c>
    </row>
    <row r="755" customFormat="false" ht="15" hidden="false" customHeight="false" outlineLevel="0" collapsed="false">
      <c r="A755" s="37" t="s">
        <v>899</v>
      </c>
      <c r="B755" s="38" t="n">
        <v>45958</v>
      </c>
      <c r="C755" s="37" t="n">
        <f aca="false">MONTH(B755)</f>
        <v>10</v>
      </c>
      <c r="D755" s="37" t="s">
        <v>134</v>
      </c>
      <c r="E755" s="37" t="s">
        <v>45</v>
      </c>
      <c r="F755" s="37" t="s">
        <v>97</v>
      </c>
      <c r="G755" s="37" t="s">
        <v>91</v>
      </c>
      <c r="H755" s="37" t="s">
        <v>118</v>
      </c>
      <c r="I755" s="37" t="n">
        <v>1</v>
      </c>
      <c r="J755" s="39" t="n">
        <v>2299</v>
      </c>
      <c r="K755" s="40" t="n">
        <v>0.05</v>
      </c>
      <c r="L755" s="39" t="n">
        <f aca="false">VLOOKUP(H755,'Product List'!$A$3:$D$18,4,FALSE())</f>
        <v>1300</v>
      </c>
      <c r="M755" s="39" t="n">
        <f aca="false">I755*J755*(1-K755)</f>
        <v>2184.05</v>
      </c>
      <c r="N755" s="39" t="n">
        <f aca="false">I755*L755</f>
        <v>1300</v>
      </c>
      <c r="O755" s="39" t="n">
        <f aca="false">M755-N755</f>
        <v>884.05</v>
      </c>
      <c r="P755" s="41" t="n">
        <f aca="false">IF(M755=0,0,O755/M755)</f>
        <v>0.404775531695703</v>
      </c>
      <c r="Q755" s="37" t="str">
        <f aca="false">IF(K755=0,"No discount",IF(K755&lt;=0.1,"1-10%",IF(K755&lt;=0.2,"11-20%",IF(K755&lt;=0.3,"21-30%","Above 30%"))))</f>
        <v>1-10%</v>
      </c>
      <c r="R755" s="39" t="n">
        <f aca="false">I755*J755*MAX(0,K755-DiscountCap)</f>
        <v>0</v>
      </c>
    </row>
    <row r="756" customFormat="false" ht="15" hidden="false" customHeight="false" outlineLevel="0" collapsed="false">
      <c r="A756" s="37" t="s">
        <v>900</v>
      </c>
      <c r="B756" s="38" t="n">
        <v>45936</v>
      </c>
      <c r="C756" s="37" t="n">
        <f aca="false">MONTH(B756)</f>
        <v>10</v>
      </c>
      <c r="D756" s="37" t="s">
        <v>154</v>
      </c>
      <c r="E756" s="37" t="s">
        <v>47</v>
      </c>
      <c r="F756" s="37" t="s">
        <v>97</v>
      </c>
      <c r="G756" s="37" t="s">
        <v>90</v>
      </c>
      <c r="H756" s="37" t="s">
        <v>108</v>
      </c>
      <c r="I756" s="37" t="n">
        <v>1</v>
      </c>
      <c r="J756" s="39" t="n">
        <v>1999</v>
      </c>
      <c r="K756" s="40" t="n">
        <v>0.1</v>
      </c>
      <c r="L756" s="39" t="n">
        <f aca="false">VLOOKUP(H756,'Product List'!$A$3:$D$18,4,FALSE())</f>
        <v>1560</v>
      </c>
      <c r="M756" s="39" t="n">
        <f aca="false">I756*J756*(1-K756)</f>
        <v>1799.1</v>
      </c>
      <c r="N756" s="39" t="n">
        <f aca="false">I756*L756</f>
        <v>1560</v>
      </c>
      <c r="O756" s="39" t="n">
        <f aca="false">M756-N756</f>
        <v>239.1</v>
      </c>
      <c r="P756" s="41" t="n">
        <f aca="false">IF(M756=0,0,O756/M756)</f>
        <v>0.132899783224946</v>
      </c>
      <c r="Q756" s="37" t="str">
        <f aca="false">IF(K756=0,"No discount",IF(K756&lt;=0.1,"1-10%",IF(K756&lt;=0.2,"11-20%",IF(K756&lt;=0.3,"21-30%","Above 30%"))))</f>
        <v>1-10%</v>
      </c>
      <c r="R756" s="39" t="n">
        <f aca="false">I756*J756*MAX(0,K756-DiscountCap)</f>
        <v>0</v>
      </c>
    </row>
    <row r="757" customFormat="false" ht="15" hidden="false" customHeight="false" outlineLevel="0" collapsed="false">
      <c r="A757" s="37" t="s">
        <v>901</v>
      </c>
      <c r="B757" s="38" t="n">
        <v>45953</v>
      </c>
      <c r="C757" s="37" t="n">
        <f aca="false">MONTH(B757)</f>
        <v>10</v>
      </c>
      <c r="D757" s="37" t="s">
        <v>154</v>
      </c>
      <c r="E757" s="37" t="s">
        <v>47</v>
      </c>
      <c r="F757" s="37" t="s">
        <v>97</v>
      </c>
      <c r="G757" s="37" t="s">
        <v>90</v>
      </c>
      <c r="H757" s="37" t="s">
        <v>108</v>
      </c>
      <c r="I757" s="37" t="n">
        <v>1</v>
      </c>
      <c r="J757" s="39" t="n">
        <v>1999</v>
      </c>
      <c r="K757" s="40" t="n">
        <v>0.1</v>
      </c>
      <c r="L757" s="39" t="n">
        <f aca="false">VLOOKUP(H757,'Product List'!$A$3:$D$18,4,FALSE())</f>
        <v>1560</v>
      </c>
      <c r="M757" s="39" t="n">
        <f aca="false">I757*J757*(1-K757)</f>
        <v>1799.1</v>
      </c>
      <c r="N757" s="39" t="n">
        <f aca="false">I757*L757</f>
        <v>1560</v>
      </c>
      <c r="O757" s="39" t="n">
        <f aca="false">M757-N757</f>
        <v>239.1</v>
      </c>
      <c r="P757" s="41" t="n">
        <f aca="false">IF(M757=0,0,O757/M757)</f>
        <v>0.132899783224946</v>
      </c>
      <c r="Q757" s="37" t="str">
        <f aca="false">IF(K757=0,"No discount",IF(K757&lt;=0.1,"1-10%",IF(K757&lt;=0.2,"11-20%",IF(K757&lt;=0.3,"21-30%","Above 30%"))))</f>
        <v>1-10%</v>
      </c>
      <c r="R757" s="39" t="n">
        <f aca="false">I757*J757*MAX(0,K757-DiscountCap)</f>
        <v>0</v>
      </c>
    </row>
    <row r="758" customFormat="false" ht="15" hidden="false" customHeight="false" outlineLevel="0" collapsed="false">
      <c r="A758" s="37" t="s">
        <v>902</v>
      </c>
      <c r="B758" s="38" t="n">
        <v>45949</v>
      </c>
      <c r="C758" s="37" t="n">
        <f aca="false">MONTH(B758)</f>
        <v>10</v>
      </c>
      <c r="D758" s="37" t="s">
        <v>142</v>
      </c>
      <c r="E758" s="37" t="s">
        <v>47</v>
      </c>
      <c r="F758" s="37" t="s">
        <v>96</v>
      </c>
      <c r="G758" s="37" t="s">
        <v>90</v>
      </c>
      <c r="H758" s="37" t="s">
        <v>108</v>
      </c>
      <c r="I758" s="37" t="n">
        <v>1</v>
      </c>
      <c r="J758" s="39" t="n">
        <v>1999</v>
      </c>
      <c r="K758" s="40" t="n">
        <v>0.05</v>
      </c>
      <c r="L758" s="39" t="n">
        <f aca="false">VLOOKUP(H758,'Product List'!$A$3:$D$18,4,FALSE())</f>
        <v>1560</v>
      </c>
      <c r="M758" s="39" t="n">
        <f aca="false">I758*J758*(1-K758)</f>
        <v>1899.05</v>
      </c>
      <c r="N758" s="39" t="n">
        <f aca="false">I758*L758</f>
        <v>1560</v>
      </c>
      <c r="O758" s="39" t="n">
        <f aca="false">M758-N758</f>
        <v>339.05</v>
      </c>
      <c r="P758" s="41" t="n">
        <f aca="false">IF(M758=0,0,O758/M758)</f>
        <v>0.178536636739422</v>
      </c>
      <c r="Q758" s="37" t="str">
        <f aca="false">IF(K758=0,"No discount",IF(K758&lt;=0.1,"1-10%",IF(K758&lt;=0.2,"11-20%",IF(K758&lt;=0.3,"21-30%","Above 30%"))))</f>
        <v>1-10%</v>
      </c>
      <c r="R758" s="39" t="n">
        <f aca="false">I758*J758*MAX(0,K758-DiscountCap)</f>
        <v>0</v>
      </c>
    </row>
    <row r="759" customFormat="false" ht="15" hidden="false" customHeight="false" outlineLevel="0" collapsed="false">
      <c r="A759" s="37" t="s">
        <v>903</v>
      </c>
      <c r="B759" s="38" t="n">
        <v>45951</v>
      </c>
      <c r="C759" s="37" t="n">
        <f aca="false">MONTH(B759)</f>
        <v>10</v>
      </c>
      <c r="D759" s="37" t="s">
        <v>160</v>
      </c>
      <c r="E759" s="37" t="s">
        <v>46</v>
      </c>
      <c r="F759" s="37" t="s">
        <v>96</v>
      </c>
      <c r="G759" s="37" t="s">
        <v>93</v>
      </c>
      <c r="H759" s="37" t="s">
        <v>122</v>
      </c>
      <c r="I759" s="37" t="n">
        <v>3</v>
      </c>
      <c r="J759" s="39" t="n">
        <v>1799</v>
      </c>
      <c r="K759" s="40" t="n">
        <v>0.25</v>
      </c>
      <c r="L759" s="39" t="n">
        <f aca="false">VLOOKUP(H759,'Product List'!$A$3:$D$18,4,FALSE())</f>
        <v>1250</v>
      </c>
      <c r="M759" s="39" t="n">
        <f aca="false">I759*J759*(1-K759)</f>
        <v>4047.75</v>
      </c>
      <c r="N759" s="39" t="n">
        <f aca="false">I759*L759</f>
        <v>3750</v>
      </c>
      <c r="O759" s="39" t="n">
        <f aca="false">M759-N759</f>
        <v>297.75</v>
      </c>
      <c r="P759" s="41" t="n">
        <f aca="false">IF(M759=0,0,O759/M759)</f>
        <v>0.0735593848434315</v>
      </c>
      <c r="Q759" s="37" t="str">
        <f aca="false">IF(K759=0,"No discount",IF(K759&lt;=0.1,"1-10%",IF(K759&lt;=0.2,"11-20%",IF(K759&lt;=0.3,"21-30%","Above 30%"))))</f>
        <v>21-30%</v>
      </c>
      <c r="R759" s="39" t="n">
        <f aca="false">I759*J759*MAX(0,K759-DiscountCap)</f>
        <v>269.85</v>
      </c>
    </row>
    <row r="760" customFormat="false" ht="15" hidden="false" customHeight="false" outlineLevel="0" collapsed="false">
      <c r="A760" s="37" t="s">
        <v>904</v>
      </c>
      <c r="B760" s="38" t="n">
        <v>45949</v>
      </c>
      <c r="C760" s="37" t="n">
        <f aca="false">MONTH(B760)</f>
        <v>10</v>
      </c>
      <c r="D760" s="37" t="s">
        <v>134</v>
      </c>
      <c r="E760" s="37" t="s">
        <v>45</v>
      </c>
      <c r="F760" s="37" t="s">
        <v>97</v>
      </c>
      <c r="G760" s="37" t="s">
        <v>93</v>
      </c>
      <c r="H760" s="37" t="s">
        <v>123</v>
      </c>
      <c r="I760" s="37" t="n">
        <v>3</v>
      </c>
      <c r="J760" s="39" t="n">
        <v>1299</v>
      </c>
      <c r="K760" s="40" t="n">
        <v>0.15</v>
      </c>
      <c r="L760" s="39" t="n">
        <f aca="false">VLOOKUP(H760,'Product List'!$A$3:$D$18,4,FALSE())</f>
        <v>700</v>
      </c>
      <c r="M760" s="39" t="n">
        <f aca="false">I760*J760*(1-K760)</f>
        <v>3312.45</v>
      </c>
      <c r="N760" s="39" t="n">
        <f aca="false">I760*L760</f>
        <v>2100</v>
      </c>
      <c r="O760" s="39" t="n">
        <f aca="false">M760-N760</f>
        <v>1212.45</v>
      </c>
      <c r="P760" s="41" t="n">
        <f aca="false">IF(M760=0,0,O760/M760)</f>
        <v>0.36602816646289</v>
      </c>
      <c r="Q760" s="37" t="str">
        <f aca="false">IF(K760=0,"No discount",IF(K760&lt;=0.1,"1-10%",IF(K760&lt;=0.2,"11-20%",IF(K760&lt;=0.3,"21-30%","Above 30%"))))</f>
        <v>11-20%</v>
      </c>
      <c r="R760" s="39" t="n">
        <f aca="false">I760*J760*MAX(0,K760-DiscountCap)</f>
        <v>0</v>
      </c>
    </row>
    <row r="761" customFormat="false" ht="15" hidden="false" customHeight="false" outlineLevel="0" collapsed="false">
      <c r="A761" s="37" t="s">
        <v>905</v>
      </c>
      <c r="B761" s="38" t="n">
        <v>45933</v>
      </c>
      <c r="C761" s="37" t="n">
        <f aca="false">MONTH(B761)</f>
        <v>10</v>
      </c>
      <c r="D761" s="37" t="s">
        <v>169</v>
      </c>
      <c r="E761" s="37" t="s">
        <v>44</v>
      </c>
      <c r="F761" s="37" t="s">
        <v>97</v>
      </c>
      <c r="G761" s="37" t="s">
        <v>91</v>
      </c>
      <c r="H761" s="37" t="s">
        <v>116</v>
      </c>
      <c r="I761" s="37" t="n">
        <v>1</v>
      </c>
      <c r="J761" s="39" t="n">
        <v>899</v>
      </c>
      <c r="K761" s="40" t="n">
        <v>0.05</v>
      </c>
      <c r="L761" s="39" t="n">
        <f aca="false">VLOOKUP(H761,'Product List'!$A$3:$D$18,4,FALSE())</f>
        <v>430</v>
      </c>
      <c r="M761" s="39" t="n">
        <f aca="false">I761*J761*(1-K761)</f>
        <v>854.05</v>
      </c>
      <c r="N761" s="39" t="n">
        <f aca="false">I761*L761</f>
        <v>430</v>
      </c>
      <c r="O761" s="39" t="n">
        <f aca="false">M761-N761</f>
        <v>424.05</v>
      </c>
      <c r="P761" s="41" t="n">
        <f aca="false">IF(M761=0,0,O761/M761)</f>
        <v>0.496516597388912</v>
      </c>
      <c r="Q761" s="37" t="str">
        <f aca="false">IF(K761=0,"No discount",IF(K761&lt;=0.1,"1-10%",IF(K761&lt;=0.2,"11-20%",IF(K761&lt;=0.3,"21-30%","Above 30%"))))</f>
        <v>1-10%</v>
      </c>
      <c r="R761" s="39" t="n">
        <f aca="false">I761*J761*MAX(0,K761-DiscountCap)</f>
        <v>0</v>
      </c>
    </row>
    <row r="762" customFormat="false" ht="15" hidden="false" customHeight="false" outlineLevel="0" collapsed="false">
      <c r="A762" s="37" t="s">
        <v>906</v>
      </c>
      <c r="B762" s="38" t="n">
        <v>45961</v>
      </c>
      <c r="C762" s="37" t="n">
        <f aca="false">MONTH(B762)</f>
        <v>10</v>
      </c>
      <c r="D762" s="37" t="s">
        <v>146</v>
      </c>
      <c r="E762" s="37" t="s">
        <v>45</v>
      </c>
      <c r="F762" s="37" t="s">
        <v>96</v>
      </c>
      <c r="G762" s="37" t="s">
        <v>91</v>
      </c>
      <c r="H762" s="37" t="s">
        <v>116</v>
      </c>
      <c r="I762" s="37" t="n">
        <v>1</v>
      </c>
      <c r="J762" s="39" t="n">
        <v>899</v>
      </c>
      <c r="K762" s="40" t="n">
        <v>0.1</v>
      </c>
      <c r="L762" s="39" t="n">
        <f aca="false">VLOOKUP(H762,'Product List'!$A$3:$D$18,4,FALSE())</f>
        <v>430</v>
      </c>
      <c r="M762" s="39" t="n">
        <f aca="false">I762*J762*(1-K762)</f>
        <v>809.1</v>
      </c>
      <c r="N762" s="39" t="n">
        <f aca="false">I762*L762</f>
        <v>430</v>
      </c>
      <c r="O762" s="39" t="n">
        <f aca="false">M762-N762</f>
        <v>379.1</v>
      </c>
      <c r="P762" s="41" t="n">
        <f aca="false">IF(M762=0,0,O762/M762)</f>
        <v>0.468545297243851</v>
      </c>
      <c r="Q762" s="37" t="str">
        <f aca="false">IF(K762=0,"No discount",IF(K762&lt;=0.1,"1-10%",IF(K762&lt;=0.2,"11-20%",IF(K762&lt;=0.3,"21-30%","Above 30%"))))</f>
        <v>1-10%</v>
      </c>
      <c r="R762" s="39" t="n">
        <f aca="false">I762*J762*MAX(0,K762-DiscountCap)</f>
        <v>0</v>
      </c>
    </row>
    <row r="763" customFormat="false" ht="15" hidden="false" customHeight="false" outlineLevel="0" collapsed="false">
      <c r="A763" s="37" t="s">
        <v>907</v>
      </c>
      <c r="B763" s="38" t="n">
        <v>45943</v>
      </c>
      <c r="C763" s="37" t="n">
        <f aca="false">MONTH(B763)</f>
        <v>10</v>
      </c>
      <c r="D763" s="37" t="s">
        <v>140</v>
      </c>
      <c r="E763" s="37" t="s">
        <v>44</v>
      </c>
      <c r="F763" s="37" t="s">
        <v>97</v>
      </c>
      <c r="G763" s="37" t="s">
        <v>91</v>
      </c>
      <c r="H763" s="37" t="s">
        <v>118</v>
      </c>
      <c r="I763" s="37" t="n">
        <v>1</v>
      </c>
      <c r="J763" s="39" t="n">
        <v>2299</v>
      </c>
      <c r="K763" s="40" t="n">
        <v>0.15</v>
      </c>
      <c r="L763" s="39" t="n">
        <f aca="false">VLOOKUP(H763,'Product List'!$A$3:$D$18,4,FALSE())</f>
        <v>1300</v>
      </c>
      <c r="M763" s="39" t="n">
        <f aca="false">I763*J763*(1-K763)</f>
        <v>1954.15</v>
      </c>
      <c r="N763" s="39" t="n">
        <f aca="false">I763*L763</f>
        <v>1300</v>
      </c>
      <c r="O763" s="39" t="n">
        <f aca="false">M763-N763</f>
        <v>654.15</v>
      </c>
      <c r="P763" s="41" t="n">
        <f aca="false">IF(M763=0,0,O763/M763)</f>
        <v>0.334749123659903</v>
      </c>
      <c r="Q763" s="37" t="str">
        <f aca="false">IF(K763=0,"No discount",IF(K763&lt;=0.1,"1-10%",IF(K763&lt;=0.2,"11-20%",IF(K763&lt;=0.3,"21-30%","Above 30%"))))</f>
        <v>11-20%</v>
      </c>
      <c r="R763" s="39" t="n">
        <f aca="false">I763*J763*MAX(0,K763-DiscountCap)</f>
        <v>0</v>
      </c>
    </row>
    <row r="764" customFormat="false" ht="15" hidden="false" customHeight="false" outlineLevel="0" collapsed="false">
      <c r="A764" s="37" t="s">
        <v>908</v>
      </c>
      <c r="B764" s="38" t="n">
        <v>45958</v>
      </c>
      <c r="C764" s="37" t="n">
        <f aca="false">MONTH(B764)</f>
        <v>10</v>
      </c>
      <c r="D764" s="37" t="s">
        <v>136</v>
      </c>
      <c r="E764" s="37" t="s">
        <v>47</v>
      </c>
      <c r="F764" s="37" t="s">
        <v>97</v>
      </c>
      <c r="G764" s="37" t="s">
        <v>90</v>
      </c>
      <c r="H764" s="37" t="s">
        <v>111</v>
      </c>
      <c r="I764" s="37" t="n">
        <v>2</v>
      </c>
      <c r="J764" s="39" t="n">
        <v>2499</v>
      </c>
      <c r="K764" s="40" t="n">
        <v>0.1</v>
      </c>
      <c r="L764" s="39" t="n">
        <f aca="false">VLOOKUP(H764,'Product List'!$A$3:$D$18,4,FALSE())</f>
        <v>1950</v>
      </c>
      <c r="M764" s="39" t="n">
        <f aca="false">I764*J764*(1-K764)</f>
        <v>4498.2</v>
      </c>
      <c r="N764" s="39" t="n">
        <f aca="false">I764*L764</f>
        <v>3900</v>
      </c>
      <c r="O764" s="39" t="n">
        <f aca="false">M764-N764</f>
        <v>598.2</v>
      </c>
      <c r="P764" s="41" t="n">
        <f aca="false">IF(M764=0,0,O764/M764)</f>
        <v>0.132986527944511</v>
      </c>
      <c r="Q764" s="37" t="str">
        <f aca="false">IF(K764=0,"No discount",IF(K764&lt;=0.1,"1-10%",IF(K764&lt;=0.2,"11-20%",IF(K764&lt;=0.3,"21-30%","Above 30%"))))</f>
        <v>1-10%</v>
      </c>
      <c r="R764" s="39" t="n">
        <f aca="false">I764*J764*MAX(0,K764-DiscountCap)</f>
        <v>0</v>
      </c>
    </row>
    <row r="765" customFormat="false" ht="15" hidden="false" customHeight="false" outlineLevel="0" collapsed="false">
      <c r="A765" s="37" t="s">
        <v>909</v>
      </c>
      <c r="B765" s="38" t="n">
        <v>45932</v>
      </c>
      <c r="C765" s="37" t="n">
        <f aca="false">MONTH(B765)</f>
        <v>10</v>
      </c>
      <c r="D765" s="37" t="s">
        <v>134</v>
      </c>
      <c r="E765" s="37" t="s">
        <v>45</v>
      </c>
      <c r="F765" s="37" t="s">
        <v>97</v>
      </c>
      <c r="G765" s="37" t="s">
        <v>90</v>
      </c>
      <c r="H765" s="37" t="s">
        <v>111</v>
      </c>
      <c r="I765" s="37" t="n">
        <v>3</v>
      </c>
      <c r="J765" s="39" t="n">
        <v>2499</v>
      </c>
      <c r="K765" s="40" t="n">
        <v>0</v>
      </c>
      <c r="L765" s="39" t="n">
        <f aca="false">VLOOKUP(H765,'Product List'!$A$3:$D$18,4,FALSE())</f>
        <v>1950</v>
      </c>
      <c r="M765" s="39" t="n">
        <f aca="false">I765*J765*(1-K765)</f>
        <v>7497</v>
      </c>
      <c r="N765" s="39" t="n">
        <f aca="false">I765*L765</f>
        <v>5850</v>
      </c>
      <c r="O765" s="39" t="n">
        <f aca="false">M765-N765</f>
        <v>1647</v>
      </c>
      <c r="P765" s="41" t="n">
        <f aca="false">IF(M765=0,0,O765/M765)</f>
        <v>0.21968787515006</v>
      </c>
      <c r="Q765" s="37" t="str">
        <f aca="false">IF(K765=0,"No discount",IF(K765&lt;=0.1,"1-10%",IF(K765&lt;=0.2,"11-20%",IF(K765&lt;=0.3,"21-30%","Above 30%"))))</f>
        <v>No discount</v>
      </c>
      <c r="R765" s="39" t="n">
        <f aca="false">I765*J765*MAX(0,K765-DiscountCap)</f>
        <v>0</v>
      </c>
    </row>
    <row r="766" customFormat="false" ht="15" hidden="false" customHeight="false" outlineLevel="0" collapsed="false">
      <c r="A766" s="37" t="s">
        <v>910</v>
      </c>
      <c r="B766" s="38" t="n">
        <v>45942</v>
      </c>
      <c r="C766" s="37" t="n">
        <f aca="false">MONTH(B766)</f>
        <v>10</v>
      </c>
      <c r="D766" s="37" t="s">
        <v>146</v>
      </c>
      <c r="E766" s="37" t="s">
        <v>45</v>
      </c>
      <c r="F766" s="37" t="s">
        <v>96</v>
      </c>
      <c r="G766" s="37" t="s">
        <v>93</v>
      </c>
      <c r="H766" s="37" t="s">
        <v>123</v>
      </c>
      <c r="I766" s="37" t="n">
        <v>1</v>
      </c>
      <c r="J766" s="39" t="n">
        <v>1299</v>
      </c>
      <c r="K766" s="40" t="n">
        <v>0.2</v>
      </c>
      <c r="L766" s="39" t="n">
        <f aca="false">VLOOKUP(H766,'Product List'!$A$3:$D$18,4,FALSE())</f>
        <v>700</v>
      </c>
      <c r="M766" s="39" t="n">
        <f aca="false">I766*J766*(1-K766)</f>
        <v>1039.2</v>
      </c>
      <c r="N766" s="39" t="n">
        <f aca="false">I766*L766</f>
        <v>700</v>
      </c>
      <c r="O766" s="39" t="n">
        <f aca="false">M766-N766</f>
        <v>339.2</v>
      </c>
      <c r="P766" s="41" t="n">
        <f aca="false">IF(M766=0,0,O766/M766)</f>
        <v>0.326404926866821</v>
      </c>
      <c r="Q766" s="37" t="str">
        <f aca="false">IF(K766=0,"No discount",IF(K766&lt;=0.1,"1-10%",IF(K766&lt;=0.2,"11-20%",IF(K766&lt;=0.3,"21-30%","Above 30%"))))</f>
        <v>11-20%</v>
      </c>
      <c r="R766" s="39" t="n">
        <f aca="false">I766*J766*MAX(0,K766-DiscountCap)</f>
        <v>0</v>
      </c>
    </row>
    <row r="767" customFormat="false" ht="15" hidden="false" customHeight="false" outlineLevel="0" collapsed="false">
      <c r="A767" s="37" t="s">
        <v>911</v>
      </c>
      <c r="B767" s="38" t="n">
        <v>45947</v>
      </c>
      <c r="C767" s="37" t="n">
        <f aca="false">MONTH(B767)</f>
        <v>10</v>
      </c>
      <c r="D767" s="37" t="s">
        <v>138</v>
      </c>
      <c r="E767" s="37" t="s">
        <v>46</v>
      </c>
      <c r="F767" s="37" t="s">
        <v>96</v>
      </c>
      <c r="G767" s="37" t="s">
        <v>90</v>
      </c>
      <c r="H767" s="37" t="s">
        <v>108</v>
      </c>
      <c r="I767" s="37" t="n">
        <v>1</v>
      </c>
      <c r="J767" s="39" t="n">
        <v>1999</v>
      </c>
      <c r="K767" s="40" t="n">
        <v>0.4</v>
      </c>
      <c r="L767" s="39" t="n">
        <f aca="false">VLOOKUP(H767,'Product List'!$A$3:$D$18,4,FALSE())</f>
        <v>1560</v>
      </c>
      <c r="M767" s="39" t="n">
        <f aca="false">I767*J767*(1-K767)</f>
        <v>1199.4</v>
      </c>
      <c r="N767" s="39" t="n">
        <f aca="false">I767*L767</f>
        <v>1560</v>
      </c>
      <c r="O767" s="39" t="n">
        <f aca="false">M767-N767</f>
        <v>-360.6</v>
      </c>
      <c r="P767" s="41" t="n">
        <f aca="false">IF(M767=0,0,O767/M767)</f>
        <v>-0.300650325162581</v>
      </c>
      <c r="Q767" s="37" t="str">
        <f aca="false">IF(K767=0,"No discount",IF(K767&lt;=0.1,"1-10%",IF(K767&lt;=0.2,"11-20%",IF(K767&lt;=0.3,"21-30%","Above 30%"))))</f>
        <v>Above 30%</v>
      </c>
      <c r="R767" s="39" t="n">
        <f aca="false">I767*J767*MAX(0,K767-DiscountCap)</f>
        <v>399.8</v>
      </c>
    </row>
    <row r="768" customFormat="false" ht="15" hidden="false" customHeight="false" outlineLevel="0" collapsed="false">
      <c r="A768" s="37" t="s">
        <v>912</v>
      </c>
      <c r="B768" s="38" t="n">
        <v>45951</v>
      </c>
      <c r="C768" s="37" t="n">
        <f aca="false">MONTH(B768)</f>
        <v>10</v>
      </c>
      <c r="D768" s="37" t="s">
        <v>144</v>
      </c>
      <c r="E768" s="37" t="s">
        <v>45</v>
      </c>
      <c r="F768" s="37" t="s">
        <v>96</v>
      </c>
      <c r="G768" s="37" t="s">
        <v>93</v>
      </c>
      <c r="H768" s="37" t="s">
        <v>121</v>
      </c>
      <c r="I768" s="37" t="n">
        <v>3</v>
      </c>
      <c r="J768" s="39" t="n">
        <v>999</v>
      </c>
      <c r="K768" s="40" t="n">
        <v>0.2</v>
      </c>
      <c r="L768" s="39" t="n">
        <f aca="false">VLOOKUP(H768,'Product List'!$A$3:$D$18,4,FALSE())</f>
        <v>500</v>
      </c>
      <c r="M768" s="39" t="n">
        <f aca="false">I768*J768*(1-K768)</f>
        <v>2397.6</v>
      </c>
      <c r="N768" s="39" t="n">
        <f aca="false">I768*L768</f>
        <v>1500</v>
      </c>
      <c r="O768" s="39" t="n">
        <f aca="false">M768-N768</f>
        <v>897.6</v>
      </c>
      <c r="P768" s="41" t="n">
        <f aca="false">IF(M768=0,0,O768/M768)</f>
        <v>0.374374374374374</v>
      </c>
      <c r="Q768" s="37" t="str">
        <f aca="false">IF(K768=0,"No discount",IF(K768&lt;=0.1,"1-10%",IF(K768&lt;=0.2,"11-20%",IF(K768&lt;=0.3,"21-30%","Above 30%"))))</f>
        <v>11-20%</v>
      </c>
      <c r="R768" s="39" t="n">
        <f aca="false">I768*J768*MAX(0,K768-DiscountCap)</f>
        <v>0</v>
      </c>
    </row>
    <row r="769" customFormat="false" ht="15" hidden="false" customHeight="false" outlineLevel="0" collapsed="false">
      <c r="A769" s="37" t="s">
        <v>913</v>
      </c>
      <c r="B769" s="38" t="n">
        <v>45954</v>
      </c>
      <c r="C769" s="37" t="n">
        <f aca="false">MONTH(B769)</f>
        <v>10</v>
      </c>
      <c r="D769" s="37" t="s">
        <v>169</v>
      </c>
      <c r="E769" s="37" t="s">
        <v>44</v>
      </c>
      <c r="F769" s="37" t="s">
        <v>96</v>
      </c>
      <c r="G769" s="37" t="s">
        <v>92</v>
      </c>
      <c r="H769" s="37" t="s">
        <v>115</v>
      </c>
      <c r="I769" s="37" t="n">
        <v>2</v>
      </c>
      <c r="J769" s="39" t="n">
        <v>1799</v>
      </c>
      <c r="K769" s="40" t="n">
        <v>0.3</v>
      </c>
      <c r="L769" s="39" t="n">
        <f aca="false">VLOOKUP(H769,'Product List'!$A$3:$D$18,4,FALSE())</f>
        <v>1150</v>
      </c>
      <c r="M769" s="39" t="n">
        <f aca="false">I769*J769*(1-K769)</f>
        <v>2518.6</v>
      </c>
      <c r="N769" s="39" t="n">
        <f aca="false">I769*L769</f>
        <v>2300</v>
      </c>
      <c r="O769" s="39" t="n">
        <f aca="false">M769-N769</f>
        <v>218.6</v>
      </c>
      <c r="P769" s="41" t="n">
        <f aca="false">IF(M769=0,0,O769/M769)</f>
        <v>0.0867942507742396</v>
      </c>
      <c r="Q769" s="37" t="str">
        <f aca="false">IF(K769=0,"No discount",IF(K769&lt;=0.1,"1-10%",IF(K769&lt;=0.2,"11-20%",IF(K769&lt;=0.3,"21-30%","Above 30%"))))</f>
        <v>21-30%</v>
      </c>
      <c r="R769" s="39" t="n">
        <f aca="false">I769*J769*MAX(0,K769-DiscountCap)</f>
        <v>359.8</v>
      </c>
    </row>
    <row r="770" customFormat="false" ht="15" hidden="false" customHeight="false" outlineLevel="0" collapsed="false">
      <c r="A770" s="37" t="s">
        <v>914</v>
      </c>
      <c r="B770" s="38" t="n">
        <v>45945</v>
      </c>
      <c r="C770" s="37" t="n">
        <f aca="false">MONTH(B770)</f>
        <v>10</v>
      </c>
      <c r="D770" s="37" t="s">
        <v>142</v>
      </c>
      <c r="E770" s="37" t="s">
        <v>47</v>
      </c>
      <c r="F770" s="37" t="s">
        <v>97</v>
      </c>
      <c r="G770" s="37" t="s">
        <v>90</v>
      </c>
      <c r="H770" s="37" t="s">
        <v>108</v>
      </c>
      <c r="I770" s="37" t="n">
        <v>1</v>
      </c>
      <c r="J770" s="39" t="n">
        <v>1999</v>
      </c>
      <c r="K770" s="40" t="n">
        <v>0.05</v>
      </c>
      <c r="L770" s="39" t="n">
        <f aca="false">VLOOKUP(H770,'Product List'!$A$3:$D$18,4,FALSE())</f>
        <v>1560</v>
      </c>
      <c r="M770" s="39" t="n">
        <f aca="false">I770*J770*(1-K770)</f>
        <v>1899.05</v>
      </c>
      <c r="N770" s="39" t="n">
        <f aca="false">I770*L770</f>
        <v>1560</v>
      </c>
      <c r="O770" s="39" t="n">
        <f aca="false">M770-N770</f>
        <v>339.05</v>
      </c>
      <c r="P770" s="41" t="n">
        <f aca="false">IF(M770=0,0,O770/M770)</f>
        <v>0.178536636739422</v>
      </c>
      <c r="Q770" s="37" t="str">
        <f aca="false">IF(K770=0,"No discount",IF(K770&lt;=0.1,"1-10%",IF(K770&lt;=0.2,"11-20%",IF(K770&lt;=0.3,"21-30%","Above 30%"))))</f>
        <v>1-10%</v>
      </c>
      <c r="R770" s="39" t="n">
        <f aca="false">I770*J770*MAX(0,K770-DiscountCap)</f>
        <v>0</v>
      </c>
    </row>
    <row r="771" customFormat="false" ht="15" hidden="false" customHeight="false" outlineLevel="0" collapsed="false">
      <c r="A771" s="37" t="s">
        <v>915</v>
      </c>
      <c r="B771" s="38" t="n">
        <v>45939</v>
      </c>
      <c r="C771" s="37" t="n">
        <f aca="false">MONTH(B771)</f>
        <v>10</v>
      </c>
      <c r="D771" s="37" t="s">
        <v>146</v>
      </c>
      <c r="E771" s="37" t="s">
        <v>45</v>
      </c>
      <c r="F771" s="37" t="s">
        <v>97</v>
      </c>
      <c r="G771" s="37" t="s">
        <v>90</v>
      </c>
      <c r="H771" s="37" t="s">
        <v>108</v>
      </c>
      <c r="I771" s="37" t="n">
        <v>1</v>
      </c>
      <c r="J771" s="39" t="n">
        <v>1999</v>
      </c>
      <c r="K771" s="40" t="n">
        <v>0.05</v>
      </c>
      <c r="L771" s="39" t="n">
        <f aca="false">VLOOKUP(H771,'Product List'!$A$3:$D$18,4,FALSE())</f>
        <v>1560</v>
      </c>
      <c r="M771" s="39" t="n">
        <f aca="false">I771*J771*(1-K771)</f>
        <v>1899.05</v>
      </c>
      <c r="N771" s="39" t="n">
        <f aca="false">I771*L771</f>
        <v>1560</v>
      </c>
      <c r="O771" s="39" t="n">
        <f aca="false">M771-N771</f>
        <v>339.05</v>
      </c>
      <c r="P771" s="41" t="n">
        <f aca="false">IF(M771=0,0,O771/M771)</f>
        <v>0.178536636739422</v>
      </c>
      <c r="Q771" s="37" t="str">
        <f aca="false">IF(K771=0,"No discount",IF(K771&lt;=0.1,"1-10%",IF(K771&lt;=0.2,"11-20%",IF(K771&lt;=0.3,"21-30%","Above 30%"))))</f>
        <v>1-10%</v>
      </c>
      <c r="R771" s="39" t="n">
        <f aca="false">I771*J771*MAX(0,K771-DiscountCap)</f>
        <v>0</v>
      </c>
    </row>
    <row r="772" customFormat="false" ht="15" hidden="false" customHeight="false" outlineLevel="0" collapsed="false">
      <c r="A772" s="37" t="s">
        <v>916</v>
      </c>
      <c r="B772" s="38" t="n">
        <v>45954</v>
      </c>
      <c r="C772" s="37" t="n">
        <f aca="false">MONTH(B772)</f>
        <v>10</v>
      </c>
      <c r="D772" s="37" t="s">
        <v>142</v>
      </c>
      <c r="E772" s="37" t="s">
        <v>47</v>
      </c>
      <c r="F772" s="37" t="s">
        <v>96</v>
      </c>
      <c r="G772" s="37" t="s">
        <v>90</v>
      </c>
      <c r="H772" s="37" t="s">
        <v>110</v>
      </c>
      <c r="I772" s="37" t="n">
        <v>1</v>
      </c>
      <c r="J772" s="39" t="n">
        <v>1299</v>
      </c>
      <c r="K772" s="40" t="n">
        <v>0.4</v>
      </c>
      <c r="L772" s="39" t="n">
        <f aca="false">VLOOKUP(H772,'Product List'!$A$3:$D$18,4,FALSE())</f>
        <v>1000</v>
      </c>
      <c r="M772" s="39" t="n">
        <f aca="false">I772*J772*(1-K772)</f>
        <v>779.4</v>
      </c>
      <c r="N772" s="39" t="n">
        <f aca="false">I772*L772</f>
        <v>1000</v>
      </c>
      <c r="O772" s="39" t="n">
        <f aca="false">M772-N772</f>
        <v>-220.6</v>
      </c>
      <c r="P772" s="41" t="n">
        <f aca="false">IF(M772=0,0,O772/M772)</f>
        <v>-0.283038234539389</v>
      </c>
      <c r="Q772" s="37" t="str">
        <f aca="false">IF(K772=0,"No discount",IF(K772&lt;=0.1,"1-10%",IF(K772&lt;=0.2,"11-20%",IF(K772&lt;=0.3,"21-30%","Above 30%"))))</f>
        <v>Above 30%</v>
      </c>
      <c r="R772" s="39" t="n">
        <f aca="false">I772*J772*MAX(0,K772-DiscountCap)</f>
        <v>259.8</v>
      </c>
    </row>
    <row r="773" customFormat="false" ht="15" hidden="false" customHeight="false" outlineLevel="0" collapsed="false">
      <c r="A773" s="37" t="s">
        <v>917</v>
      </c>
      <c r="B773" s="38" t="n">
        <v>45954</v>
      </c>
      <c r="C773" s="37" t="n">
        <f aca="false">MONTH(B773)</f>
        <v>10</v>
      </c>
      <c r="D773" s="37" t="s">
        <v>146</v>
      </c>
      <c r="E773" s="37" t="s">
        <v>45</v>
      </c>
      <c r="F773" s="37" t="s">
        <v>97</v>
      </c>
      <c r="G773" s="37" t="s">
        <v>90</v>
      </c>
      <c r="H773" s="37" t="s">
        <v>111</v>
      </c>
      <c r="I773" s="37" t="n">
        <v>2</v>
      </c>
      <c r="J773" s="39" t="n">
        <v>2499</v>
      </c>
      <c r="K773" s="40" t="n">
        <v>0.1</v>
      </c>
      <c r="L773" s="39" t="n">
        <f aca="false">VLOOKUP(H773,'Product List'!$A$3:$D$18,4,FALSE())</f>
        <v>1950</v>
      </c>
      <c r="M773" s="39" t="n">
        <f aca="false">I773*J773*(1-K773)</f>
        <v>4498.2</v>
      </c>
      <c r="N773" s="39" t="n">
        <f aca="false">I773*L773</f>
        <v>3900</v>
      </c>
      <c r="O773" s="39" t="n">
        <f aca="false">M773-N773</f>
        <v>598.2</v>
      </c>
      <c r="P773" s="41" t="n">
        <f aca="false">IF(M773=0,0,O773/M773)</f>
        <v>0.132986527944511</v>
      </c>
      <c r="Q773" s="37" t="str">
        <f aca="false">IF(K773=0,"No discount",IF(K773&lt;=0.1,"1-10%",IF(K773&lt;=0.2,"11-20%",IF(K773&lt;=0.3,"21-30%","Above 30%"))))</f>
        <v>1-10%</v>
      </c>
      <c r="R773" s="39" t="n">
        <f aca="false">I773*J773*MAX(0,K773-DiscountCap)</f>
        <v>0</v>
      </c>
    </row>
    <row r="774" customFormat="false" ht="15" hidden="false" customHeight="false" outlineLevel="0" collapsed="false">
      <c r="A774" s="37" t="s">
        <v>918</v>
      </c>
      <c r="B774" s="38" t="n">
        <v>45940</v>
      </c>
      <c r="C774" s="37" t="n">
        <f aca="false">MONTH(B774)</f>
        <v>10</v>
      </c>
      <c r="D774" s="37" t="s">
        <v>138</v>
      </c>
      <c r="E774" s="37" t="s">
        <v>46</v>
      </c>
      <c r="F774" s="37" t="s">
        <v>96</v>
      </c>
      <c r="G774" s="37" t="s">
        <v>90</v>
      </c>
      <c r="H774" s="37" t="s">
        <v>109</v>
      </c>
      <c r="I774" s="37" t="n">
        <v>1</v>
      </c>
      <c r="J774" s="39" t="n">
        <v>3499</v>
      </c>
      <c r="K774" s="40" t="n">
        <v>0.25</v>
      </c>
      <c r="L774" s="39" t="n">
        <f aca="false">VLOOKUP(H774,'Product List'!$A$3:$D$18,4,FALSE())</f>
        <v>2750</v>
      </c>
      <c r="M774" s="39" t="n">
        <f aca="false">I774*J774*(1-K774)</f>
        <v>2624.25</v>
      </c>
      <c r="N774" s="39" t="n">
        <f aca="false">I774*L774</f>
        <v>2750</v>
      </c>
      <c r="O774" s="39" t="n">
        <f aca="false">M774-N774</f>
        <v>-125.75</v>
      </c>
      <c r="P774" s="41" t="n">
        <f aca="false">IF(M774=0,0,O774/M774)</f>
        <v>-0.0479184528913023</v>
      </c>
      <c r="Q774" s="37" t="str">
        <f aca="false">IF(K774=0,"No discount",IF(K774&lt;=0.1,"1-10%",IF(K774&lt;=0.2,"11-20%",IF(K774&lt;=0.3,"21-30%","Above 30%"))))</f>
        <v>21-30%</v>
      </c>
      <c r="R774" s="39" t="n">
        <f aca="false">I774*J774*MAX(0,K774-DiscountCap)</f>
        <v>174.95</v>
      </c>
    </row>
    <row r="775" customFormat="false" ht="15" hidden="false" customHeight="false" outlineLevel="0" collapsed="false">
      <c r="A775" s="37" t="s">
        <v>919</v>
      </c>
      <c r="B775" s="38" t="n">
        <v>45957</v>
      </c>
      <c r="C775" s="37" t="n">
        <f aca="false">MONTH(B775)</f>
        <v>10</v>
      </c>
      <c r="D775" s="37" t="s">
        <v>144</v>
      </c>
      <c r="E775" s="37" t="s">
        <v>45</v>
      </c>
      <c r="F775" s="37" t="s">
        <v>97</v>
      </c>
      <c r="G775" s="37" t="s">
        <v>90</v>
      </c>
      <c r="H775" s="37" t="s">
        <v>111</v>
      </c>
      <c r="I775" s="37" t="n">
        <v>1</v>
      </c>
      <c r="J775" s="39" t="n">
        <v>2499</v>
      </c>
      <c r="K775" s="40" t="n">
        <v>0.25</v>
      </c>
      <c r="L775" s="39" t="n">
        <f aca="false">VLOOKUP(H775,'Product List'!$A$3:$D$18,4,FALSE())</f>
        <v>1950</v>
      </c>
      <c r="M775" s="39" t="n">
        <f aca="false">I775*J775*(1-K775)</f>
        <v>1874.25</v>
      </c>
      <c r="N775" s="39" t="n">
        <f aca="false">I775*L775</f>
        <v>1950</v>
      </c>
      <c r="O775" s="39" t="n">
        <f aca="false">M775-N775</f>
        <v>-75.75</v>
      </c>
      <c r="P775" s="41" t="n">
        <f aca="false">IF(M775=0,0,O775/M775)</f>
        <v>-0.0404161664665866</v>
      </c>
      <c r="Q775" s="37" t="str">
        <f aca="false">IF(K775=0,"No discount",IF(K775&lt;=0.1,"1-10%",IF(K775&lt;=0.2,"11-20%",IF(K775&lt;=0.3,"21-30%","Above 30%"))))</f>
        <v>21-30%</v>
      </c>
      <c r="R775" s="39" t="n">
        <f aca="false">I775*J775*MAX(0,K775-DiscountCap)</f>
        <v>124.95</v>
      </c>
    </row>
    <row r="776" customFormat="false" ht="15" hidden="false" customHeight="false" outlineLevel="0" collapsed="false">
      <c r="A776" s="37" t="s">
        <v>920</v>
      </c>
      <c r="B776" s="38" t="n">
        <v>45950</v>
      </c>
      <c r="C776" s="37" t="n">
        <f aca="false">MONTH(B776)</f>
        <v>10</v>
      </c>
      <c r="D776" s="37" t="s">
        <v>134</v>
      </c>
      <c r="E776" s="37" t="s">
        <v>45</v>
      </c>
      <c r="F776" s="37" t="s">
        <v>97</v>
      </c>
      <c r="G776" s="37" t="s">
        <v>90</v>
      </c>
      <c r="H776" s="37" t="s">
        <v>110</v>
      </c>
      <c r="I776" s="37" t="n">
        <v>1</v>
      </c>
      <c r="J776" s="39" t="n">
        <v>1299</v>
      </c>
      <c r="K776" s="40" t="n">
        <v>0</v>
      </c>
      <c r="L776" s="39" t="n">
        <f aca="false">VLOOKUP(H776,'Product List'!$A$3:$D$18,4,FALSE())</f>
        <v>1000</v>
      </c>
      <c r="M776" s="39" t="n">
        <f aca="false">I776*J776*(1-K776)</f>
        <v>1299</v>
      </c>
      <c r="N776" s="39" t="n">
        <f aca="false">I776*L776</f>
        <v>1000</v>
      </c>
      <c r="O776" s="39" t="n">
        <f aca="false">M776-N776</f>
        <v>299</v>
      </c>
      <c r="P776" s="41" t="n">
        <f aca="false">IF(M776=0,0,O776/M776)</f>
        <v>0.230177059276366</v>
      </c>
      <c r="Q776" s="37" t="str">
        <f aca="false">IF(K776=0,"No discount",IF(K776&lt;=0.1,"1-10%",IF(K776&lt;=0.2,"11-20%",IF(K776&lt;=0.3,"21-30%","Above 30%"))))</f>
        <v>No discount</v>
      </c>
      <c r="R776" s="39" t="n">
        <f aca="false">I776*J776*MAX(0,K776-DiscountCap)</f>
        <v>0</v>
      </c>
    </row>
    <row r="777" customFormat="false" ht="15" hidden="false" customHeight="false" outlineLevel="0" collapsed="false">
      <c r="A777" s="37" t="s">
        <v>921</v>
      </c>
      <c r="B777" s="38" t="n">
        <v>45941</v>
      </c>
      <c r="C777" s="37" t="n">
        <f aca="false">MONTH(B777)</f>
        <v>10</v>
      </c>
      <c r="D777" s="37" t="s">
        <v>144</v>
      </c>
      <c r="E777" s="37" t="s">
        <v>45</v>
      </c>
      <c r="F777" s="37" t="s">
        <v>96</v>
      </c>
      <c r="G777" s="37" t="s">
        <v>93</v>
      </c>
      <c r="H777" s="37" t="s">
        <v>122</v>
      </c>
      <c r="I777" s="37" t="n">
        <v>1</v>
      </c>
      <c r="J777" s="39" t="n">
        <v>1799</v>
      </c>
      <c r="K777" s="40" t="n">
        <v>0.2</v>
      </c>
      <c r="L777" s="39" t="n">
        <f aca="false">VLOOKUP(H777,'Product List'!$A$3:$D$18,4,FALSE())</f>
        <v>1250</v>
      </c>
      <c r="M777" s="39" t="n">
        <f aca="false">I777*J777*(1-K777)</f>
        <v>1439.2</v>
      </c>
      <c r="N777" s="39" t="n">
        <f aca="false">I777*L777</f>
        <v>1250</v>
      </c>
      <c r="O777" s="39" t="n">
        <f aca="false">M777-N777</f>
        <v>189.2</v>
      </c>
      <c r="P777" s="41" t="n">
        <f aca="false">IF(M777=0,0,O777/M777)</f>
        <v>0.131461923290717</v>
      </c>
      <c r="Q777" s="37" t="str">
        <f aca="false">IF(K777=0,"No discount",IF(K777&lt;=0.1,"1-10%",IF(K777&lt;=0.2,"11-20%",IF(K777&lt;=0.3,"21-30%","Above 30%"))))</f>
        <v>11-20%</v>
      </c>
      <c r="R777" s="39" t="n">
        <f aca="false">I777*J777*MAX(0,K777-DiscountCap)</f>
        <v>0</v>
      </c>
    </row>
    <row r="778" customFormat="false" ht="15" hidden="false" customHeight="false" outlineLevel="0" collapsed="false">
      <c r="A778" s="37" t="s">
        <v>922</v>
      </c>
      <c r="B778" s="38" t="n">
        <v>45946</v>
      </c>
      <c r="C778" s="37" t="n">
        <f aca="false">MONTH(B778)</f>
        <v>10</v>
      </c>
      <c r="D778" s="37" t="s">
        <v>138</v>
      </c>
      <c r="E778" s="37" t="s">
        <v>46</v>
      </c>
      <c r="F778" s="37" t="s">
        <v>97</v>
      </c>
      <c r="G778" s="37" t="s">
        <v>91</v>
      </c>
      <c r="H778" s="37" t="s">
        <v>119</v>
      </c>
      <c r="I778" s="37" t="n">
        <v>1</v>
      </c>
      <c r="J778" s="39" t="n">
        <v>1099</v>
      </c>
      <c r="K778" s="40" t="n">
        <v>0.25</v>
      </c>
      <c r="L778" s="39" t="n">
        <f aca="false">VLOOKUP(H778,'Product List'!$A$3:$D$18,4,FALSE())</f>
        <v>560</v>
      </c>
      <c r="M778" s="39" t="n">
        <f aca="false">I778*J778*(1-K778)</f>
        <v>824.25</v>
      </c>
      <c r="N778" s="39" t="n">
        <f aca="false">I778*L778</f>
        <v>560</v>
      </c>
      <c r="O778" s="39" t="n">
        <f aca="false">M778-N778</f>
        <v>264.25</v>
      </c>
      <c r="P778" s="41" t="n">
        <f aca="false">IF(M778=0,0,O778/M778)</f>
        <v>0.320594479830149</v>
      </c>
      <c r="Q778" s="37" t="str">
        <f aca="false">IF(K778=0,"No discount",IF(K778&lt;=0.1,"1-10%",IF(K778&lt;=0.2,"11-20%",IF(K778&lt;=0.3,"21-30%","Above 30%"))))</f>
        <v>21-30%</v>
      </c>
      <c r="R778" s="39" t="n">
        <f aca="false">I778*J778*MAX(0,K778-DiscountCap)</f>
        <v>54.95</v>
      </c>
    </row>
    <row r="779" customFormat="false" ht="15" hidden="false" customHeight="false" outlineLevel="0" collapsed="false">
      <c r="A779" s="37" t="s">
        <v>923</v>
      </c>
      <c r="B779" s="38" t="n">
        <v>45939</v>
      </c>
      <c r="C779" s="37" t="n">
        <f aca="false">MONTH(B779)</f>
        <v>10</v>
      </c>
      <c r="D779" s="37" t="s">
        <v>134</v>
      </c>
      <c r="E779" s="37" t="s">
        <v>45</v>
      </c>
      <c r="F779" s="37" t="s">
        <v>96</v>
      </c>
      <c r="G779" s="37" t="s">
        <v>93</v>
      </c>
      <c r="H779" s="37" t="s">
        <v>121</v>
      </c>
      <c r="I779" s="37" t="n">
        <v>3</v>
      </c>
      <c r="J779" s="39" t="n">
        <v>999</v>
      </c>
      <c r="K779" s="40" t="n">
        <v>0.3</v>
      </c>
      <c r="L779" s="39" t="n">
        <f aca="false">VLOOKUP(H779,'Product List'!$A$3:$D$18,4,FALSE())</f>
        <v>500</v>
      </c>
      <c r="M779" s="39" t="n">
        <f aca="false">I779*J779*(1-K779)</f>
        <v>2097.9</v>
      </c>
      <c r="N779" s="39" t="n">
        <f aca="false">I779*L779</f>
        <v>1500</v>
      </c>
      <c r="O779" s="39" t="n">
        <f aca="false">M779-N779</f>
        <v>597.9</v>
      </c>
      <c r="P779" s="41" t="n">
        <f aca="false">IF(M779=0,0,O779/M779)</f>
        <v>0.284999284999285</v>
      </c>
      <c r="Q779" s="37" t="str">
        <f aca="false">IF(K779=0,"No discount",IF(K779&lt;=0.1,"1-10%",IF(K779&lt;=0.2,"11-20%",IF(K779&lt;=0.3,"21-30%","Above 30%"))))</f>
        <v>21-30%</v>
      </c>
      <c r="R779" s="39" t="n">
        <f aca="false">I779*J779*MAX(0,K779-DiscountCap)</f>
        <v>299.7</v>
      </c>
    </row>
    <row r="780" customFormat="false" ht="15" hidden="false" customHeight="false" outlineLevel="0" collapsed="false">
      <c r="A780" s="37" t="s">
        <v>924</v>
      </c>
      <c r="B780" s="38" t="n">
        <v>45947</v>
      </c>
      <c r="C780" s="37" t="n">
        <f aca="false">MONTH(B780)</f>
        <v>10</v>
      </c>
      <c r="D780" s="37" t="s">
        <v>144</v>
      </c>
      <c r="E780" s="37" t="s">
        <v>45</v>
      </c>
      <c r="F780" s="37" t="s">
        <v>96</v>
      </c>
      <c r="G780" s="37" t="s">
        <v>91</v>
      </c>
      <c r="H780" s="37" t="s">
        <v>116</v>
      </c>
      <c r="I780" s="37" t="n">
        <v>1</v>
      </c>
      <c r="J780" s="39" t="n">
        <v>899</v>
      </c>
      <c r="K780" s="40" t="n">
        <v>0.15</v>
      </c>
      <c r="L780" s="39" t="n">
        <f aca="false">VLOOKUP(H780,'Product List'!$A$3:$D$18,4,FALSE())</f>
        <v>430</v>
      </c>
      <c r="M780" s="39" t="n">
        <f aca="false">I780*J780*(1-K780)</f>
        <v>764.15</v>
      </c>
      <c r="N780" s="39" t="n">
        <f aca="false">I780*L780</f>
        <v>430</v>
      </c>
      <c r="O780" s="39" t="n">
        <f aca="false">M780-N780</f>
        <v>334.15</v>
      </c>
      <c r="P780" s="41" t="n">
        <f aca="false">IF(M780=0,0,O780/M780)</f>
        <v>0.437283255905254</v>
      </c>
      <c r="Q780" s="37" t="str">
        <f aca="false">IF(K780=0,"No discount",IF(K780&lt;=0.1,"1-10%",IF(K780&lt;=0.2,"11-20%",IF(K780&lt;=0.3,"21-30%","Above 30%"))))</f>
        <v>11-20%</v>
      </c>
      <c r="R780" s="39" t="n">
        <f aca="false">I780*J780*MAX(0,K780-DiscountCap)</f>
        <v>0</v>
      </c>
    </row>
    <row r="781" customFormat="false" ht="15" hidden="false" customHeight="false" outlineLevel="0" collapsed="false">
      <c r="A781" s="37" t="s">
        <v>925</v>
      </c>
      <c r="B781" s="38" t="n">
        <v>45941</v>
      </c>
      <c r="C781" s="37" t="n">
        <f aca="false">MONTH(B781)</f>
        <v>10</v>
      </c>
      <c r="D781" s="37" t="s">
        <v>134</v>
      </c>
      <c r="E781" s="37" t="s">
        <v>45</v>
      </c>
      <c r="F781" s="37" t="s">
        <v>96</v>
      </c>
      <c r="G781" s="37" t="s">
        <v>90</v>
      </c>
      <c r="H781" s="37" t="s">
        <v>109</v>
      </c>
      <c r="I781" s="37" t="n">
        <v>1</v>
      </c>
      <c r="J781" s="39" t="n">
        <v>3499</v>
      </c>
      <c r="K781" s="40" t="n">
        <v>0.3</v>
      </c>
      <c r="L781" s="39" t="n">
        <f aca="false">VLOOKUP(H781,'Product List'!$A$3:$D$18,4,FALSE())</f>
        <v>2750</v>
      </c>
      <c r="M781" s="39" t="n">
        <f aca="false">I781*J781*(1-K781)</f>
        <v>2449.3</v>
      </c>
      <c r="N781" s="39" t="n">
        <f aca="false">I781*L781</f>
        <v>2750</v>
      </c>
      <c r="O781" s="39" t="n">
        <f aca="false">M781-N781</f>
        <v>-300.7</v>
      </c>
      <c r="P781" s="41" t="n">
        <f aca="false">IF(M781=0,0,O781/M781)</f>
        <v>-0.122769770954967</v>
      </c>
      <c r="Q781" s="37" t="str">
        <f aca="false">IF(K781=0,"No discount",IF(K781&lt;=0.1,"1-10%",IF(K781&lt;=0.2,"11-20%",IF(K781&lt;=0.3,"21-30%","Above 30%"))))</f>
        <v>21-30%</v>
      </c>
      <c r="R781" s="39" t="n">
        <f aca="false">I781*J781*MAX(0,K781-DiscountCap)</f>
        <v>349.9</v>
      </c>
    </row>
    <row r="782" customFormat="false" ht="15" hidden="false" customHeight="false" outlineLevel="0" collapsed="false">
      <c r="A782" s="37" t="s">
        <v>926</v>
      </c>
      <c r="B782" s="38" t="n">
        <v>45956</v>
      </c>
      <c r="C782" s="37" t="n">
        <f aca="false">MONTH(B782)</f>
        <v>10</v>
      </c>
      <c r="D782" s="37" t="s">
        <v>169</v>
      </c>
      <c r="E782" s="37" t="s">
        <v>44</v>
      </c>
      <c r="F782" s="37" t="s">
        <v>97</v>
      </c>
      <c r="G782" s="37" t="s">
        <v>93</v>
      </c>
      <c r="H782" s="37" t="s">
        <v>120</v>
      </c>
      <c r="I782" s="37" t="n">
        <v>2</v>
      </c>
      <c r="J782" s="39" t="n">
        <v>449</v>
      </c>
      <c r="K782" s="40" t="n">
        <v>0.1</v>
      </c>
      <c r="L782" s="39" t="n">
        <f aca="false">VLOOKUP(H782,'Product List'!$A$3:$D$18,4,FALSE())</f>
        <v>240</v>
      </c>
      <c r="M782" s="39" t="n">
        <f aca="false">I782*J782*(1-K782)</f>
        <v>808.2</v>
      </c>
      <c r="N782" s="39" t="n">
        <f aca="false">I782*L782</f>
        <v>480</v>
      </c>
      <c r="O782" s="39" t="n">
        <f aca="false">M782-N782</f>
        <v>328.2</v>
      </c>
      <c r="P782" s="41" t="n">
        <f aca="false">IF(M782=0,0,O782/M782)</f>
        <v>0.406087602078693</v>
      </c>
      <c r="Q782" s="37" t="str">
        <f aca="false">IF(K782=0,"No discount",IF(K782&lt;=0.1,"1-10%",IF(K782&lt;=0.2,"11-20%",IF(K782&lt;=0.3,"21-30%","Above 30%"))))</f>
        <v>1-10%</v>
      </c>
      <c r="R782" s="39" t="n">
        <f aca="false">I782*J782*MAX(0,K782-DiscountCap)</f>
        <v>0</v>
      </c>
    </row>
    <row r="783" customFormat="false" ht="15" hidden="false" customHeight="false" outlineLevel="0" collapsed="false">
      <c r="A783" s="37" t="s">
        <v>927</v>
      </c>
      <c r="B783" s="38" t="n">
        <v>45952</v>
      </c>
      <c r="C783" s="37" t="n">
        <f aca="false">MONTH(B783)</f>
        <v>10</v>
      </c>
      <c r="D783" s="37" t="s">
        <v>134</v>
      </c>
      <c r="E783" s="37" t="s">
        <v>45</v>
      </c>
      <c r="F783" s="37" t="s">
        <v>97</v>
      </c>
      <c r="G783" s="37" t="s">
        <v>90</v>
      </c>
      <c r="H783" s="37" t="s">
        <v>109</v>
      </c>
      <c r="I783" s="37" t="n">
        <v>1</v>
      </c>
      <c r="J783" s="39" t="n">
        <v>3499</v>
      </c>
      <c r="K783" s="40" t="n">
        <v>0.2</v>
      </c>
      <c r="L783" s="39" t="n">
        <f aca="false">VLOOKUP(H783,'Product List'!$A$3:$D$18,4,FALSE())</f>
        <v>2750</v>
      </c>
      <c r="M783" s="39" t="n">
        <f aca="false">I783*J783*(1-K783)</f>
        <v>2799.2</v>
      </c>
      <c r="N783" s="39" t="n">
        <f aca="false">I783*L783</f>
        <v>2750</v>
      </c>
      <c r="O783" s="39" t="n">
        <f aca="false">M783-N783</f>
        <v>49.2000000000003</v>
      </c>
      <c r="P783" s="41" t="n">
        <f aca="false">IF(M783=0,0,O783/M783)</f>
        <v>0.0175764504144042</v>
      </c>
      <c r="Q783" s="37" t="str">
        <f aca="false">IF(K783=0,"No discount",IF(K783&lt;=0.1,"1-10%",IF(K783&lt;=0.2,"11-20%",IF(K783&lt;=0.3,"21-30%","Above 30%"))))</f>
        <v>11-20%</v>
      </c>
      <c r="R783" s="39" t="n">
        <f aca="false">I783*J783*MAX(0,K783-DiscountCap)</f>
        <v>0</v>
      </c>
    </row>
    <row r="784" customFormat="false" ht="15" hidden="false" customHeight="false" outlineLevel="0" collapsed="false">
      <c r="A784" s="37" t="s">
        <v>928</v>
      </c>
      <c r="B784" s="38" t="n">
        <v>45960</v>
      </c>
      <c r="C784" s="37" t="n">
        <f aca="false">MONTH(B784)</f>
        <v>10</v>
      </c>
      <c r="D784" s="37" t="s">
        <v>136</v>
      </c>
      <c r="E784" s="37" t="s">
        <v>47</v>
      </c>
      <c r="F784" s="37" t="s">
        <v>97</v>
      </c>
      <c r="G784" s="37" t="s">
        <v>91</v>
      </c>
      <c r="H784" s="37" t="s">
        <v>116</v>
      </c>
      <c r="I784" s="37" t="n">
        <v>1</v>
      </c>
      <c r="J784" s="39" t="n">
        <v>899</v>
      </c>
      <c r="K784" s="40" t="n">
        <v>0.1</v>
      </c>
      <c r="L784" s="39" t="n">
        <f aca="false">VLOOKUP(H784,'Product List'!$A$3:$D$18,4,FALSE())</f>
        <v>430</v>
      </c>
      <c r="M784" s="39" t="n">
        <f aca="false">I784*J784*(1-K784)</f>
        <v>809.1</v>
      </c>
      <c r="N784" s="39" t="n">
        <f aca="false">I784*L784</f>
        <v>430</v>
      </c>
      <c r="O784" s="39" t="n">
        <f aca="false">M784-N784</f>
        <v>379.1</v>
      </c>
      <c r="P784" s="41" t="n">
        <f aca="false">IF(M784=0,0,O784/M784)</f>
        <v>0.468545297243851</v>
      </c>
      <c r="Q784" s="37" t="str">
        <f aca="false">IF(K784=0,"No discount",IF(K784&lt;=0.1,"1-10%",IF(K784&lt;=0.2,"11-20%",IF(K784&lt;=0.3,"21-30%","Above 30%"))))</f>
        <v>1-10%</v>
      </c>
      <c r="R784" s="39" t="n">
        <f aca="false">I784*J784*MAX(0,K784-DiscountCap)</f>
        <v>0</v>
      </c>
    </row>
    <row r="785" customFormat="false" ht="15" hidden="false" customHeight="false" outlineLevel="0" collapsed="false">
      <c r="A785" s="37" t="s">
        <v>929</v>
      </c>
      <c r="B785" s="38" t="n">
        <v>45945</v>
      </c>
      <c r="C785" s="37" t="n">
        <f aca="false">MONTH(B785)</f>
        <v>10</v>
      </c>
      <c r="D785" s="37" t="s">
        <v>166</v>
      </c>
      <c r="E785" s="37" t="s">
        <v>44</v>
      </c>
      <c r="F785" s="37" t="s">
        <v>96</v>
      </c>
      <c r="G785" s="37" t="s">
        <v>93</v>
      </c>
      <c r="H785" s="37" t="s">
        <v>123</v>
      </c>
      <c r="I785" s="37" t="n">
        <v>1</v>
      </c>
      <c r="J785" s="39" t="n">
        <v>1299</v>
      </c>
      <c r="K785" s="40" t="n">
        <v>0</v>
      </c>
      <c r="L785" s="39" t="n">
        <f aca="false">VLOOKUP(H785,'Product List'!$A$3:$D$18,4,FALSE())</f>
        <v>700</v>
      </c>
      <c r="M785" s="39" t="n">
        <f aca="false">I785*J785*(1-K785)</f>
        <v>1299</v>
      </c>
      <c r="N785" s="39" t="n">
        <f aca="false">I785*L785</f>
        <v>700</v>
      </c>
      <c r="O785" s="39" t="n">
        <f aca="false">M785-N785</f>
        <v>599</v>
      </c>
      <c r="P785" s="41" t="n">
        <f aca="false">IF(M785=0,0,O785/M785)</f>
        <v>0.461123941493457</v>
      </c>
      <c r="Q785" s="37" t="str">
        <f aca="false">IF(K785=0,"No discount",IF(K785&lt;=0.1,"1-10%",IF(K785&lt;=0.2,"11-20%",IF(K785&lt;=0.3,"21-30%","Above 30%"))))</f>
        <v>No discount</v>
      </c>
      <c r="R785" s="39" t="n">
        <f aca="false">I785*J785*MAX(0,K785-DiscountCap)</f>
        <v>0</v>
      </c>
    </row>
    <row r="786" customFormat="false" ht="15" hidden="false" customHeight="false" outlineLevel="0" collapsed="false">
      <c r="A786" s="37" t="s">
        <v>930</v>
      </c>
      <c r="B786" s="38" t="n">
        <v>45960</v>
      </c>
      <c r="C786" s="37" t="n">
        <f aca="false">MONTH(B786)</f>
        <v>10</v>
      </c>
      <c r="D786" s="37" t="s">
        <v>172</v>
      </c>
      <c r="E786" s="37" t="s">
        <v>46</v>
      </c>
      <c r="F786" s="37" t="s">
        <v>96</v>
      </c>
      <c r="G786" s="37" t="s">
        <v>90</v>
      </c>
      <c r="H786" s="37" t="s">
        <v>110</v>
      </c>
      <c r="I786" s="37" t="n">
        <v>2</v>
      </c>
      <c r="J786" s="39" t="n">
        <v>1299</v>
      </c>
      <c r="K786" s="40" t="n">
        <v>0.1</v>
      </c>
      <c r="L786" s="39" t="n">
        <f aca="false">VLOOKUP(H786,'Product List'!$A$3:$D$18,4,FALSE())</f>
        <v>1000</v>
      </c>
      <c r="M786" s="39" t="n">
        <f aca="false">I786*J786*(1-K786)</f>
        <v>2338.2</v>
      </c>
      <c r="N786" s="39" t="n">
        <f aca="false">I786*L786</f>
        <v>2000</v>
      </c>
      <c r="O786" s="39" t="n">
        <f aca="false">M786-N786</f>
        <v>338.2</v>
      </c>
      <c r="P786" s="41" t="n">
        <f aca="false">IF(M786=0,0,O786/M786)</f>
        <v>0.144641176973741</v>
      </c>
      <c r="Q786" s="37" t="str">
        <f aca="false">IF(K786=0,"No discount",IF(K786&lt;=0.1,"1-10%",IF(K786&lt;=0.2,"11-20%",IF(K786&lt;=0.3,"21-30%","Above 30%"))))</f>
        <v>1-10%</v>
      </c>
      <c r="R786" s="39" t="n">
        <f aca="false">I786*J786*MAX(0,K786-DiscountCap)</f>
        <v>0</v>
      </c>
    </row>
    <row r="787" customFormat="false" ht="15" hidden="false" customHeight="false" outlineLevel="0" collapsed="false">
      <c r="A787" s="37" t="s">
        <v>931</v>
      </c>
      <c r="B787" s="38" t="n">
        <v>45939</v>
      </c>
      <c r="C787" s="37" t="n">
        <f aca="false">MONTH(B787)</f>
        <v>10</v>
      </c>
      <c r="D787" s="37" t="s">
        <v>172</v>
      </c>
      <c r="E787" s="37" t="s">
        <v>46</v>
      </c>
      <c r="F787" s="37" t="s">
        <v>97</v>
      </c>
      <c r="G787" s="37" t="s">
        <v>93</v>
      </c>
      <c r="H787" s="37" t="s">
        <v>121</v>
      </c>
      <c r="I787" s="37" t="n">
        <v>1</v>
      </c>
      <c r="J787" s="39" t="n">
        <v>999</v>
      </c>
      <c r="K787" s="40" t="n">
        <v>0.2</v>
      </c>
      <c r="L787" s="39" t="n">
        <f aca="false">VLOOKUP(H787,'Product List'!$A$3:$D$18,4,FALSE())</f>
        <v>500</v>
      </c>
      <c r="M787" s="39" t="n">
        <f aca="false">I787*J787*(1-K787)</f>
        <v>799.2</v>
      </c>
      <c r="N787" s="39" t="n">
        <f aca="false">I787*L787</f>
        <v>500</v>
      </c>
      <c r="O787" s="39" t="n">
        <f aca="false">M787-N787</f>
        <v>299.2</v>
      </c>
      <c r="P787" s="41" t="n">
        <f aca="false">IF(M787=0,0,O787/M787)</f>
        <v>0.374374374374374</v>
      </c>
      <c r="Q787" s="37" t="str">
        <f aca="false">IF(K787=0,"No discount",IF(K787&lt;=0.1,"1-10%",IF(K787&lt;=0.2,"11-20%",IF(K787&lt;=0.3,"21-30%","Above 30%"))))</f>
        <v>11-20%</v>
      </c>
      <c r="R787" s="39" t="n">
        <f aca="false">I787*J787*MAX(0,K787-DiscountCap)</f>
        <v>0</v>
      </c>
    </row>
    <row r="788" customFormat="false" ht="15" hidden="false" customHeight="false" outlineLevel="0" collapsed="false">
      <c r="A788" s="37" t="s">
        <v>932</v>
      </c>
      <c r="B788" s="38" t="n">
        <v>45943</v>
      </c>
      <c r="C788" s="37" t="n">
        <f aca="false">MONTH(B788)</f>
        <v>10</v>
      </c>
      <c r="D788" s="37" t="s">
        <v>146</v>
      </c>
      <c r="E788" s="37" t="s">
        <v>45</v>
      </c>
      <c r="F788" s="37" t="s">
        <v>97</v>
      </c>
      <c r="G788" s="37" t="s">
        <v>93</v>
      </c>
      <c r="H788" s="37" t="s">
        <v>121</v>
      </c>
      <c r="I788" s="37" t="n">
        <v>1</v>
      </c>
      <c r="J788" s="39" t="n">
        <v>999</v>
      </c>
      <c r="K788" s="40" t="n">
        <v>0.05</v>
      </c>
      <c r="L788" s="39" t="n">
        <f aca="false">VLOOKUP(H788,'Product List'!$A$3:$D$18,4,FALSE())</f>
        <v>500</v>
      </c>
      <c r="M788" s="39" t="n">
        <f aca="false">I788*J788*(1-K788)</f>
        <v>949.05</v>
      </c>
      <c r="N788" s="39" t="n">
        <f aca="false">I788*L788</f>
        <v>500</v>
      </c>
      <c r="O788" s="39" t="n">
        <f aca="false">M788-N788</f>
        <v>449.05</v>
      </c>
      <c r="P788" s="41" t="n">
        <f aca="false">IF(M788=0,0,O788/M788)</f>
        <v>0.47315736789421</v>
      </c>
      <c r="Q788" s="37" t="str">
        <f aca="false">IF(K788=0,"No discount",IF(K788&lt;=0.1,"1-10%",IF(K788&lt;=0.2,"11-20%",IF(K788&lt;=0.3,"21-30%","Above 30%"))))</f>
        <v>1-10%</v>
      </c>
      <c r="R788" s="39" t="n">
        <f aca="false">I788*J788*MAX(0,K788-DiscountCap)</f>
        <v>0</v>
      </c>
    </row>
    <row r="789" customFormat="false" ht="15" hidden="false" customHeight="false" outlineLevel="0" collapsed="false">
      <c r="A789" s="37" t="s">
        <v>933</v>
      </c>
      <c r="B789" s="38" t="n">
        <v>45949</v>
      </c>
      <c r="C789" s="37" t="n">
        <f aca="false">MONTH(B789)</f>
        <v>10</v>
      </c>
      <c r="D789" s="37" t="s">
        <v>154</v>
      </c>
      <c r="E789" s="37" t="s">
        <v>47</v>
      </c>
      <c r="F789" s="37" t="s">
        <v>97</v>
      </c>
      <c r="G789" s="37" t="s">
        <v>93</v>
      </c>
      <c r="H789" s="37" t="s">
        <v>120</v>
      </c>
      <c r="I789" s="37" t="n">
        <v>1</v>
      </c>
      <c r="J789" s="39" t="n">
        <v>449</v>
      </c>
      <c r="K789" s="40" t="n">
        <v>0.1</v>
      </c>
      <c r="L789" s="39" t="n">
        <f aca="false">VLOOKUP(H789,'Product List'!$A$3:$D$18,4,FALSE())</f>
        <v>240</v>
      </c>
      <c r="M789" s="39" t="n">
        <f aca="false">I789*J789*(1-K789)</f>
        <v>404.1</v>
      </c>
      <c r="N789" s="39" t="n">
        <f aca="false">I789*L789</f>
        <v>240</v>
      </c>
      <c r="O789" s="39" t="n">
        <f aca="false">M789-N789</f>
        <v>164.1</v>
      </c>
      <c r="P789" s="41" t="n">
        <f aca="false">IF(M789=0,0,O789/M789)</f>
        <v>0.406087602078693</v>
      </c>
      <c r="Q789" s="37" t="str">
        <f aca="false">IF(K789=0,"No discount",IF(K789&lt;=0.1,"1-10%",IF(K789&lt;=0.2,"11-20%",IF(K789&lt;=0.3,"21-30%","Above 30%"))))</f>
        <v>1-10%</v>
      </c>
      <c r="R789" s="39" t="n">
        <f aca="false">I789*J789*MAX(0,K789-DiscountCap)</f>
        <v>0</v>
      </c>
    </row>
    <row r="790" customFormat="false" ht="15" hidden="false" customHeight="false" outlineLevel="0" collapsed="false">
      <c r="A790" s="37" t="s">
        <v>934</v>
      </c>
      <c r="B790" s="38" t="n">
        <v>45932</v>
      </c>
      <c r="C790" s="37" t="n">
        <f aca="false">MONTH(B790)</f>
        <v>10</v>
      </c>
      <c r="D790" s="37" t="s">
        <v>138</v>
      </c>
      <c r="E790" s="37" t="s">
        <v>46</v>
      </c>
      <c r="F790" s="37" t="s">
        <v>96</v>
      </c>
      <c r="G790" s="37" t="s">
        <v>93</v>
      </c>
      <c r="H790" s="37" t="s">
        <v>120</v>
      </c>
      <c r="I790" s="37" t="n">
        <v>1</v>
      </c>
      <c r="J790" s="39" t="n">
        <v>449</v>
      </c>
      <c r="K790" s="40" t="n">
        <v>0.3</v>
      </c>
      <c r="L790" s="39" t="n">
        <f aca="false">VLOOKUP(H790,'Product List'!$A$3:$D$18,4,FALSE())</f>
        <v>240</v>
      </c>
      <c r="M790" s="39" t="n">
        <f aca="false">I790*J790*(1-K790)</f>
        <v>314.3</v>
      </c>
      <c r="N790" s="39" t="n">
        <f aca="false">I790*L790</f>
        <v>240</v>
      </c>
      <c r="O790" s="39" t="n">
        <f aca="false">M790-N790</f>
        <v>74.3</v>
      </c>
      <c r="P790" s="41" t="n">
        <f aca="false">IF(M790=0,0,O790/M790)</f>
        <v>0.236398345529749</v>
      </c>
      <c r="Q790" s="37" t="str">
        <f aca="false">IF(K790=0,"No discount",IF(K790&lt;=0.1,"1-10%",IF(K790&lt;=0.2,"11-20%",IF(K790&lt;=0.3,"21-30%","Above 30%"))))</f>
        <v>21-30%</v>
      </c>
      <c r="R790" s="39" t="n">
        <f aca="false">I790*J790*MAX(0,K790-DiscountCap)</f>
        <v>44.9</v>
      </c>
    </row>
    <row r="791" customFormat="false" ht="15" hidden="false" customHeight="false" outlineLevel="0" collapsed="false">
      <c r="A791" s="37" t="s">
        <v>935</v>
      </c>
      <c r="B791" s="38" t="n">
        <v>45940</v>
      </c>
      <c r="C791" s="37" t="n">
        <f aca="false">MONTH(B791)</f>
        <v>10</v>
      </c>
      <c r="D791" s="37" t="s">
        <v>169</v>
      </c>
      <c r="E791" s="37" t="s">
        <v>44</v>
      </c>
      <c r="F791" s="37" t="s">
        <v>97</v>
      </c>
      <c r="G791" s="37" t="s">
        <v>90</v>
      </c>
      <c r="H791" s="37" t="s">
        <v>110</v>
      </c>
      <c r="I791" s="37" t="n">
        <v>2</v>
      </c>
      <c r="J791" s="39" t="n">
        <v>1299</v>
      </c>
      <c r="K791" s="40" t="n">
        <v>0.2</v>
      </c>
      <c r="L791" s="39" t="n">
        <f aca="false">VLOOKUP(H791,'Product List'!$A$3:$D$18,4,FALSE())</f>
        <v>1000</v>
      </c>
      <c r="M791" s="39" t="n">
        <f aca="false">I791*J791*(1-K791)</f>
        <v>2078.4</v>
      </c>
      <c r="N791" s="39" t="n">
        <f aca="false">I791*L791</f>
        <v>2000</v>
      </c>
      <c r="O791" s="39" t="n">
        <f aca="false">M791-N791</f>
        <v>78.4000000000001</v>
      </c>
      <c r="P791" s="41" t="n">
        <f aca="false">IF(M791=0,0,O791/M791)</f>
        <v>0.0377213240954581</v>
      </c>
      <c r="Q791" s="37" t="str">
        <f aca="false">IF(K791=0,"No discount",IF(K791&lt;=0.1,"1-10%",IF(K791&lt;=0.2,"11-20%",IF(K791&lt;=0.3,"21-30%","Above 30%"))))</f>
        <v>11-20%</v>
      </c>
      <c r="R791" s="39" t="n">
        <f aca="false">I791*J791*MAX(0,K791-DiscountCap)</f>
        <v>0</v>
      </c>
    </row>
    <row r="792" customFormat="false" ht="15" hidden="false" customHeight="false" outlineLevel="0" collapsed="false">
      <c r="A792" s="37" t="s">
        <v>936</v>
      </c>
      <c r="B792" s="38" t="n">
        <v>45938</v>
      </c>
      <c r="C792" s="37" t="n">
        <f aca="false">MONTH(B792)</f>
        <v>10</v>
      </c>
      <c r="D792" s="37" t="s">
        <v>134</v>
      </c>
      <c r="E792" s="37" t="s">
        <v>45</v>
      </c>
      <c r="F792" s="37" t="s">
        <v>96</v>
      </c>
      <c r="G792" s="37" t="s">
        <v>91</v>
      </c>
      <c r="H792" s="37" t="s">
        <v>118</v>
      </c>
      <c r="I792" s="37" t="n">
        <v>2</v>
      </c>
      <c r="J792" s="39" t="n">
        <v>2299</v>
      </c>
      <c r="K792" s="40" t="n">
        <v>0.4</v>
      </c>
      <c r="L792" s="39" t="n">
        <f aca="false">VLOOKUP(H792,'Product List'!$A$3:$D$18,4,FALSE())</f>
        <v>1300</v>
      </c>
      <c r="M792" s="39" t="n">
        <f aca="false">I792*J792*(1-K792)</f>
        <v>2758.8</v>
      </c>
      <c r="N792" s="39" t="n">
        <f aca="false">I792*L792</f>
        <v>2600</v>
      </c>
      <c r="O792" s="39" t="n">
        <f aca="false">M792-N792</f>
        <v>158.8</v>
      </c>
      <c r="P792" s="41" t="n">
        <f aca="false">IF(M792=0,0,O792/M792)</f>
        <v>0.0575612585181962</v>
      </c>
      <c r="Q792" s="37" t="str">
        <f aca="false">IF(K792=0,"No discount",IF(K792&lt;=0.1,"1-10%",IF(K792&lt;=0.2,"11-20%",IF(K792&lt;=0.3,"21-30%","Above 30%"))))</f>
        <v>Above 30%</v>
      </c>
      <c r="R792" s="39" t="n">
        <f aca="false">I792*J792*MAX(0,K792-DiscountCap)</f>
        <v>919.6</v>
      </c>
    </row>
    <row r="793" customFormat="false" ht="15" hidden="false" customHeight="false" outlineLevel="0" collapsed="false">
      <c r="A793" s="37" t="s">
        <v>937</v>
      </c>
      <c r="B793" s="38" t="n">
        <v>45938</v>
      </c>
      <c r="C793" s="37" t="n">
        <f aca="false">MONTH(B793)</f>
        <v>10</v>
      </c>
      <c r="D793" s="37" t="s">
        <v>134</v>
      </c>
      <c r="E793" s="37" t="s">
        <v>45</v>
      </c>
      <c r="F793" s="37" t="s">
        <v>97</v>
      </c>
      <c r="G793" s="37" t="s">
        <v>90</v>
      </c>
      <c r="H793" s="37" t="s">
        <v>108</v>
      </c>
      <c r="I793" s="37" t="n">
        <v>1</v>
      </c>
      <c r="J793" s="39" t="n">
        <v>1999</v>
      </c>
      <c r="K793" s="40" t="n">
        <v>0.1</v>
      </c>
      <c r="L793" s="39" t="n">
        <f aca="false">VLOOKUP(H793,'Product List'!$A$3:$D$18,4,FALSE())</f>
        <v>1560</v>
      </c>
      <c r="M793" s="39" t="n">
        <f aca="false">I793*J793*(1-K793)</f>
        <v>1799.1</v>
      </c>
      <c r="N793" s="39" t="n">
        <f aca="false">I793*L793</f>
        <v>1560</v>
      </c>
      <c r="O793" s="39" t="n">
        <f aca="false">M793-N793</f>
        <v>239.1</v>
      </c>
      <c r="P793" s="41" t="n">
        <f aca="false">IF(M793=0,0,O793/M793)</f>
        <v>0.132899783224946</v>
      </c>
      <c r="Q793" s="37" t="str">
        <f aca="false">IF(K793=0,"No discount",IF(K793&lt;=0.1,"1-10%",IF(K793&lt;=0.2,"11-20%",IF(K793&lt;=0.3,"21-30%","Above 30%"))))</f>
        <v>1-10%</v>
      </c>
      <c r="R793" s="39" t="n">
        <f aca="false">I793*J793*MAX(0,K793-DiscountCap)</f>
        <v>0</v>
      </c>
    </row>
    <row r="794" customFormat="false" ht="15" hidden="false" customHeight="false" outlineLevel="0" collapsed="false">
      <c r="A794" s="37" t="s">
        <v>938</v>
      </c>
      <c r="B794" s="38" t="n">
        <v>45947</v>
      </c>
      <c r="C794" s="37" t="n">
        <f aca="false">MONTH(B794)</f>
        <v>10</v>
      </c>
      <c r="D794" s="37" t="s">
        <v>138</v>
      </c>
      <c r="E794" s="37" t="s">
        <v>46</v>
      </c>
      <c r="F794" s="37" t="s">
        <v>96</v>
      </c>
      <c r="G794" s="37" t="s">
        <v>90</v>
      </c>
      <c r="H794" s="37" t="s">
        <v>111</v>
      </c>
      <c r="I794" s="37" t="n">
        <v>1</v>
      </c>
      <c r="J794" s="39" t="n">
        <v>2499</v>
      </c>
      <c r="K794" s="40" t="n">
        <v>0.25</v>
      </c>
      <c r="L794" s="39" t="n">
        <f aca="false">VLOOKUP(H794,'Product List'!$A$3:$D$18,4,FALSE())</f>
        <v>1950</v>
      </c>
      <c r="M794" s="39" t="n">
        <f aca="false">I794*J794*(1-K794)</f>
        <v>1874.25</v>
      </c>
      <c r="N794" s="39" t="n">
        <f aca="false">I794*L794</f>
        <v>1950</v>
      </c>
      <c r="O794" s="39" t="n">
        <f aca="false">M794-N794</f>
        <v>-75.75</v>
      </c>
      <c r="P794" s="41" t="n">
        <f aca="false">IF(M794=0,0,O794/M794)</f>
        <v>-0.0404161664665866</v>
      </c>
      <c r="Q794" s="37" t="str">
        <f aca="false">IF(K794=0,"No discount",IF(K794&lt;=0.1,"1-10%",IF(K794&lt;=0.2,"11-20%",IF(K794&lt;=0.3,"21-30%","Above 30%"))))</f>
        <v>21-30%</v>
      </c>
      <c r="R794" s="39" t="n">
        <f aca="false">I794*J794*MAX(0,K794-DiscountCap)</f>
        <v>124.95</v>
      </c>
    </row>
    <row r="795" customFormat="false" ht="15" hidden="false" customHeight="false" outlineLevel="0" collapsed="false">
      <c r="A795" s="37" t="s">
        <v>939</v>
      </c>
      <c r="B795" s="38" t="n">
        <v>45947</v>
      </c>
      <c r="C795" s="37" t="n">
        <f aca="false">MONTH(B795)</f>
        <v>10</v>
      </c>
      <c r="D795" s="37" t="s">
        <v>172</v>
      </c>
      <c r="E795" s="37" t="s">
        <v>46</v>
      </c>
      <c r="F795" s="37" t="s">
        <v>97</v>
      </c>
      <c r="G795" s="37" t="s">
        <v>90</v>
      </c>
      <c r="H795" s="37" t="s">
        <v>111</v>
      </c>
      <c r="I795" s="37" t="n">
        <v>2</v>
      </c>
      <c r="J795" s="39" t="n">
        <v>2499</v>
      </c>
      <c r="K795" s="40" t="n">
        <v>0.05</v>
      </c>
      <c r="L795" s="39" t="n">
        <f aca="false">VLOOKUP(H795,'Product List'!$A$3:$D$18,4,FALSE())</f>
        <v>1950</v>
      </c>
      <c r="M795" s="39" t="n">
        <f aca="false">I795*J795*(1-K795)</f>
        <v>4748.1</v>
      </c>
      <c r="N795" s="39" t="n">
        <f aca="false">I795*L795</f>
        <v>3900</v>
      </c>
      <c r="O795" s="39" t="n">
        <f aca="false">M795-N795</f>
        <v>848.1</v>
      </c>
      <c r="P795" s="41" t="n">
        <f aca="false">IF(M795=0,0,O795/M795)</f>
        <v>0.178618815947432</v>
      </c>
      <c r="Q795" s="37" t="str">
        <f aca="false">IF(K795=0,"No discount",IF(K795&lt;=0.1,"1-10%",IF(K795&lt;=0.2,"11-20%",IF(K795&lt;=0.3,"21-30%","Above 30%"))))</f>
        <v>1-10%</v>
      </c>
      <c r="R795" s="39" t="n">
        <f aca="false">I795*J795*MAX(0,K795-DiscountCap)</f>
        <v>0</v>
      </c>
    </row>
    <row r="796" customFormat="false" ht="15" hidden="false" customHeight="false" outlineLevel="0" collapsed="false">
      <c r="A796" s="37" t="s">
        <v>940</v>
      </c>
      <c r="B796" s="38" t="n">
        <v>45959</v>
      </c>
      <c r="C796" s="37" t="n">
        <f aca="false">MONTH(B796)</f>
        <v>10</v>
      </c>
      <c r="D796" s="37" t="s">
        <v>136</v>
      </c>
      <c r="E796" s="37" t="s">
        <v>47</v>
      </c>
      <c r="F796" s="37" t="s">
        <v>96</v>
      </c>
      <c r="G796" s="37" t="s">
        <v>92</v>
      </c>
      <c r="H796" s="37" t="s">
        <v>115</v>
      </c>
      <c r="I796" s="37" t="n">
        <v>2</v>
      </c>
      <c r="J796" s="39" t="n">
        <v>1799</v>
      </c>
      <c r="K796" s="40" t="n">
        <v>0.3</v>
      </c>
      <c r="L796" s="39" t="n">
        <f aca="false">VLOOKUP(H796,'Product List'!$A$3:$D$18,4,FALSE())</f>
        <v>1150</v>
      </c>
      <c r="M796" s="39" t="n">
        <f aca="false">I796*J796*(1-K796)</f>
        <v>2518.6</v>
      </c>
      <c r="N796" s="39" t="n">
        <f aca="false">I796*L796</f>
        <v>2300</v>
      </c>
      <c r="O796" s="39" t="n">
        <f aca="false">M796-N796</f>
        <v>218.6</v>
      </c>
      <c r="P796" s="41" t="n">
        <f aca="false">IF(M796=0,0,O796/M796)</f>
        <v>0.0867942507742396</v>
      </c>
      <c r="Q796" s="37" t="str">
        <f aca="false">IF(K796=0,"No discount",IF(K796&lt;=0.1,"1-10%",IF(K796&lt;=0.2,"11-20%",IF(K796&lt;=0.3,"21-30%","Above 30%"))))</f>
        <v>21-30%</v>
      </c>
      <c r="R796" s="39" t="n">
        <f aca="false">I796*J796*MAX(0,K796-DiscountCap)</f>
        <v>359.8</v>
      </c>
    </row>
    <row r="797" customFormat="false" ht="15" hidden="false" customHeight="false" outlineLevel="0" collapsed="false">
      <c r="A797" s="37" t="s">
        <v>941</v>
      </c>
      <c r="B797" s="38" t="n">
        <v>45957</v>
      </c>
      <c r="C797" s="37" t="n">
        <f aca="false">MONTH(B797)</f>
        <v>10</v>
      </c>
      <c r="D797" s="37" t="s">
        <v>154</v>
      </c>
      <c r="E797" s="37" t="s">
        <v>47</v>
      </c>
      <c r="F797" s="37" t="s">
        <v>97</v>
      </c>
      <c r="G797" s="37" t="s">
        <v>90</v>
      </c>
      <c r="H797" s="37" t="s">
        <v>109</v>
      </c>
      <c r="I797" s="37" t="n">
        <v>2</v>
      </c>
      <c r="J797" s="39" t="n">
        <v>3499</v>
      </c>
      <c r="K797" s="40" t="n">
        <v>0.05</v>
      </c>
      <c r="L797" s="39" t="n">
        <f aca="false">VLOOKUP(H797,'Product List'!$A$3:$D$18,4,FALSE())</f>
        <v>2750</v>
      </c>
      <c r="M797" s="39" t="n">
        <f aca="false">I797*J797*(1-K797)</f>
        <v>6648.1</v>
      </c>
      <c r="N797" s="39" t="n">
        <f aca="false">I797*L797</f>
        <v>5500</v>
      </c>
      <c r="O797" s="39" t="n">
        <f aca="false">M797-N797</f>
        <v>1148.1</v>
      </c>
      <c r="P797" s="41" t="n">
        <f aca="false">IF(M797=0,0,O797/M797)</f>
        <v>0.172695958243709</v>
      </c>
      <c r="Q797" s="37" t="str">
        <f aca="false">IF(K797=0,"No discount",IF(K797&lt;=0.1,"1-10%",IF(K797&lt;=0.2,"11-20%",IF(K797&lt;=0.3,"21-30%","Above 30%"))))</f>
        <v>1-10%</v>
      </c>
      <c r="R797" s="39" t="n">
        <f aca="false">I797*J797*MAX(0,K797-DiscountCap)</f>
        <v>0</v>
      </c>
    </row>
    <row r="798" customFormat="false" ht="15" hidden="false" customHeight="false" outlineLevel="0" collapsed="false">
      <c r="A798" s="37" t="s">
        <v>942</v>
      </c>
      <c r="B798" s="38" t="n">
        <v>45940</v>
      </c>
      <c r="C798" s="37" t="n">
        <f aca="false">MONTH(B798)</f>
        <v>10</v>
      </c>
      <c r="D798" s="37" t="s">
        <v>146</v>
      </c>
      <c r="E798" s="37" t="s">
        <v>45</v>
      </c>
      <c r="F798" s="37" t="s">
        <v>97</v>
      </c>
      <c r="G798" s="37" t="s">
        <v>90</v>
      </c>
      <c r="H798" s="37" t="s">
        <v>109</v>
      </c>
      <c r="I798" s="37" t="n">
        <v>2</v>
      </c>
      <c r="J798" s="39" t="n">
        <v>3499</v>
      </c>
      <c r="K798" s="40" t="n">
        <v>0.25</v>
      </c>
      <c r="L798" s="39" t="n">
        <f aca="false">VLOOKUP(H798,'Product List'!$A$3:$D$18,4,FALSE())</f>
        <v>2750</v>
      </c>
      <c r="M798" s="39" t="n">
        <f aca="false">I798*J798*(1-K798)</f>
        <v>5248.5</v>
      </c>
      <c r="N798" s="39" t="n">
        <f aca="false">I798*L798</f>
        <v>5500</v>
      </c>
      <c r="O798" s="39" t="n">
        <f aca="false">M798-N798</f>
        <v>-251.5</v>
      </c>
      <c r="P798" s="41" t="n">
        <f aca="false">IF(M798=0,0,O798/M798)</f>
        <v>-0.0479184528913023</v>
      </c>
      <c r="Q798" s="37" t="str">
        <f aca="false">IF(K798=0,"No discount",IF(K798&lt;=0.1,"1-10%",IF(K798&lt;=0.2,"11-20%",IF(K798&lt;=0.3,"21-30%","Above 30%"))))</f>
        <v>21-30%</v>
      </c>
      <c r="R798" s="39" t="n">
        <f aca="false">I798*J798*MAX(0,K798-DiscountCap)</f>
        <v>349.9</v>
      </c>
    </row>
    <row r="799" customFormat="false" ht="15" hidden="false" customHeight="false" outlineLevel="0" collapsed="false">
      <c r="A799" s="37" t="s">
        <v>943</v>
      </c>
      <c r="B799" s="38" t="n">
        <v>45966</v>
      </c>
      <c r="C799" s="37" t="n">
        <f aca="false">MONTH(B799)</f>
        <v>11</v>
      </c>
      <c r="D799" s="37" t="s">
        <v>140</v>
      </c>
      <c r="E799" s="37" t="s">
        <v>44</v>
      </c>
      <c r="F799" s="37" t="s">
        <v>97</v>
      </c>
      <c r="G799" s="37" t="s">
        <v>93</v>
      </c>
      <c r="H799" s="37" t="s">
        <v>120</v>
      </c>
      <c r="I799" s="37" t="n">
        <v>2</v>
      </c>
      <c r="J799" s="39" t="n">
        <v>449</v>
      </c>
      <c r="K799" s="40" t="n">
        <v>0.1</v>
      </c>
      <c r="L799" s="39" t="n">
        <f aca="false">VLOOKUP(H799,'Product List'!$A$3:$D$18,4,FALSE())</f>
        <v>240</v>
      </c>
      <c r="M799" s="39" t="n">
        <f aca="false">I799*J799*(1-K799)</f>
        <v>808.2</v>
      </c>
      <c r="N799" s="39" t="n">
        <f aca="false">I799*L799</f>
        <v>480</v>
      </c>
      <c r="O799" s="39" t="n">
        <f aca="false">M799-N799</f>
        <v>328.2</v>
      </c>
      <c r="P799" s="41" t="n">
        <f aca="false">IF(M799=0,0,O799/M799)</f>
        <v>0.406087602078693</v>
      </c>
      <c r="Q799" s="37" t="str">
        <f aca="false">IF(K799=0,"No discount",IF(K799&lt;=0.1,"1-10%",IF(K799&lt;=0.2,"11-20%",IF(K799&lt;=0.3,"21-30%","Above 30%"))))</f>
        <v>1-10%</v>
      </c>
      <c r="R799" s="39" t="n">
        <f aca="false">I799*J799*MAX(0,K799-DiscountCap)</f>
        <v>0</v>
      </c>
    </row>
    <row r="800" customFormat="false" ht="15" hidden="false" customHeight="false" outlineLevel="0" collapsed="false">
      <c r="A800" s="37" t="s">
        <v>944</v>
      </c>
      <c r="B800" s="38" t="n">
        <v>45987</v>
      </c>
      <c r="C800" s="37" t="n">
        <f aca="false">MONTH(B800)</f>
        <v>11</v>
      </c>
      <c r="D800" s="37" t="s">
        <v>154</v>
      </c>
      <c r="E800" s="37" t="s">
        <v>47</v>
      </c>
      <c r="F800" s="37" t="s">
        <v>97</v>
      </c>
      <c r="G800" s="37" t="s">
        <v>90</v>
      </c>
      <c r="H800" s="37" t="s">
        <v>110</v>
      </c>
      <c r="I800" s="37" t="n">
        <v>1</v>
      </c>
      <c r="J800" s="39" t="n">
        <v>1299</v>
      </c>
      <c r="K800" s="40" t="n">
        <v>0.1</v>
      </c>
      <c r="L800" s="39" t="n">
        <f aca="false">VLOOKUP(H800,'Product List'!$A$3:$D$18,4,FALSE())</f>
        <v>1000</v>
      </c>
      <c r="M800" s="39" t="n">
        <f aca="false">I800*J800*(1-K800)</f>
        <v>1169.1</v>
      </c>
      <c r="N800" s="39" t="n">
        <f aca="false">I800*L800</f>
        <v>1000</v>
      </c>
      <c r="O800" s="39" t="n">
        <f aca="false">M800-N800</f>
        <v>169.1</v>
      </c>
      <c r="P800" s="41" t="n">
        <f aca="false">IF(M800=0,0,O800/M800)</f>
        <v>0.144641176973741</v>
      </c>
      <c r="Q800" s="37" t="str">
        <f aca="false">IF(K800=0,"No discount",IF(K800&lt;=0.1,"1-10%",IF(K800&lt;=0.2,"11-20%",IF(K800&lt;=0.3,"21-30%","Above 30%"))))</f>
        <v>1-10%</v>
      </c>
      <c r="R800" s="39" t="n">
        <f aca="false">I800*J800*MAX(0,K800-DiscountCap)</f>
        <v>0</v>
      </c>
    </row>
    <row r="801" customFormat="false" ht="15" hidden="false" customHeight="false" outlineLevel="0" collapsed="false">
      <c r="A801" s="37" t="s">
        <v>945</v>
      </c>
      <c r="B801" s="38" t="n">
        <v>45984</v>
      </c>
      <c r="C801" s="37" t="n">
        <f aca="false">MONTH(B801)</f>
        <v>11</v>
      </c>
      <c r="D801" s="37" t="s">
        <v>154</v>
      </c>
      <c r="E801" s="37" t="s">
        <v>47</v>
      </c>
      <c r="F801" s="37" t="s">
        <v>96</v>
      </c>
      <c r="G801" s="37" t="s">
        <v>92</v>
      </c>
      <c r="H801" s="37" t="s">
        <v>113</v>
      </c>
      <c r="I801" s="37" t="n">
        <v>3</v>
      </c>
      <c r="J801" s="39" t="n">
        <v>2199</v>
      </c>
      <c r="K801" s="40" t="n">
        <v>0.1</v>
      </c>
      <c r="L801" s="39" t="n">
        <f aca="false">VLOOKUP(H801,'Product List'!$A$3:$D$18,4,FALSE())</f>
        <v>1400</v>
      </c>
      <c r="M801" s="39" t="n">
        <f aca="false">I801*J801*(1-K801)</f>
        <v>5937.3</v>
      </c>
      <c r="N801" s="39" t="n">
        <f aca="false">I801*L801</f>
        <v>4200</v>
      </c>
      <c r="O801" s="39" t="n">
        <f aca="false">M801-N801</f>
        <v>1737.3</v>
      </c>
      <c r="P801" s="41" t="n">
        <f aca="false">IF(M801=0,0,O801/M801)</f>
        <v>0.292607750997928</v>
      </c>
      <c r="Q801" s="37" t="str">
        <f aca="false">IF(K801=0,"No discount",IF(K801&lt;=0.1,"1-10%",IF(K801&lt;=0.2,"11-20%",IF(K801&lt;=0.3,"21-30%","Above 30%"))))</f>
        <v>1-10%</v>
      </c>
      <c r="R801" s="39" t="n">
        <f aca="false">I801*J801*MAX(0,K801-DiscountCap)</f>
        <v>0</v>
      </c>
    </row>
    <row r="802" customFormat="false" ht="15" hidden="false" customHeight="false" outlineLevel="0" collapsed="false">
      <c r="A802" s="37" t="s">
        <v>946</v>
      </c>
      <c r="B802" s="38" t="n">
        <v>45986</v>
      </c>
      <c r="C802" s="37" t="n">
        <f aca="false">MONTH(B802)</f>
        <v>11</v>
      </c>
      <c r="D802" s="37" t="s">
        <v>146</v>
      </c>
      <c r="E802" s="37" t="s">
        <v>45</v>
      </c>
      <c r="F802" s="37" t="s">
        <v>96</v>
      </c>
      <c r="G802" s="37" t="s">
        <v>92</v>
      </c>
      <c r="H802" s="37" t="s">
        <v>115</v>
      </c>
      <c r="I802" s="37" t="n">
        <v>1</v>
      </c>
      <c r="J802" s="39" t="n">
        <v>1799</v>
      </c>
      <c r="K802" s="40" t="n">
        <v>0.1</v>
      </c>
      <c r="L802" s="39" t="n">
        <f aca="false">VLOOKUP(H802,'Product List'!$A$3:$D$18,4,FALSE())</f>
        <v>1150</v>
      </c>
      <c r="M802" s="39" t="n">
        <f aca="false">I802*J802*(1-K802)</f>
        <v>1619.1</v>
      </c>
      <c r="N802" s="39" t="n">
        <f aca="false">I802*L802</f>
        <v>1150</v>
      </c>
      <c r="O802" s="39" t="n">
        <f aca="false">M802-N802</f>
        <v>469.1</v>
      </c>
      <c r="P802" s="41" t="n">
        <f aca="false">IF(M802=0,0,O802/M802)</f>
        <v>0.289728861713298</v>
      </c>
      <c r="Q802" s="37" t="str">
        <f aca="false">IF(K802=0,"No discount",IF(K802&lt;=0.1,"1-10%",IF(K802&lt;=0.2,"11-20%",IF(K802&lt;=0.3,"21-30%","Above 30%"))))</f>
        <v>1-10%</v>
      </c>
      <c r="R802" s="39" t="n">
        <f aca="false">I802*J802*MAX(0,K802-DiscountCap)</f>
        <v>0</v>
      </c>
    </row>
    <row r="803" customFormat="false" ht="15" hidden="false" customHeight="false" outlineLevel="0" collapsed="false">
      <c r="A803" s="37" t="s">
        <v>947</v>
      </c>
      <c r="B803" s="38" t="n">
        <v>45991</v>
      </c>
      <c r="C803" s="37" t="n">
        <f aca="false">MONTH(B803)</f>
        <v>11</v>
      </c>
      <c r="D803" s="37" t="s">
        <v>172</v>
      </c>
      <c r="E803" s="37" t="s">
        <v>46</v>
      </c>
      <c r="F803" s="37" t="s">
        <v>96</v>
      </c>
      <c r="G803" s="37" t="s">
        <v>92</v>
      </c>
      <c r="H803" s="37" t="s">
        <v>114</v>
      </c>
      <c r="I803" s="37" t="n">
        <v>2</v>
      </c>
      <c r="J803" s="39" t="n">
        <v>1199</v>
      </c>
      <c r="K803" s="40" t="n">
        <v>0.25</v>
      </c>
      <c r="L803" s="39" t="n">
        <f aca="false">VLOOKUP(H803,'Product List'!$A$3:$D$18,4,FALSE())</f>
        <v>780</v>
      </c>
      <c r="M803" s="39" t="n">
        <f aca="false">I803*J803*(1-K803)</f>
        <v>1798.5</v>
      </c>
      <c r="N803" s="39" t="n">
        <f aca="false">I803*L803</f>
        <v>1560</v>
      </c>
      <c r="O803" s="39" t="n">
        <f aca="false">M803-N803</f>
        <v>238.5</v>
      </c>
      <c r="P803" s="41" t="n">
        <f aca="false">IF(M803=0,0,O803/M803)</f>
        <v>0.132610508757298</v>
      </c>
      <c r="Q803" s="37" t="str">
        <f aca="false">IF(K803=0,"No discount",IF(K803&lt;=0.1,"1-10%",IF(K803&lt;=0.2,"11-20%",IF(K803&lt;=0.3,"21-30%","Above 30%"))))</f>
        <v>21-30%</v>
      </c>
      <c r="R803" s="39" t="n">
        <f aca="false">I803*J803*MAX(0,K803-DiscountCap)</f>
        <v>119.9</v>
      </c>
    </row>
    <row r="804" customFormat="false" ht="15" hidden="false" customHeight="false" outlineLevel="0" collapsed="false">
      <c r="A804" s="37" t="s">
        <v>948</v>
      </c>
      <c r="B804" s="38" t="n">
        <v>45981</v>
      </c>
      <c r="C804" s="37" t="n">
        <f aca="false">MONTH(B804)</f>
        <v>11</v>
      </c>
      <c r="D804" s="37" t="s">
        <v>142</v>
      </c>
      <c r="E804" s="37" t="s">
        <v>47</v>
      </c>
      <c r="F804" s="37" t="s">
        <v>96</v>
      </c>
      <c r="G804" s="37" t="s">
        <v>90</v>
      </c>
      <c r="H804" s="37" t="s">
        <v>110</v>
      </c>
      <c r="I804" s="37" t="n">
        <v>4</v>
      </c>
      <c r="J804" s="39" t="n">
        <v>1299</v>
      </c>
      <c r="K804" s="40" t="n">
        <v>0.25</v>
      </c>
      <c r="L804" s="39" t="n">
        <f aca="false">VLOOKUP(H804,'Product List'!$A$3:$D$18,4,FALSE())</f>
        <v>1000</v>
      </c>
      <c r="M804" s="39" t="n">
        <f aca="false">I804*J804*(1-K804)</f>
        <v>3897</v>
      </c>
      <c r="N804" s="39" t="n">
        <f aca="false">I804*L804</f>
        <v>4000</v>
      </c>
      <c r="O804" s="39" t="n">
        <f aca="false">M804-N804</f>
        <v>-103</v>
      </c>
      <c r="P804" s="41" t="n">
        <f aca="false">IF(M804=0,0,O804/M804)</f>
        <v>-0.0264305876315114</v>
      </c>
      <c r="Q804" s="37" t="str">
        <f aca="false">IF(K804=0,"No discount",IF(K804&lt;=0.1,"1-10%",IF(K804&lt;=0.2,"11-20%",IF(K804&lt;=0.3,"21-30%","Above 30%"))))</f>
        <v>21-30%</v>
      </c>
      <c r="R804" s="39" t="n">
        <f aca="false">I804*J804*MAX(0,K804-DiscountCap)</f>
        <v>259.8</v>
      </c>
    </row>
    <row r="805" customFormat="false" ht="15" hidden="false" customHeight="false" outlineLevel="0" collapsed="false">
      <c r="A805" s="37" t="s">
        <v>949</v>
      </c>
      <c r="B805" s="38" t="n">
        <v>45964</v>
      </c>
      <c r="C805" s="37" t="n">
        <f aca="false">MONTH(B805)</f>
        <v>11</v>
      </c>
      <c r="D805" s="37" t="s">
        <v>154</v>
      </c>
      <c r="E805" s="37" t="s">
        <v>47</v>
      </c>
      <c r="F805" s="37" t="s">
        <v>96</v>
      </c>
      <c r="G805" s="37" t="s">
        <v>90</v>
      </c>
      <c r="H805" s="37" t="s">
        <v>111</v>
      </c>
      <c r="I805" s="37" t="n">
        <v>2</v>
      </c>
      <c r="J805" s="39" t="n">
        <v>2499</v>
      </c>
      <c r="K805" s="40" t="n">
        <v>0.2</v>
      </c>
      <c r="L805" s="39" t="n">
        <f aca="false">VLOOKUP(H805,'Product List'!$A$3:$D$18,4,FALSE())</f>
        <v>1950</v>
      </c>
      <c r="M805" s="39" t="n">
        <f aca="false">I805*J805*(1-K805)</f>
        <v>3998.4</v>
      </c>
      <c r="N805" s="39" t="n">
        <f aca="false">I805*L805</f>
        <v>3900</v>
      </c>
      <c r="O805" s="39" t="n">
        <f aca="false">M805-N805</f>
        <v>98.4000000000001</v>
      </c>
      <c r="P805" s="41" t="n">
        <f aca="false">IF(M805=0,0,O805/M805)</f>
        <v>0.0246098439375751</v>
      </c>
      <c r="Q805" s="37" t="str">
        <f aca="false">IF(K805=0,"No discount",IF(K805&lt;=0.1,"1-10%",IF(K805&lt;=0.2,"11-20%",IF(K805&lt;=0.3,"21-30%","Above 30%"))))</f>
        <v>11-20%</v>
      </c>
      <c r="R805" s="39" t="n">
        <f aca="false">I805*J805*MAX(0,K805-DiscountCap)</f>
        <v>0</v>
      </c>
    </row>
    <row r="806" customFormat="false" ht="15" hidden="false" customHeight="false" outlineLevel="0" collapsed="false">
      <c r="A806" s="37" t="s">
        <v>950</v>
      </c>
      <c r="B806" s="38" t="n">
        <v>45978</v>
      </c>
      <c r="C806" s="37" t="n">
        <f aca="false">MONTH(B806)</f>
        <v>11</v>
      </c>
      <c r="D806" s="37" t="s">
        <v>166</v>
      </c>
      <c r="E806" s="37" t="s">
        <v>44</v>
      </c>
      <c r="F806" s="37" t="s">
        <v>96</v>
      </c>
      <c r="G806" s="37" t="s">
        <v>93</v>
      </c>
      <c r="H806" s="37" t="s">
        <v>123</v>
      </c>
      <c r="I806" s="37" t="n">
        <v>1</v>
      </c>
      <c r="J806" s="39" t="n">
        <v>1299</v>
      </c>
      <c r="K806" s="40" t="n">
        <v>0.15</v>
      </c>
      <c r="L806" s="39" t="n">
        <f aca="false">VLOOKUP(H806,'Product List'!$A$3:$D$18,4,FALSE())</f>
        <v>700</v>
      </c>
      <c r="M806" s="39" t="n">
        <f aca="false">I806*J806*(1-K806)</f>
        <v>1104.15</v>
      </c>
      <c r="N806" s="39" t="n">
        <f aca="false">I806*L806</f>
        <v>700</v>
      </c>
      <c r="O806" s="39" t="n">
        <f aca="false">M806-N806</f>
        <v>404.15</v>
      </c>
      <c r="P806" s="41" t="n">
        <f aca="false">IF(M806=0,0,O806/M806)</f>
        <v>0.36602816646289</v>
      </c>
      <c r="Q806" s="37" t="str">
        <f aca="false">IF(K806=0,"No discount",IF(K806&lt;=0.1,"1-10%",IF(K806&lt;=0.2,"11-20%",IF(K806&lt;=0.3,"21-30%","Above 30%"))))</f>
        <v>11-20%</v>
      </c>
      <c r="R806" s="39" t="n">
        <f aca="false">I806*J806*MAX(0,K806-DiscountCap)</f>
        <v>0</v>
      </c>
    </row>
    <row r="807" customFormat="false" ht="15" hidden="false" customHeight="false" outlineLevel="0" collapsed="false">
      <c r="A807" s="37" t="s">
        <v>951</v>
      </c>
      <c r="B807" s="38" t="n">
        <v>45986</v>
      </c>
      <c r="C807" s="37" t="n">
        <f aca="false">MONTH(B807)</f>
        <v>11</v>
      </c>
      <c r="D807" s="37" t="s">
        <v>160</v>
      </c>
      <c r="E807" s="37" t="s">
        <v>46</v>
      </c>
      <c r="F807" s="37" t="s">
        <v>96</v>
      </c>
      <c r="G807" s="37" t="s">
        <v>92</v>
      </c>
      <c r="H807" s="37" t="s">
        <v>113</v>
      </c>
      <c r="I807" s="37" t="n">
        <v>1</v>
      </c>
      <c r="J807" s="39" t="n">
        <v>2199</v>
      </c>
      <c r="K807" s="40" t="n">
        <v>0.15</v>
      </c>
      <c r="L807" s="39" t="n">
        <f aca="false">VLOOKUP(H807,'Product List'!$A$3:$D$18,4,FALSE())</f>
        <v>1400</v>
      </c>
      <c r="M807" s="39" t="n">
        <f aca="false">I807*J807*(1-K807)</f>
        <v>1869.15</v>
      </c>
      <c r="N807" s="39" t="n">
        <f aca="false">I807*L807</f>
        <v>1400</v>
      </c>
      <c r="O807" s="39" t="n">
        <f aca="false">M807-N807</f>
        <v>469.15</v>
      </c>
      <c r="P807" s="41" t="n">
        <f aca="false">IF(M807=0,0,O807/M807)</f>
        <v>0.250996442233101</v>
      </c>
      <c r="Q807" s="37" t="str">
        <f aca="false">IF(K807=0,"No discount",IF(K807&lt;=0.1,"1-10%",IF(K807&lt;=0.2,"11-20%",IF(K807&lt;=0.3,"21-30%","Above 30%"))))</f>
        <v>11-20%</v>
      </c>
      <c r="R807" s="39" t="n">
        <f aca="false">I807*J807*MAX(0,K807-DiscountCap)</f>
        <v>0</v>
      </c>
    </row>
    <row r="808" customFormat="false" ht="15" hidden="false" customHeight="false" outlineLevel="0" collapsed="false">
      <c r="A808" s="37" t="s">
        <v>952</v>
      </c>
      <c r="B808" s="38" t="n">
        <v>45978</v>
      </c>
      <c r="C808" s="37" t="n">
        <f aca="false">MONTH(B808)</f>
        <v>11</v>
      </c>
      <c r="D808" s="37" t="s">
        <v>134</v>
      </c>
      <c r="E808" s="37" t="s">
        <v>45</v>
      </c>
      <c r="F808" s="37" t="s">
        <v>96</v>
      </c>
      <c r="G808" s="37" t="s">
        <v>93</v>
      </c>
      <c r="H808" s="37" t="s">
        <v>122</v>
      </c>
      <c r="I808" s="37" t="n">
        <v>1</v>
      </c>
      <c r="J808" s="39" t="n">
        <v>1799</v>
      </c>
      <c r="K808" s="40" t="n">
        <v>0.05</v>
      </c>
      <c r="L808" s="39" t="n">
        <f aca="false">VLOOKUP(H808,'Product List'!$A$3:$D$18,4,FALSE())</f>
        <v>1250</v>
      </c>
      <c r="M808" s="39" t="n">
        <f aca="false">I808*J808*(1-K808)</f>
        <v>1709.05</v>
      </c>
      <c r="N808" s="39" t="n">
        <f aca="false">I808*L808</f>
        <v>1250</v>
      </c>
      <c r="O808" s="39" t="n">
        <f aca="false">M808-N808</f>
        <v>459.05</v>
      </c>
      <c r="P808" s="41" t="n">
        <f aca="false">IF(M808=0,0,O808/M808)</f>
        <v>0.268599514350078</v>
      </c>
      <c r="Q808" s="37" t="str">
        <f aca="false">IF(K808=0,"No discount",IF(K808&lt;=0.1,"1-10%",IF(K808&lt;=0.2,"11-20%",IF(K808&lt;=0.3,"21-30%","Above 30%"))))</f>
        <v>1-10%</v>
      </c>
      <c r="R808" s="39" t="n">
        <f aca="false">I808*J808*MAX(0,K808-DiscountCap)</f>
        <v>0</v>
      </c>
    </row>
    <row r="809" customFormat="false" ht="15" hidden="false" customHeight="false" outlineLevel="0" collapsed="false">
      <c r="A809" s="37" t="s">
        <v>953</v>
      </c>
      <c r="B809" s="38" t="n">
        <v>45978</v>
      </c>
      <c r="C809" s="37" t="n">
        <f aca="false">MONTH(B809)</f>
        <v>11</v>
      </c>
      <c r="D809" s="37" t="s">
        <v>142</v>
      </c>
      <c r="E809" s="37" t="s">
        <v>47</v>
      </c>
      <c r="F809" s="37" t="s">
        <v>97</v>
      </c>
      <c r="G809" s="37" t="s">
        <v>93</v>
      </c>
      <c r="H809" s="37" t="s">
        <v>120</v>
      </c>
      <c r="I809" s="37" t="n">
        <v>1</v>
      </c>
      <c r="J809" s="39" t="n">
        <v>449</v>
      </c>
      <c r="K809" s="40" t="n">
        <v>0</v>
      </c>
      <c r="L809" s="39" t="n">
        <f aca="false">VLOOKUP(H809,'Product List'!$A$3:$D$18,4,FALSE())</f>
        <v>240</v>
      </c>
      <c r="M809" s="39" t="n">
        <f aca="false">I809*J809*(1-K809)</f>
        <v>449</v>
      </c>
      <c r="N809" s="39" t="n">
        <f aca="false">I809*L809</f>
        <v>240</v>
      </c>
      <c r="O809" s="39" t="n">
        <f aca="false">M809-N809</f>
        <v>209</v>
      </c>
      <c r="P809" s="41" t="n">
        <f aca="false">IF(M809=0,0,O809/M809)</f>
        <v>0.465478841870824</v>
      </c>
      <c r="Q809" s="37" t="str">
        <f aca="false">IF(K809=0,"No discount",IF(K809&lt;=0.1,"1-10%",IF(K809&lt;=0.2,"11-20%",IF(K809&lt;=0.3,"21-30%","Above 30%"))))</f>
        <v>No discount</v>
      </c>
      <c r="R809" s="39" t="n">
        <f aca="false">I809*J809*MAX(0,K809-DiscountCap)</f>
        <v>0</v>
      </c>
    </row>
    <row r="810" customFormat="false" ht="15" hidden="false" customHeight="false" outlineLevel="0" collapsed="false">
      <c r="A810" s="37" t="s">
        <v>954</v>
      </c>
      <c r="B810" s="38" t="n">
        <v>45975</v>
      </c>
      <c r="C810" s="37" t="n">
        <f aca="false">MONTH(B810)</f>
        <v>11</v>
      </c>
      <c r="D810" s="37" t="s">
        <v>169</v>
      </c>
      <c r="E810" s="37" t="s">
        <v>44</v>
      </c>
      <c r="F810" s="37" t="s">
        <v>97</v>
      </c>
      <c r="G810" s="37" t="s">
        <v>90</v>
      </c>
      <c r="H810" s="37" t="s">
        <v>111</v>
      </c>
      <c r="I810" s="37" t="n">
        <v>1</v>
      </c>
      <c r="J810" s="39" t="n">
        <v>2499</v>
      </c>
      <c r="K810" s="40" t="n">
        <v>0.25</v>
      </c>
      <c r="L810" s="39" t="n">
        <f aca="false">VLOOKUP(H810,'Product List'!$A$3:$D$18,4,FALSE())</f>
        <v>1950</v>
      </c>
      <c r="M810" s="39" t="n">
        <f aca="false">I810*J810*(1-K810)</f>
        <v>1874.25</v>
      </c>
      <c r="N810" s="39" t="n">
        <f aca="false">I810*L810</f>
        <v>1950</v>
      </c>
      <c r="O810" s="39" t="n">
        <f aca="false">M810-N810</f>
        <v>-75.75</v>
      </c>
      <c r="P810" s="41" t="n">
        <f aca="false">IF(M810=0,0,O810/M810)</f>
        <v>-0.0404161664665866</v>
      </c>
      <c r="Q810" s="37" t="str">
        <f aca="false">IF(K810=0,"No discount",IF(K810&lt;=0.1,"1-10%",IF(K810&lt;=0.2,"11-20%",IF(K810&lt;=0.3,"21-30%","Above 30%"))))</f>
        <v>21-30%</v>
      </c>
      <c r="R810" s="39" t="n">
        <f aca="false">I810*J810*MAX(0,K810-DiscountCap)</f>
        <v>124.95</v>
      </c>
    </row>
    <row r="811" customFormat="false" ht="15" hidden="false" customHeight="false" outlineLevel="0" collapsed="false">
      <c r="A811" s="37" t="s">
        <v>955</v>
      </c>
      <c r="B811" s="38" t="n">
        <v>45981</v>
      </c>
      <c r="C811" s="37" t="n">
        <f aca="false">MONTH(B811)</f>
        <v>11</v>
      </c>
      <c r="D811" s="37" t="s">
        <v>169</v>
      </c>
      <c r="E811" s="37" t="s">
        <v>44</v>
      </c>
      <c r="F811" s="37" t="s">
        <v>96</v>
      </c>
      <c r="G811" s="37" t="s">
        <v>90</v>
      </c>
      <c r="H811" s="37" t="s">
        <v>109</v>
      </c>
      <c r="I811" s="37" t="n">
        <v>2</v>
      </c>
      <c r="J811" s="39" t="n">
        <v>3499</v>
      </c>
      <c r="K811" s="40" t="n">
        <v>0.15</v>
      </c>
      <c r="L811" s="39" t="n">
        <f aca="false">VLOOKUP(H811,'Product List'!$A$3:$D$18,4,FALSE())</f>
        <v>2750</v>
      </c>
      <c r="M811" s="39" t="n">
        <f aca="false">I811*J811*(1-K811)</f>
        <v>5948.3</v>
      </c>
      <c r="N811" s="39" t="n">
        <f aca="false">I811*L811</f>
        <v>5500</v>
      </c>
      <c r="O811" s="39" t="n">
        <f aca="false">M811-N811</f>
        <v>448.3</v>
      </c>
      <c r="P811" s="41" t="n">
        <f aca="false">IF(M811=0,0,O811/M811)</f>
        <v>0.0753660709782627</v>
      </c>
      <c r="Q811" s="37" t="str">
        <f aca="false">IF(K811=0,"No discount",IF(K811&lt;=0.1,"1-10%",IF(K811&lt;=0.2,"11-20%",IF(K811&lt;=0.3,"21-30%","Above 30%"))))</f>
        <v>11-20%</v>
      </c>
      <c r="R811" s="39" t="n">
        <f aca="false">I811*J811*MAX(0,K811-DiscountCap)</f>
        <v>0</v>
      </c>
    </row>
    <row r="812" customFormat="false" ht="15" hidden="false" customHeight="false" outlineLevel="0" collapsed="false">
      <c r="A812" s="37" t="s">
        <v>956</v>
      </c>
      <c r="B812" s="38" t="n">
        <v>45980</v>
      </c>
      <c r="C812" s="37" t="n">
        <f aca="false">MONTH(B812)</f>
        <v>11</v>
      </c>
      <c r="D812" s="37" t="s">
        <v>169</v>
      </c>
      <c r="E812" s="37" t="s">
        <v>44</v>
      </c>
      <c r="F812" s="37" t="s">
        <v>97</v>
      </c>
      <c r="G812" s="37" t="s">
        <v>91</v>
      </c>
      <c r="H812" s="37" t="s">
        <v>117</v>
      </c>
      <c r="I812" s="37" t="n">
        <v>2</v>
      </c>
      <c r="J812" s="39" t="n">
        <v>1499</v>
      </c>
      <c r="K812" s="40" t="n">
        <v>0.1</v>
      </c>
      <c r="L812" s="39" t="n">
        <f aca="false">VLOOKUP(H812,'Product List'!$A$3:$D$18,4,FALSE())</f>
        <v>780</v>
      </c>
      <c r="M812" s="39" t="n">
        <f aca="false">I812*J812*(1-K812)</f>
        <v>2698.2</v>
      </c>
      <c r="N812" s="39" t="n">
        <f aca="false">I812*L812</f>
        <v>1560</v>
      </c>
      <c r="O812" s="39" t="n">
        <f aca="false">M812-N812</f>
        <v>1138.2</v>
      </c>
      <c r="P812" s="41" t="n">
        <f aca="false">IF(M812=0,0,O812/M812)</f>
        <v>0.421836780075606</v>
      </c>
      <c r="Q812" s="37" t="str">
        <f aca="false">IF(K812=0,"No discount",IF(K812&lt;=0.1,"1-10%",IF(K812&lt;=0.2,"11-20%",IF(K812&lt;=0.3,"21-30%","Above 30%"))))</f>
        <v>1-10%</v>
      </c>
      <c r="R812" s="39" t="n">
        <f aca="false">I812*J812*MAX(0,K812-DiscountCap)</f>
        <v>0</v>
      </c>
    </row>
    <row r="813" customFormat="false" ht="15" hidden="false" customHeight="false" outlineLevel="0" collapsed="false">
      <c r="A813" s="37" t="s">
        <v>957</v>
      </c>
      <c r="B813" s="38" t="n">
        <v>45967</v>
      </c>
      <c r="C813" s="37" t="n">
        <f aca="false">MONTH(B813)</f>
        <v>11</v>
      </c>
      <c r="D813" s="37" t="s">
        <v>134</v>
      </c>
      <c r="E813" s="37" t="s">
        <v>45</v>
      </c>
      <c r="F813" s="37" t="s">
        <v>96</v>
      </c>
      <c r="G813" s="37" t="s">
        <v>91</v>
      </c>
      <c r="H813" s="37" t="s">
        <v>116</v>
      </c>
      <c r="I813" s="37" t="n">
        <v>2</v>
      </c>
      <c r="J813" s="39" t="n">
        <v>899</v>
      </c>
      <c r="K813" s="40" t="n">
        <v>0.05</v>
      </c>
      <c r="L813" s="39" t="n">
        <f aca="false">VLOOKUP(H813,'Product List'!$A$3:$D$18,4,FALSE())</f>
        <v>430</v>
      </c>
      <c r="M813" s="39" t="n">
        <f aca="false">I813*J813*(1-K813)</f>
        <v>1708.1</v>
      </c>
      <c r="N813" s="39" t="n">
        <f aca="false">I813*L813</f>
        <v>860</v>
      </c>
      <c r="O813" s="39" t="n">
        <f aca="false">M813-N813</f>
        <v>848.1</v>
      </c>
      <c r="P813" s="41" t="n">
        <f aca="false">IF(M813=0,0,O813/M813)</f>
        <v>0.496516597388912</v>
      </c>
      <c r="Q813" s="37" t="str">
        <f aca="false">IF(K813=0,"No discount",IF(K813&lt;=0.1,"1-10%",IF(K813&lt;=0.2,"11-20%",IF(K813&lt;=0.3,"21-30%","Above 30%"))))</f>
        <v>1-10%</v>
      </c>
      <c r="R813" s="39" t="n">
        <f aca="false">I813*J813*MAX(0,K813-DiscountCap)</f>
        <v>0</v>
      </c>
    </row>
    <row r="814" customFormat="false" ht="15" hidden="false" customHeight="false" outlineLevel="0" collapsed="false">
      <c r="A814" s="37" t="s">
        <v>958</v>
      </c>
      <c r="B814" s="38" t="n">
        <v>45986</v>
      </c>
      <c r="C814" s="37" t="n">
        <f aca="false">MONTH(B814)</f>
        <v>11</v>
      </c>
      <c r="D814" s="37" t="s">
        <v>154</v>
      </c>
      <c r="E814" s="37" t="s">
        <v>47</v>
      </c>
      <c r="F814" s="37" t="s">
        <v>96</v>
      </c>
      <c r="G814" s="37" t="s">
        <v>90</v>
      </c>
      <c r="H814" s="37" t="s">
        <v>111</v>
      </c>
      <c r="I814" s="37" t="n">
        <v>2</v>
      </c>
      <c r="J814" s="39" t="n">
        <v>2499</v>
      </c>
      <c r="K814" s="40" t="n">
        <v>0.3</v>
      </c>
      <c r="L814" s="39" t="n">
        <f aca="false">VLOOKUP(H814,'Product List'!$A$3:$D$18,4,FALSE())</f>
        <v>1950</v>
      </c>
      <c r="M814" s="39" t="n">
        <f aca="false">I814*J814*(1-K814)</f>
        <v>3498.6</v>
      </c>
      <c r="N814" s="39" t="n">
        <f aca="false">I814*L814</f>
        <v>3900</v>
      </c>
      <c r="O814" s="39" t="n">
        <f aca="false">M814-N814</f>
        <v>-401.4</v>
      </c>
      <c r="P814" s="41" t="n">
        <f aca="false">IF(M814=0,0,O814/M814)</f>
        <v>-0.114731606928486</v>
      </c>
      <c r="Q814" s="37" t="str">
        <f aca="false">IF(K814=0,"No discount",IF(K814&lt;=0.1,"1-10%",IF(K814&lt;=0.2,"11-20%",IF(K814&lt;=0.3,"21-30%","Above 30%"))))</f>
        <v>21-30%</v>
      </c>
      <c r="R814" s="39" t="n">
        <f aca="false">I814*J814*MAX(0,K814-DiscountCap)</f>
        <v>499.8</v>
      </c>
    </row>
    <row r="815" customFormat="false" ht="15" hidden="false" customHeight="false" outlineLevel="0" collapsed="false">
      <c r="A815" s="37" t="s">
        <v>959</v>
      </c>
      <c r="B815" s="38" t="n">
        <v>45986</v>
      </c>
      <c r="C815" s="37" t="n">
        <f aca="false">MONTH(B815)</f>
        <v>11</v>
      </c>
      <c r="D815" s="37" t="s">
        <v>166</v>
      </c>
      <c r="E815" s="37" t="s">
        <v>44</v>
      </c>
      <c r="F815" s="37" t="s">
        <v>96</v>
      </c>
      <c r="G815" s="37" t="s">
        <v>91</v>
      </c>
      <c r="H815" s="37" t="s">
        <v>116</v>
      </c>
      <c r="I815" s="37" t="n">
        <v>1</v>
      </c>
      <c r="J815" s="39" t="n">
        <v>899</v>
      </c>
      <c r="K815" s="40" t="n">
        <v>0.1</v>
      </c>
      <c r="L815" s="39" t="n">
        <f aca="false">VLOOKUP(H815,'Product List'!$A$3:$D$18,4,FALSE())</f>
        <v>430</v>
      </c>
      <c r="M815" s="39" t="n">
        <f aca="false">I815*J815*(1-K815)</f>
        <v>809.1</v>
      </c>
      <c r="N815" s="39" t="n">
        <f aca="false">I815*L815</f>
        <v>430</v>
      </c>
      <c r="O815" s="39" t="n">
        <f aca="false">M815-N815</f>
        <v>379.1</v>
      </c>
      <c r="P815" s="41" t="n">
        <f aca="false">IF(M815=0,0,O815/M815)</f>
        <v>0.468545297243851</v>
      </c>
      <c r="Q815" s="37" t="str">
        <f aca="false">IF(K815=0,"No discount",IF(K815&lt;=0.1,"1-10%",IF(K815&lt;=0.2,"11-20%",IF(K815&lt;=0.3,"21-30%","Above 30%"))))</f>
        <v>1-10%</v>
      </c>
      <c r="R815" s="39" t="n">
        <f aca="false">I815*J815*MAX(0,K815-DiscountCap)</f>
        <v>0</v>
      </c>
    </row>
    <row r="816" customFormat="false" ht="15" hidden="false" customHeight="false" outlineLevel="0" collapsed="false">
      <c r="A816" s="37" t="s">
        <v>960</v>
      </c>
      <c r="B816" s="38" t="n">
        <v>45980</v>
      </c>
      <c r="C816" s="37" t="n">
        <f aca="false">MONTH(B816)</f>
        <v>11</v>
      </c>
      <c r="D816" s="37" t="s">
        <v>146</v>
      </c>
      <c r="E816" s="37" t="s">
        <v>45</v>
      </c>
      <c r="F816" s="37" t="s">
        <v>96</v>
      </c>
      <c r="G816" s="37" t="s">
        <v>93</v>
      </c>
      <c r="H816" s="37" t="s">
        <v>123</v>
      </c>
      <c r="I816" s="37" t="n">
        <v>1</v>
      </c>
      <c r="J816" s="39" t="n">
        <v>1299</v>
      </c>
      <c r="K816" s="40" t="n">
        <v>0.3</v>
      </c>
      <c r="L816" s="39" t="n">
        <f aca="false">VLOOKUP(H816,'Product List'!$A$3:$D$18,4,FALSE())</f>
        <v>700</v>
      </c>
      <c r="M816" s="39" t="n">
        <f aca="false">I816*J816*(1-K816)</f>
        <v>909.3</v>
      </c>
      <c r="N816" s="39" t="n">
        <f aca="false">I816*L816</f>
        <v>700</v>
      </c>
      <c r="O816" s="39" t="n">
        <f aca="false">M816-N816</f>
        <v>209.3</v>
      </c>
      <c r="P816" s="41" t="n">
        <f aca="false">IF(M816=0,0,O816/M816)</f>
        <v>0.230177059276366</v>
      </c>
      <c r="Q816" s="37" t="str">
        <f aca="false">IF(K816=0,"No discount",IF(K816&lt;=0.1,"1-10%",IF(K816&lt;=0.2,"11-20%",IF(K816&lt;=0.3,"21-30%","Above 30%"))))</f>
        <v>21-30%</v>
      </c>
      <c r="R816" s="39" t="n">
        <f aca="false">I816*J816*MAX(0,K816-DiscountCap)</f>
        <v>129.9</v>
      </c>
    </row>
    <row r="817" customFormat="false" ht="15" hidden="false" customHeight="false" outlineLevel="0" collapsed="false">
      <c r="A817" s="37" t="s">
        <v>961</v>
      </c>
      <c r="B817" s="38" t="n">
        <v>45971</v>
      </c>
      <c r="C817" s="37" t="n">
        <f aca="false">MONTH(B817)</f>
        <v>11</v>
      </c>
      <c r="D817" s="37" t="s">
        <v>142</v>
      </c>
      <c r="E817" s="37" t="s">
        <v>47</v>
      </c>
      <c r="F817" s="37" t="s">
        <v>97</v>
      </c>
      <c r="G817" s="37" t="s">
        <v>90</v>
      </c>
      <c r="H817" s="37" t="s">
        <v>111</v>
      </c>
      <c r="I817" s="37" t="n">
        <v>1</v>
      </c>
      <c r="J817" s="39" t="n">
        <v>2499</v>
      </c>
      <c r="K817" s="40" t="n">
        <v>0.05</v>
      </c>
      <c r="L817" s="39" t="n">
        <f aca="false">VLOOKUP(H817,'Product List'!$A$3:$D$18,4,FALSE())</f>
        <v>1950</v>
      </c>
      <c r="M817" s="39" t="n">
        <f aca="false">I817*J817*(1-K817)</f>
        <v>2374.05</v>
      </c>
      <c r="N817" s="39" t="n">
        <f aca="false">I817*L817</f>
        <v>1950</v>
      </c>
      <c r="O817" s="39" t="n">
        <f aca="false">M817-N817</f>
        <v>424.05</v>
      </c>
      <c r="P817" s="41" t="n">
        <f aca="false">IF(M817=0,0,O817/M817)</f>
        <v>0.178618815947432</v>
      </c>
      <c r="Q817" s="37" t="str">
        <f aca="false">IF(K817=0,"No discount",IF(K817&lt;=0.1,"1-10%",IF(K817&lt;=0.2,"11-20%",IF(K817&lt;=0.3,"21-30%","Above 30%"))))</f>
        <v>1-10%</v>
      </c>
      <c r="R817" s="39" t="n">
        <f aca="false">I817*J817*MAX(0,K817-DiscountCap)</f>
        <v>0</v>
      </c>
    </row>
    <row r="818" customFormat="false" ht="15" hidden="false" customHeight="false" outlineLevel="0" collapsed="false">
      <c r="A818" s="37" t="s">
        <v>962</v>
      </c>
      <c r="B818" s="38" t="n">
        <v>45990</v>
      </c>
      <c r="C818" s="37" t="n">
        <f aca="false">MONTH(B818)</f>
        <v>11</v>
      </c>
      <c r="D818" s="37" t="s">
        <v>154</v>
      </c>
      <c r="E818" s="37" t="s">
        <v>47</v>
      </c>
      <c r="F818" s="37" t="s">
        <v>97</v>
      </c>
      <c r="G818" s="37" t="s">
        <v>90</v>
      </c>
      <c r="H818" s="37" t="s">
        <v>111</v>
      </c>
      <c r="I818" s="37" t="n">
        <v>2</v>
      </c>
      <c r="J818" s="39" t="n">
        <v>2499</v>
      </c>
      <c r="K818" s="40" t="n">
        <v>0.1</v>
      </c>
      <c r="L818" s="39" t="n">
        <f aca="false">VLOOKUP(H818,'Product List'!$A$3:$D$18,4,FALSE())</f>
        <v>1950</v>
      </c>
      <c r="M818" s="39" t="n">
        <f aca="false">I818*J818*(1-K818)</f>
        <v>4498.2</v>
      </c>
      <c r="N818" s="39" t="n">
        <f aca="false">I818*L818</f>
        <v>3900</v>
      </c>
      <c r="O818" s="39" t="n">
        <f aca="false">M818-N818</f>
        <v>598.2</v>
      </c>
      <c r="P818" s="41" t="n">
        <f aca="false">IF(M818=0,0,O818/M818)</f>
        <v>0.132986527944511</v>
      </c>
      <c r="Q818" s="37" t="str">
        <f aca="false">IF(K818=0,"No discount",IF(K818&lt;=0.1,"1-10%",IF(K818&lt;=0.2,"11-20%",IF(K818&lt;=0.3,"21-30%","Above 30%"))))</f>
        <v>1-10%</v>
      </c>
      <c r="R818" s="39" t="n">
        <f aca="false">I818*J818*MAX(0,K818-DiscountCap)</f>
        <v>0</v>
      </c>
    </row>
    <row r="819" customFormat="false" ht="15" hidden="false" customHeight="false" outlineLevel="0" collapsed="false">
      <c r="A819" s="37" t="s">
        <v>963</v>
      </c>
      <c r="B819" s="38" t="n">
        <v>45972</v>
      </c>
      <c r="C819" s="37" t="n">
        <f aca="false">MONTH(B819)</f>
        <v>11</v>
      </c>
      <c r="D819" s="37" t="s">
        <v>142</v>
      </c>
      <c r="E819" s="37" t="s">
        <v>47</v>
      </c>
      <c r="F819" s="37" t="s">
        <v>97</v>
      </c>
      <c r="G819" s="37" t="s">
        <v>90</v>
      </c>
      <c r="H819" s="37" t="s">
        <v>109</v>
      </c>
      <c r="I819" s="37" t="n">
        <v>1</v>
      </c>
      <c r="J819" s="39" t="n">
        <v>3499</v>
      </c>
      <c r="K819" s="40" t="n">
        <v>0.15</v>
      </c>
      <c r="L819" s="39" t="n">
        <f aca="false">VLOOKUP(H819,'Product List'!$A$3:$D$18,4,FALSE())</f>
        <v>2750</v>
      </c>
      <c r="M819" s="39" t="n">
        <f aca="false">I819*J819*(1-K819)</f>
        <v>2974.15</v>
      </c>
      <c r="N819" s="39" t="n">
        <f aca="false">I819*L819</f>
        <v>2750</v>
      </c>
      <c r="O819" s="39" t="n">
        <f aca="false">M819-N819</f>
        <v>224.15</v>
      </c>
      <c r="P819" s="41" t="n">
        <f aca="false">IF(M819=0,0,O819/M819)</f>
        <v>0.0753660709782627</v>
      </c>
      <c r="Q819" s="37" t="str">
        <f aca="false">IF(K819=0,"No discount",IF(K819&lt;=0.1,"1-10%",IF(K819&lt;=0.2,"11-20%",IF(K819&lt;=0.3,"21-30%","Above 30%"))))</f>
        <v>11-20%</v>
      </c>
      <c r="R819" s="39" t="n">
        <f aca="false">I819*J819*MAX(0,K819-DiscountCap)</f>
        <v>0</v>
      </c>
    </row>
    <row r="820" customFormat="false" ht="15" hidden="false" customHeight="false" outlineLevel="0" collapsed="false">
      <c r="A820" s="37" t="s">
        <v>964</v>
      </c>
      <c r="B820" s="38" t="n">
        <v>45973</v>
      </c>
      <c r="C820" s="37" t="n">
        <f aca="false">MONTH(B820)</f>
        <v>11</v>
      </c>
      <c r="D820" s="37" t="s">
        <v>142</v>
      </c>
      <c r="E820" s="37" t="s">
        <v>47</v>
      </c>
      <c r="F820" s="37" t="s">
        <v>96</v>
      </c>
      <c r="G820" s="37" t="s">
        <v>93</v>
      </c>
      <c r="H820" s="37" t="s">
        <v>122</v>
      </c>
      <c r="I820" s="37" t="n">
        <v>1</v>
      </c>
      <c r="J820" s="39" t="n">
        <v>1799</v>
      </c>
      <c r="K820" s="40" t="n">
        <v>0.1</v>
      </c>
      <c r="L820" s="39" t="n">
        <f aca="false">VLOOKUP(H820,'Product List'!$A$3:$D$18,4,FALSE())</f>
        <v>1250</v>
      </c>
      <c r="M820" s="39" t="n">
        <f aca="false">I820*J820*(1-K820)</f>
        <v>1619.1</v>
      </c>
      <c r="N820" s="39" t="n">
        <f aca="false">I820*L820</f>
        <v>1250</v>
      </c>
      <c r="O820" s="39" t="n">
        <f aca="false">M820-N820</f>
        <v>369.1</v>
      </c>
      <c r="P820" s="41" t="n">
        <f aca="false">IF(M820=0,0,O820/M820)</f>
        <v>0.227966154036193</v>
      </c>
      <c r="Q820" s="37" t="str">
        <f aca="false">IF(K820=0,"No discount",IF(K820&lt;=0.1,"1-10%",IF(K820&lt;=0.2,"11-20%",IF(K820&lt;=0.3,"21-30%","Above 30%"))))</f>
        <v>1-10%</v>
      </c>
      <c r="R820" s="39" t="n">
        <f aca="false">I820*J820*MAX(0,K820-DiscountCap)</f>
        <v>0</v>
      </c>
    </row>
    <row r="821" customFormat="false" ht="15" hidden="false" customHeight="false" outlineLevel="0" collapsed="false">
      <c r="A821" s="37" t="s">
        <v>965</v>
      </c>
      <c r="B821" s="38" t="n">
        <v>45967</v>
      </c>
      <c r="C821" s="37" t="n">
        <f aca="false">MONTH(B821)</f>
        <v>11</v>
      </c>
      <c r="D821" s="37" t="s">
        <v>140</v>
      </c>
      <c r="E821" s="37" t="s">
        <v>44</v>
      </c>
      <c r="F821" s="37" t="s">
        <v>96</v>
      </c>
      <c r="G821" s="37" t="s">
        <v>90</v>
      </c>
      <c r="H821" s="37" t="s">
        <v>110</v>
      </c>
      <c r="I821" s="37" t="n">
        <v>2</v>
      </c>
      <c r="J821" s="39" t="n">
        <v>1299</v>
      </c>
      <c r="K821" s="40" t="n">
        <v>0.15</v>
      </c>
      <c r="L821" s="39" t="n">
        <f aca="false">VLOOKUP(H821,'Product List'!$A$3:$D$18,4,FALSE())</f>
        <v>1000</v>
      </c>
      <c r="M821" s="39" t="n">
        <f aca="false">I821*J821*(1-K821)</f>
        <v>2208.3</v>
      </c>
      <c r="N821" s="39" t="n">
        <f aca="false">I821*L821</f>
        <v>2000</v>
      </c>
      <c r="O821" s="39" t="n">
        <f aca="false">M821-N821</f>
        <v>208.3</v>
      </c>
      <c r="P821" s="41" t="n">
        <f aca="false">IF(M821=0,0,O821/M821)</f>
        <v>0.0943259520898428</v>
      </c>
      <c r="Q821" s="37" t="str">
        <f aca="false">IF(K821=0,"No discount",IF(K821&lt;=0.1,"1-10%",IF(K821&lt;=0.2,"11-20%",IF(K821&lt;=0.3,"21-30%","Above 30%"))))</f>
        <v>11-20%</v>
      </c>
      <c r="R821" s="39" t="n">
        <f aca="false">I821*J821*MAX(0,K821-DiscountCap)</f>
        <v>0</v>
      </c>
    </row>
    <row r="822" customFormat="false" ht="15" hidden="false" customHeight="false" outlineLevel="0" collapsed="false">
      <c r="A822" s="37" t="s">
        <v>966</v>
      </c>
      <c r="B822" s="38" t="n">
        <v>45971</v>
      </c>
      <c r="C822" s="37" t="n">
        <f aca="false">MONTH(B822)</f>
        <v>11</v>
      </c>
      <c r="D822" s="37" t="s">
        <v>144</v>
      </c>
      <c r="E822" s="37" t="s">
        <v>45</v>
      </c>
      <c r="F822" s="37" t="s">
        <v>96</v>
      </c>
      <c r="G822" s="37" t="s">
        <v>92</v>
      </c>
      <c r="H822" s="37" t="s">
        <v>112</v>
      </c>
      <c r="I822" s="37" t="n">
        <v>1</v>
      </c>
      <c r="J822" s="39" t="n">
        <v>3299</v>
      </c>
      <c r="K822" s="40" t="n">
        <v>0.2</v>
      </c>
      <c r="L822" s="39" t="n">
        <f aca="false">VLOOKUP(H822,'Product List'!$A$3:$D$18,4,FALSE())</f>
        <v>2250</v>
      </c>
      <c r="M822" s="39" t="n">
        <f aca="false">I822*J822*(1-K822)</f>
        <v>2639.2</v>
      </c>
      <c r="N822" s="39" t="n">
        <f aca="false">I822*L822</f>
        <v>2250</v>
      </c>
      <c r="O822" s="39" t="n">
        <f aca="false">M822-N822</f>
        <v>389.2</v>
      </c>
      <c r="P822" s="41" t="n">
        <f aca="false">IF(M822=0,0,O822/M822)</f>
        <v>0.147468929978782</v>
      </c>
      <c r="Q822" s="37" t="str">
        <f aca="false">IF(K822=0,"No discount",IF(K822&lt;=0.1,"1-10%",IF(K822&lt;=0.2,"11-20%",IF(K822&lt;=0.3,"21-30%","Above 30%"))))</f>
        <v>11-20%</v>
      </c>
      <c r="R822" s="39" t="n">
        <f aca="false">I822*J822*MAX(0,K822-DiscountCap)</f>
        <v>0</v>
      </c>
    </row>
    <row r="823" customFormat="false" ht="15" hidden="false" customHeight="false" outlineLevel="0" collapsed="false">
      <c r="A823" s="37" t="s">
        <v>967</v>
      </c>
      <c r="B823" s="38" t="n">
        <v>45990</v>
      </c>
      <c r="C823" s="37" t="n">
        <f aca="false">MONTH(B823)</f>
        <v>11</v>
      </c>
      <c r="D823" s="37" t="s">
        <v>142</v>
      </c>
      <c r="E823" s="37" t="s">
        <v>47</v>
      </c>
      <c r="F823" s="37" t="s">
        <v>97</v>
      </c>
      <c r="G823" s="37" t="s">
        <v>90</v>
      </c>
      <c r="H823" s="37" t="s">
        <v>108</v>
      </c>
      <c r="I823" s="37" t="n">
        <v>3</v>
      </c>
      <c r="J823" s="39" t="n">
        <v>1999</v>
      </c>
      <c r="K823" s="40" t="n">
        <v>0.15</v>
      </c>
      <c r="L823" s="39" t="n">
        <f aca="false">VLOOKUP(H823,'Product List'!$A$3:$D$18,4,FALSE())</f>
        <v>1560</v>
      </c>
      <c r="M823" s="39" t="n">
        <f aca="false">I823*J823*(1-K823)</f>
        <v>5097.45</v>
      </c>
      <c r="N823" s="39" t="n">
        <f aca="false">I823*L823</f>
        <v>4680</v>
      </c>
      <c r="O823" s="39" t="n">
        <f aca="false">M823-N823</f>
        <v>417.45</v>
      </c>
      <c r="P823" s="41" t="n">
        <f aca="false">IF(M823=0,0,O823/M823)</f>
        <v>0.0818938881205308</v>
      </c>
      <c r="Q823" s="37" t="str">
        <f aca="false">IF(K823=0,"No discount",IF(K823&lt;=0.1,"1-10%",IF(K823&lt;=0.2,"11-20%",IF(K823&lt;=0.3,"21-30%","Above 30%"))))</f>
        <v>11-20%</v>
      </c>
      <c r="R823" s="39" t="n">
        <f aca="false">I823*J823*MAX(0,K823-DiscountCap)</f>
        <v>0</v>
      </c>
    </row>
    <row r="824" customFormat="false" ht="15" hidden="false" customHeight="false" outlineLevel="0" collapsed="false">
      <c r="A824" s="37" t="s">
        <v>968</v>
      </c>
      <c r="B824" s="38" t="n">
        <v>45991</v>
      </c>
      <c r="C824" s="37" t="n">
        <f aca="false">MONTH(B824)</f>
        <v>11</v>
      </c>
      <c r="D824" s="37" t="s">
        <v>144</v>
      </c>
      <c r="E824" s="37" t="s">
        <v>45</v>
      </c>
      <c r="F824" s="37" t="s">
        <v>97</v>
      </c>
      <c r="G824" s="37" t="s">
        <v>90</v>
      </c>
      <c r="H824" s="37" t="s">
        <v>109</v>
      </c>
      <c r="I824" s="37" t="n">
        <v>1</v>
      </c>
      <c r="J824" s="39" t="n">
        <v>3499</v>
      </c>
      <c r="K824" s="40" t="n">
        <v>0</v>
      </c>
      <c r="L824" s="39" t="n">
        <f aca="false">VLOOKUP(H824,'Product List'!$A$3:$D$18,4,FALSE())</f>
        <v>2750</v>
      </c>
      <c r="M824" s="39" t="n">
        <f aca="false">I824*J824*(1-K824)</f>
        <v>3499</v>
      </c>
      <c r="N824" s="39" t="n">
        <f aca="false">I824*L824</f>
        <v>2750</v>
      </c>
      <c r="O824" s="39" t="n">
        <f aca="false">M824-N824</f>
        <v>749</v>
      </c>
      <c r="P824" s="41" t="n">
        <f aca="false">IF(M824=0,0,O824/M824)</f>
        <v>0.214061160331523</v>
      </c>
      <c r="Q824" s="37" t="str">
        <f aca="false">IF(K824=0,"No discount",IF(K824&lt;=0.1,"1-10%",IF(K824&lt;=0.2,"11-20%",IF(K824&lt;=0.3,"21-30%","Above 30%"))))</f>
        <v>No discount</v>
      </c>
      <c r="R824" s="39" t="n">
        <f aca="false">I824*J824*MAX(0,K824-DiscountCap)</f>
        <v>0</v>
      </c>
    </row>
    <row r="825" customFormat="false" ht="15" hidden="false" customHeight="false" outlineLevel="0" collapsed="false">
      <c r="A825" s="37" t="s">
        <v>969</v>
      </c>
      <c r="B825" s="38" t="n">
        <v>45983</v>
      </c>
      <c r="C825" s="37" t="n">
        <f aca="false">MONTH(B825)</f>
        <v>11</v>
      </c>
      <c r="D825" s="37" t="s">
        <v>166</v>
      </c>
      <c r="E825" s="37" t="s">
        <v>44</v>
      </c>
      <c r="F825" s="37" t="s">
        <v>96</v>
      </c>
      <c r="G825" s="37" t="s">
        <v>90</v>
      </c>
      <c r="H825" s="37" t="s">
        <v>109</v>
      </c>
      <c r="I825" s="37" t="n">
        <v>1</v>
      </c>
      <c r="J825" s="39" t="n">
        <v>3499</v>
      </c>
      <c r="K825" s="40" t="n">
        <v>0.2</v>
      </c>
      <c r="L825" s="39" t="n">
        <f aca="false">VLOOKUP(H825,'Product List'!$A$3:$D$18,4,FALSE())</f>
        <v>2750</v>
      </c>
      <c r="M825" s="39" t="n">
        <f aca="false">I825*J825*(1-K825)</f>
        <v>2799.2</v>
      </c>
      <c r="N825" s="39" t="n">
        <f aca="false">I825*L825</f>
        <v>2750</v>
      </c>
      <c r="O825" s="39" t="n">
        <f aca="false">M825-N825</f>
        <v>49.2000000000003</v>
      </c>
      <c r="P825" s="41" t="n">
        <f aca="false">IF(M825=0,0,O825/M825)</f>
        <v>0.0175764504144042</v>
      </c>
      <c r="Q825" s="37" t="str">
        <f aca="false">IF(K825=0,"No discount",IF(K825&lt;=0.1,"1-10%",IF(K825&lt;=0.2,"11-20%",IF(K825&lt;=0.3,"21-30%","Above 30%"))))</f>
        <v>11-20%</v>
      </c>
      <c r="R825" s="39" t="n">
        <f aca="false">I825*J825*MAX(0,K825-DiscountCap)</f>
        <v>0</v>
      </c>
    </row>
    <row r="826" customFormat="false" ht="15" hidden="false" customHeight="false" outlineLevel="0" collapsed="false">
      <c r="A826" s="37" t="s">
        <v>970</v>
      </c>
      <c r="B826" s="38" t="n">
        <v>45967</v>
      </c>
      <c r="C826" s="37" t="n">
        <f aca="false">MONTH(B826)</f>
        <v>11</v>
      </c>
      <c r="D826" s="37" t="s">
        <v>136</v>
      </c>
      <c r="E826" s="37" t="s">
        <v>47</v>
      </c>
      <c r="F826" s="37" t="s">
        <v>97</v>
      </c>
      <c r="G826" s="37" t="s">
        <v>93</v>
      </c>
      <c r="H826" s="37" t="s">
        <v>123</v>
      </c>
      <c r="I826" s="37" t="n">
        <v>1</v>
      </c>
      <c r="J826" s="39" t="n">
        <v>1299</v>
      </c>
      <c r="K826" s="40" t="n">
        <v>0</v>
      </c>
      <c r="L826" s="39" t="n">
        <f aca="false">VLOOKUP(H826,'Product List'!$A$3:$D$18,4,FALSE())</f>
        <v>700</v>
      </c>
      <c r="M826" s="39" t="n">
        <f aca="false">I826*J826*(1-K826)</f>
        <v>1299</v>
      </c>
      <c r="N826" s="39" t="n">
        <f aca="false">I826*L826</f>
        <v>700</v>
      </c>
      <c r="O826" s="39" t="n">
        <f aca="false">M826-N826</f>
        <v>599</v>
      </c>
      <c r="P826" s="41" t="n">
        <f aca="false">IF(M826=0,0,O826/M826)</f>
        <v>0.461123941493457</v>
      </c>
      <c r="Q826" s="37" t="str">
        <f aca="false">IF(K826=0,"No discount",IF(K826&lt;=0.1,"1-10%",IF(K826&lt;=0.2,"11-20%",IF(K826&lt;=0.3,"21-30%","Above 30%"))))</f>
        <v>No discount</v>
      </c>
      <c r="R826" s="39" t="n">
        <f aca="false">I826*J826*MAX(0,K826-DiscountCap)</f>
        <v>0</v>
      </c>
    </row>
    <row r="827" customFormat="false" ht="15" hidden="false" customHeight="false" outlineLevel="0" collapsed="false">
      <c r="A827" s="37" t="s">
        <v>971</v>
      </c>
      <c r="B827" s="38" t="n">
        <v>45964</v>
      </c>
      <c r="C827" s="37" t="n">
        <f aca="false">MONTH(B827)</f>
        <v>11</v>
      </c>
      <c r="D827" s="37" t="s">
        <v>166</v>
      </c>
      <c r="E827" s="37" t="s">
        <v>44</v>
      </c>
      <c r="F827" s="37" t="s">
        <v>96</v>
      </c>
      <c r="G827" s="37" t="s">
        <v>90</v>
      </c>
      <c r="H827" s="37" t="s">
        <v>111</v>
      </c>
      <c r="I827" s="37" t="n">
        <v>1</v>
      </c>
      <c r="J827" s="39" t="n">
        <v>2499</v>
      </c>
      <c r="K827" s="40" t="n">
        <v>0.15</v>
      </c>
      <c r="L827" s="39" t="n">
        <f aca="false">VLOOKUP(H827,'Product List'!$A$3:$D$18,4,FALSE())</f>
        <v>1950</v>
      </c>
      <c r="M827" s="39" t="n">
        <f aca="false">I827*J827*(1-K827)</f>
        <v>2124.15</v>
      </c>
      <c r="N827" s="39" t="n">
        <f aca="false">I827*L827</f>
        <v>1950</v>
      </c>
      <c r="O827" s="39" t="n">
        <f aca="false">M827-N827</f>
        <v>174.15</v>
      </c>
      <c r="P827" s="41" t="n">
        <f aca="false">IF(M827=0,0,O827/M827)</f>
        <v>0.0819857354706589</v>
      </c>
      <c r="Q827" s="37" t="str">
        <f aca="false">IF(K827=0,"No discount",IF(K827&lt;=0.1,"1-10%",IF(K827&lt;=0.2,"11-20%",IF(K827&lt;=0.3,"21-30%","Above 30%"))))</f>
        <v>11-20%</v>
      </c>
      <c r="R827" s="39" t="n">
        <f aca="false">I827*J827*MAX(0,K827-DiscountCap)</f>
        <v>0</v>
      </c>
    </row>
    <row r="828" customFormat="false" ht="15" hidden="false" customHeight="false" outlineLevel="0" collapsed="false">
      <c r="A828" s="37" t="s">
        <v>972</v>
      </c>
      <c r="B828" s="38" t="n">
        <v>45985</v>
      </c>
      <c r="C828" s="37" t="n">
        <f aca="false">MONTH(B828)</f>
        <v>11</v>
      </c>
      <c r="D828" s="37" t="s">
        <v>154</v>
      </c>
      <c r="E828" s="37" t="s">
        <v>47</v>
      </c>
      <c r="F828" s="37" t="s">
        <v>96</v>
      </c>
      <c r="G828" s="37" t="s">
        <v>93</v>
      </c>
      <c r="H828" s="37" t="s">
        <v>120</v>
      </c>
      <c r="I828" s="37" t="n">
        <v>1</v>
      </c>
      <c r="J828" s="39" t="n">
        <v>449</v>
      </c>
      <c r="K828" s="40" t="n">
        <v>0.3</v>
      </c>
      <c r="L828" s="39" t="n">
        <f aca="false">VLOOKUP(H828,'Product List'!$A$3:$D$18,4,FALSE())</f>
        <v>240</v>
      </c>
      <c r="M828" s="39" t="n">
        <f aca="false">I828*J828*(1-K828)</f>
        <v>314.3</v>
      </c>
      <c r="N828" s="39" t="n">
        <f aca="false">I828*L828</f>
        <v>240</v>
      </c>
      <c r="O828" s="39" t="n">
        <f aca="false">M828-N828</f>
        <v>74.3</v>
      </c>
      <c r="P828" s="41" t="n">
        <f aca="false">IF(M828=0,0,O828/M828)</f>
        <v>0.236398345529749</v>
      </c>
      <c r="Q828" s="37" t="str">
        <f aca="false">IF(K828=0,"No discount",IF(K828&lt;=0.1,"1-10%",IF(K828&lt;=0.2,"11-20%",IF(K828&lt;=0.3,"21-30%","Above 30%"))))</f>
        <v>21-30%</v>
      </c>
      <c r="R828" s="39" t="n">
        <f aca="false">I828*J828*MAX(0,K828-DiscountCap)</f>
        <v>44.9</v>
      </c>
    </row>
    <row r="829" customFormat="false" ht="15" hidden="false" customHeight="false" outlineLevel="0" collapsed="false">
      <c r="A829" s="37" t="s">
        <v>973</v>
      </c>
      <c r="B829" s="38" t="n">
        <v>45989</v>
      </c>
      <c r="C829" s="37" t="n">
        <f aca="false">MONTH(B829)</f>
        <v>11</v>
      </c>
      <c r="D829" s="37" t="s">
        <v>146</v>
      </c>
      <c r="E829" s="37" t="s">
        <v>45</v>
      </c>
      <c r="F829" s="37" t="s">
        <v>96</v>
      </c>
      <c r="G829" s="37" t="s">
        <v>93</v>
      </c>
      <c r="H829" s="37" t="s">
        <v>122</v>
      </c>
      <c r="I829" s="37" t="n">
        <v>1</v>
      </c>
      <c r="J829" s="39" t="n">
        <v>1799</v>
      </c>
      <c r="K829" s="40" t="n">
        <v>0.1</v>
      </c>
      <c r="L829" s="39" t="n">
        <f aca="false">VLOOKUP(H829,'Product List'!$A$3:$D$18,4,FALSE())</f>
        <v>1250</v>
      </c>
      <c r="M829" s="39" t="n">
        <f aca="false">I829*J829*(1-K829)</f>
        <v>1619.1</v>
      </c>
      <c r="N829" s="39" t="n">
        <f aca="false">I829*L829</f>
        <v>1250</v>
      </c>
      <c r="O829" s="39" t="n">
        <f aca="false">M829-N829</f>
        <v>369.1</v>
      </c>
      <c r="P829" s="41" t="n">
        <f aca="false">IF(M829=0,0,O829/M829)</f>
        <v>0.227966154036193</v>
      </c>
      <c r="Q829" s="37" t="str">
        <f aca="false">IF(K829=0,"No discount",IF(K829&lt;=0.1,"1-10%",IF(K829&lt;=0.2,"11-20%",IF(K829&lt;=0.3,"21-30%","Above 30%"))))</f>
        <v>1-10%</v>
      </c>
      <c r="R829" s="39" t="n">
        <f aca="false">I829*J829*MAX(0,K829-DiscountCap)</f>
        <v>0</v>
      </c>
    </row>
    <row r="830" customFormat="false" ht="15" hidden="false" customHeight="false" outlineLevel="0" collapsed="false">
      <c r="A830" s="37" t="s">
        <v>974</v>
      </c>
      <c r="B830" s="38" t="n">
        <v>45986</v>
      </c>
      <c r="C830" s="37" t="n">
        <f aca="false">MONTH(B830)</f>
        <v>11</v>
      </c>
      <c r="D830" s="37" t="s">
        <v>160</v>
      </c>
      <c r="E830" s="37" t="s">
        <v>46</v>
      </c>
      <c r="F830" s="37" t="s">
        <v>96</v>
      </c>
      <c r="G830" s="37" t="s">
        <v>90</v>
      </c>
      <c r="H830" s="37" t="s">
        <v>108</v>
      </c>
      <c r="I830" s="37" t="n">
        <v>1</v>
      </c>
      <c r="J830" s="39" t="n">
        <v>1999</v>
      </c>
      <c r="K830" s="40" t="n">
        <v>0.15</v>
      </c>
      <c r="L830" s="39" t="n">
        <f aca="false">VLOOKUP(H830,'Product List'!$A$3:$D$18,4,FALSE())</f>
        <v>1560</v>
      </c>
      <c r="M830" s="39" t="n">
        <f aca="false">I830*J830*(1-K830)</f>
        <v>1699.15</v>
      </c>
      <c r="N830" s="39" t="n">
        <f aca="false">I830*L830</f>
        <v>1560</v>
      </c>
      <c r="O830" s="39" t="n">
        <f aca="false">M830-N830</f>
        <v>139.15</v>
      </c>
      <c r="P830" s="41" t="n">
        <f aca="false">IF(M830=0,0,O830/M830)</f>
        <v>0.0818938881205308</v>
      </c>
      <c r="Q830" s="37" t="str">
        <f aca="false">IF(K830=0,"No discount",IF(K830&lt;=0.1,"1-10%",IF(K830&lt;=0.2,"11-20%",IF(K830&lt;=0.3,"21-30%","Above 30%"))))</f>
        <v>11-20%</v>
      </c>
      <c r="R830" s="39" t="n">
        <f aca="false">I830*J830*MAX(0,K830-DiscountCap)</f>
        <v>0</v>
      </c>
    </row>
    <row r="831" customFormat="false" ht="15" hidden="false" customHeight="false" outlineLevel="0" collapsed="false">
      <c r="A831" s="37" t="s">
        <v>975</v>
      </c>
      <c r="B831" s="38" t="n">
        <v>45983</v>
      </c>
      <c r="C831" s="37" t="n">
        <f aca="false">MONTH(B831)</f>
        <v>11</v>
      </c>
      <c r="D831" s="37" t="s">
        <v>140</v>
      </c>
      <c r="E831" s="37" t="s">
        <v>44</v>
      </c>
      <c r="F831" s="37" t="s">
        <v>96</v>
      </c>
      <c r="G831" s="37" t="s">
        <v>93</v>
      </c>
      <c r="H831" s="37" t="s">
        <v>121</v>
      </c>
      <c r="I831" s="37" t="n">
        <v>1</v>
      </c>
      <c r="J831" s="39" t="n">
        <v>999</v>
      </c>
      <c r="K831" s="40" t="n">
        <v>0.05</v>
      </c>
      <c r="L831" s="39" t="n">
        <f aca="false">VLOOKUP(H831,'Product List'!$A$3:$D$18,4,FALSE())</f>
        <v>500</v>
      </c>
      <c r="M831" s="39" t="n">
        <f aca="false">I831*J831*(1-K831)</f>
        <v>949.05</v>
      </c>
      <c r="N831" s="39" t="n">
        <f aca="false">I831*L831</f>
        <v>500</v>
      </c>
      <c r="O831" s="39" t="n">
        <f aca="false">M831-N831</f>
        <v>449.05</v>
      </c>
      <c r="P831" s="41" t="n">
        <f aca="false">IF(M831=0,0,O831/M831)</f>
        <v>0.47315736789421</v>
      </c>
      <c r="Q831" s="37" t="str">
        <f aca="false">IF(K831=0,"No discount",IF(K831&lt;=0.1,"1-10%",IF(K831&lt;=0.2,"11-20%",IF(K831&lt;=0.3,"21-30%","Above 30%"))))</f>
        <v>1-10%</v>
      </c>
      <c r="R831" s="39" t="n">
        <f aca="false">I831*J831*MAX(0,K831-DiscountCap)</f>
        <v>0</v>
      </c>
    </row>
    <row r="832" customFormat="false" ht="15" hidden="false" customHeight="false" outlineLevel="0" collapsed="false">
      <c r="A832" s="37" t="s">
        <v>976</v>
      </c>
      <c r="B832" s="38" t="n">
        <v>45962</v>
      </c>
      <c r="C832" s="37" t="n">
        <f aca="false">MONTH(B832)</f>
        <v>11</v>
      </c>
      <c r="D832" s="37" t="s">
        <v>146</v>
      </c>
      <c r="E832" s="37" t="s">
        <v>45</v>
      </c>
      <c r="F832" s="37" t="s">
        <v>96</v>
      </c>
      <c r="G832" s="37" t="s">
        <v>91</v>
      </c>
      <c r="H832" s="37" t="s">
        <v>117</v>
      </c>
      <c r="I832" s="37" t="n">
        <v>2</v>
      </c>
      <c r="J832" s="39" t="n">
        <v>1499</v>
      </c>
      <c r="K832" s="40" t="n">
        <v>0.1</v>
      </c>
      <c r="L832" s="39" t="n">
        <f aca="false">VLOOKUP(H832,'Product List'!$A$3:$D$18,4,FALSE())</f>
        <v>780</v>
      </c>
      <c r="M832" s="39" t="n">
        <f aca="false">I832*J832*(1-K832)</f>
        <v>2698.2</v>
      </c>
      <c r="N832" s="39" t="n">
        <f aca="false">I832*L832</f>
        <v>1560</v>
      </c>
      <c r="O832" s="39" t="n">
        <f aca="false">M832-N832</f>
        <v>1138.2</v>
      </c>
      <c r="P832" s="41" t="n">
        <f aca="false">IF(M832=0,0,O832/M832)</f>
        <v>0.421836780075606</v>
      </c>
      <c r="Q832" s="37" t="str">
        <f aca="false">IF(K832=0,"No discount",IF(K832&lt;=0.1,"1-10%",IF(K832&lt;=0.2,"11-20%",IF(K832&lt;=0.3,"21-30%","Above 30%"))))</f>
        <v>1-10%</v>
      </c>
      <c r="R832" s="39" t="n">
        <f aca="false">I832*J832*MAX(0,K832-DiscountCap)</f>
        <v>0</v>
      </c>
    </row>
    <row r="833" customFormat="false" ht="15" hidden="false" customHeight="false" outlineLevel="0" collapsed="false">
      <c r="A833" s="37" t="s">
        <v>977</v>
      </c>
      <c r="B833" s="38" t="n">
        <v>45974</v>
      </c>
      <c r="C833" s="37" t="n">
        <f aca="false">MONTH(B833)</f>
        <v>11</v>
      </c>
      <c r="D833" s="37" t="s">
        <v>146</v>
      </c>
      <c r="E833" s="37" t="s">
        <v>45</v>
      </c>
      <c r="F833" s="37" t="s">
        <v>97</v>
      </c>
      <c r="G833" s="37" t="s">
        <v>90</v>
      </c>
      <c r="H833" s="37" t="s">
        <v>108</v>
      </c>
      <c r="I833" s="37" t="n">
        <v>2</v>
      </c>
      <c r="J833" s="39" t="n">
        <v>1999</v>
      </c>
      <c r="K833" s="40" t="n">
        <v>0.05</v>
      </c>
      <c r="L833" s="39" t="n">
        <f aca="false">VLOOKUP(H833,'Product List'!$A$3:$D$18,4,FALSE())</f>
        <v>1560</v>
      </c>
      <c r="M833" s="39" t="n">
        <f aca="false">I833*J833*(1-K833)</f>
        <v>3798.1</v>
      </c>
      <c r="N833" s="39" t="n">
        <f aca="false">I833*L833</f>
        <v>3120</v>
      </c>
      <c r="O833" s="39" t="n">
        <f aca="false">M833-N833</f>
        <v>678.1</v>
      </c>
      <c r="P833" s="41" t="n">
        <f aca="false">IF(M833=0,0,O833/M833)</f>
        <v>0.178536636739422</v>
      </c>
      <c r="Q833" s="37" t="str">
        <f aca="false">IF(K833=0,"No discount",IF(K833&lt;=0.1,"1-10%",IF(K833&lt;=0.2,"11-20%",IF(K833&lt;=0.3,"21-30%","Above 30%"))))</f>
        <v>1-10%</v>
      </c>
      <c r="R833" s="39" t="n">
        <f aca="false">I833*J833*MAX(0,K833-DiscountCap)</f>
        <v>0</v>
      </c>
    </row>
    <row r="834" customFormat="false" ht="15" hidden="false" customHeight="false" outlineLevel="0" collapsed="false">
      <c r="A834" s="37" t="s">
        <v>978</v>
      </c>
      <c r="B834" s="38" t="n">
        <v>45965</v>
      </c>
      <c r="C834" s="37" t="n">
        <f aca="false">MONTH(B834)</f>
        <v>11</v>
      </c>
      <c r="D834" s="37" t="s">
        <v>136</v>
      </c>
      <c r="E834" s="37" t="s">
        <v>47</v>
      </c>
      <c r="F834" s="37" t="s">
        <v>96</v>
      </c>
      <c r="G834" s="37" t="s">
        <v>93</v>
      </c>
      <c r="H834" s="37" t="s">
        <v>122</v>
      </c>
      <c r="I834" s="37" t="n">
        <v>2</v>
      </c>
      <c r="J834" s="39" t="n">
        <v>1799</v>
      </c>
      <c r="K834" s="40" t="n">
        <v>0.15</v>
      </c>
      <c r="L834" s="39" t="n">
        <f aca="false">VLOOKUP(H834,'Product List'!$A$3:$D$18,4,FALSE())</f>
        <v>1250</v>
      </c>
      <c r="M834" s="39" t="n">
        <f aca="false">I834*J834*(1-K834)</f>
        <v>3058.3</v>
      </c>
      <c r="N834" s="39" t="n">
        <f aca="false">I834*L834</f>
        <v>2500</v>
      </c>
      <c r="O834" s="39" t="n">
        <f aca="false">M834-N834</f>
        <v>558.3</v>
      </c>
      <c r="P834" s="41" t="n">
        <f aca="false">IF(M834=0,0,O834/M834)</f>
        <v>0.182552398391263</v>
      </c>
      <c r="Q834" s="37" t="str">
        <f aca="false">IF(K834=0,"No discount",IF(K834&lt;=0.1,"1-10%",IF(K834&lt;=0.2,"11-20%",IF(K834&lt;=0.3,"21-30%","Above 30%"))))</f>
        <v>11-20%</v>
      </c>
      <c r="R834" s="39" t="n">
        <f aca="false">I834*J834*MAX(0,K834-DiscountCap)</f>
        <v>0</v>
      </c>
    </row>
    <row r="835" customFormat="false" ht="15" hidden="false" customHeight="false" outlineLevel="0" collapsed="false">
      <c r="A835" s="37" t="s">
        <v>979</v>
      </c>
      <c r="B835" s="38" t="n">
        <v>45971</v>
      </c>
      <c r="C835" s="37" t="n">
        <f aca="false">MONTH(B835)</f>
        <v>11</v>
      </c>
      <c r="D835" s="37" t="s">
        <v>136</v>
      </c>
      <c r="E835" s="37" t="s">
        <v>47</v>
      </c>
      <c r="F835" s="37" t="s">
        <v>96</v>
      </c>
      <c r="G835" s="37" t="s">
        <v>90</v>
      </c>
      <c r="H835" s="37" t="s">
        <v>111</v>
      </c>
      <c r="I835" s="37" t="n">
        <v>1</v>
      </c>
      <c r="J835" s="39" t="n">
        <v>2499</v>
      </c>
      <c r="K835" s="40" t="n">
        <v>0.25</v>
      </c>
      <c r="L835" s="39" t="n">
        <f aca="false">VLOOKUP(H835,'Product List'!$A$3:$D$18,4,FALSE())</f>
        <v>1950</v>
      </c>
      <c r="M835" s="39" t="n">
        <f aca="false">I835*J835*(1-K835)</f>
        <v>1874.25</v>
      </c>
      <c r="N835" s="39" t="n">
        <f aca="false">I835*L835</f>
        <v>1950</v>
      </c>
      <c r="O835" s="39" t="n">
        <f aca="false">M835-N835</f>
        <v>-75.75</v>
      </c>
      <c r="P835" s="41" t="n">
        <f aca="false">IF(M835=0,0,O835/M835)</f>
        <v>-0.0404161664665866</v>
      </c>
      <c r="Q835" s="37" t="str">
        <f aca="false">IF(K835=0,"No discount",IF(K835&lt;=0.1,"1-10%",IF(K835&lt;=0.2,"11-20%",IF(K835&lt;=0.3,"21-30%","Above 30%"))))</f>
        <v>21-30%</v>
      </c>
      <c r="R835" s="39" t="n">
        <f aca="false">I835*J835*MAX(0,K835-DiscountCap)</f>
        <v>124.95</v>
      </c>
    </row>
    <row r="836" customFormat="false" ht="15" hidden="false" customHeight="false" outlineLevel="0" collapsed="false">
      <c r="A836" s="37" t="s">
        <v>980</v>
      </c>
      <c r="B836" s="38" t="n">
        <v>45973</v>
      </c>
      <c r="C836" s="37" t="n">
        <f aca="false">MONTH(B836)</f>
        <v>11</v>
      </c>
      <c r="D836" s="37" t="s">
        <v>146</v>
      </c>
      <c r="E836" s="37" t="s">
        <v>45</v>
      </c>
      <c r="F836" s="37" t="s">
        <v>97</v>
      </c>
      <c r="G836" s="37" t="s">
        <v>92</v>
      </c>
      <c r="H836" s="37" t="s">
        <v>112</v>
      </c>
      <c r="I836" s="37" t="n">
        <v>1</v>
      </c>
      <c r="J836" s="39" t="n">
        <v>3299</v>
      </c>
      <c r="K836" s="40" t="n">
        <v>0.05</v>
      </c>
      <c r="L836" s="39" t="n">
        <f aca="false">VLOOKUP(H836,'Product List'!$A$3:$D$18,4,FALSE())</f>
        <v>2250</v>
      </c>
      <c r="M836" s="39" t="n">
        <f aca="false">I836*J836*(1-K836)</f>
        <v>3134.05</v>
      </c>
      <c r="N836" s="39" t="n">
        <f aca="false">I836*L836</f>
        <v>2250</v>
      </c>
      <c r="O836" s="39" t="n">
        <f aca="false">M836-N836</f>
        <v>884.05</v>
      </c>
      <c r="P836" s="41" t="n">
        <f aca="false">IF(M836=0,0,O836/M836)</f>
        <v>0.2820790989295</v>
      </c>
      <c r="Q836" s="37" t="str">
        <f aca="false">IF(K836=0,"No discount",IF(K836&lt;=0.1,"1-10%",IF(K836&lt;=0.2,"11-20%",IF(K836&lt;=0.3,"21-30%","Above 30%"))))</f>
        <v>1-10%</v>
      </c>
      <c r="R836" s="39" t="n">
        <f aca="false">I836*J836*MAX(0,K836-DiscountCap)</f>
        <v>0</v>
      </c>
    </row>
    <row r="837" customFormat="false" ht="15" hidden="false" customHeight="false" outlineLevel="0" collapsed="false">
      <c r="A837" s="37" t="s">
        <v>981</v>
      </c>
      <c r="B837" s="38" t="n">
        <v>45977</v>
      </c>
      <c r="C837" s="37" t="n">
        <f aca="false">MONTH(B837)</f>
        <v>11</v>
      </c>
      <c r="D837" s="37" t="s">
        <v>144</v>
      </c>
      <c r="E837" s="37" t="s">
        <v>45</v>
      </c>
      <c r="F837" s="37" t="s">
        <v>96</v>
      </c>
      <c r="G837" s="37" t="s">
        <v>93</v>
      </c>
      <c r="H837" s="37" t="s">
        <v>122</v>
      </c>
      <c r="I837" s="37" t="n">
        <v>3</v>
      </c>
      <c r="J837" s="39" t="n">
        <v>1799</v>
      </c>
      <c r="K837" s="40" t="n">
        <v>0.2</v>
      </c>
      <c r="L837" s="39" t="n">
        <f aca="false">VLOOKUP(H837,'Product List'!$A$3:$D$18,4,FALSE())</f>
        <v>1250</v>
      </c>
      <c r="M837" s="39" t="n">
        <f aca="false">I837*J837*(1-K837)</f>
        <v>4317.6</v>
      </c>
      <c r="N837" s="39" t="n">
        <f aca="false">I837*L837</f>
        <v>3750</v>
      </c>
      <c r="O837" s="39" t="n">
        <f aca="false">M837-N837</f>
        <v>567.6</v>
      </c>
      <c r="P837" s="41" t="n">
        <f aca="false">IF(M837=0,0,O837/M837)</f>
        <v>0.131461923290717</v>
      </c>
      <c r="Q837" s="37" t="str">
        <f aca="false">IF(K837=0,"No discount",IF(K837&lt;=0.1,"1-10%",IF(K837&lt;=0.2,"11-20%",IF(K837&lt;=0.3,"21-30%","Above 30%"))))</f>
        <v>11-20%</v>
      </c>
      <c r="R837" s="39" t="n">
        <f aca="false">I837*J837*MAX(0,K837-DiscountCap)</f>
        <v>0</v>
      </c>
    </row>
    <row r="838" customFormat="false" ht="15" hidden="false" customHeight="false" outlineLevel="0" collapsed="false">
      <c r="A838" s="37" t="s">
        <v>982</v>
      </c>
      <c r="B838" s="38" t="n">
        <v>45962</v>
      </c>
      <c r="C838" s="37" t="n">
        <f aca="false">MONTH(B838)</f>
        <v>11</v>
      </c>
      <c r="D838" s="37" t="s">
        <v>169</v>
      </c>
      <c r="E838" s="37" t="s">
        <v>44</v>
      </c>
      <c r="F838" s="37" t="s">
        <v>96</v>
      </c>
      <c r="G838" s="37" t="s">
        <v>90</v>
      </c>
      <c r="H838" s="37" t="s">
        <v>108</v>
      </c>
      <c r="I838" s="37" t="n">
        <v>1</v>
      </c>
      <c r="J838" s="39" t="n">
        <v>1999</v>
      </c>
      <c r="K838" s="40" t="n">
        <v>0.2</v>
      </c>
      <c r="L838" s="39" t="n">
        <f aca="false">VLOOKUP(H838,'Product List'!$A$3:$D$18,4,FALSE())</f>
        <v>1560</v>
      </c>
      <c r="M838" s="39" t="n">
        <f aca="false">I838*J838*(1-K838)</f>
        <v>1599.2</v>
      </c>
      <c r="N838" s="39" t="n">
        <f aca="false">I838*L838</f>
        <v>1560</v>
      </c>
      <c r="O838" s="39" t="n">
        <f aca="false">M838-N838</f>
        <v>39.2</v>
      </c>
      <c r="P838" s="41" t="n">
        <f aca="false">IF(M838=0,0,O838/M838)</f>
        <v>0.0245122561280641</v>
      </c>
      <c r="Q838" s="37" t="str">
        <f aca="false">IF(K838=0,"No discount",IF(K838&lt;=0.1,"1-10%",IF(K838&lt;=0.2,"11-20%",IF(K838&lt;=0.3,"21-30%","Above 30%"))))</f>
        <v>11-20%</v>
      </c>
      <c r="R838" s="39" t="n">
        <f aca="false">I838*J838*MAX(0,K838-DiscountCap)</f>
        <v>0</v>
      </c>
    </row>
    <row r="839" customFormat="false" ht="15" hidden="false" customHeight="false" outlineLevel="0" collapsed="false">
      <c r="A839" s="37" t="s">
        <v>983</v>
      </c>
      <c r="B839" s="38" t="n">
        <v>45981</v>
      </c>
      <c r="C839" s="37" t="n">
        <f aca="false">MONTH(B839)</f>
        <v>11</v>
      </c>
      <c r="D839" s="37" t="s">
        <v>169</v>
      </c>
      <c r="E839" s="37" t="s">
        <v>44</v>
      </c>
      <c r="F839" s="37" t="s">
        <v>97</v>
      </c>
      <c r="G839" s="37" t="s">
        <v>90</v>
      </c>
      <c r="H839" s="37" t="s">
        <v>111</v>
      </c>
      <c r="I839" s="37" t="n">
        <v>1</v>
      </c>
      <c r="J839" s="39" t="n">
        <v>2499</v>
      </c>
      <c r="K839" s="40" t="n">
        <v>0.25</v>
      </c>
      <c r="L839" s="39" t="n">
        <f aca="false">VLOOKUP(H839,'Product List'!$A$3:$D$18,4,FALSE())</f>
        <v>1950</v>
      </c>
      <c r="M839" s="39" t="n">
        <f aca="false">I839*J839*(1-K839)</f>
        <v>1874.25</v>
      </c>
      <c r="N839" s="39" t="n">
        <f aca="false">I839*L839</f>
        <v>1950</v>
      </c>
      <c r="O839" s="39" t="n">
        <f aca="false">M839-N839</f>
        <v>-75.75</v>
      </c>
      <c r="P839" s="41" t="n">
        <f aca="false">IF(M839=0,0,O839/M839)</f>
        <v>-0.0404161664665866</v>
      </c>
      <c r="Q839" s="37" t="str">
        <f aca="false">IF(K839=0,"No discount",IF(K839&lt;=0.1,"1-10%",IF(K839&lt;=0.2,"11-20%",IF(K839&lt;=0.3,"21-30%","Above 30%"))))</f>
        <v>21-30%</v>
      </c>
      <c r="R839" s="39" t="n">
        <f aca="false">I839*J839*MAX(0,K839-DiscountCap)</f>
        <v>124.95</v>
      </c>
    </row>
    <row r="840" customFormat="false" ht="15" hidden="false" customHeight="false" outlineLevel="0" collapsed="false">
      <c r="A840" s="37" t="s">
        <v>984</v>
      </c>
      <c r="B840" s="38" t="n">
        <v>45970</v>
      </c>
      <c r="C840" s="37" t="n">
        <f aca="false">MONTH(B840)</f>
        <v>11</v>
      </c>
      <c r="D840" s="37" t="s">
        <v>169</v>
      </c>
      <c r="E840" s="37" t="s">
        <v>44</v>
      </c>
      <c r="F840" s="37" t="s">
        <v>96</v>
      </c>
      <c r="G840" s="37" t="s">
        <v>92</v>
      </c>
      <c r="H840" s="37" t="s">
        <v>112</v>
      </c>
      <c r="I840" s="37" t="n">
        <v>1</v>
      </c>
      <c r="J840" s="39" t="n">
        <v>3299</v>
      </c>
      <c r="K840" s="40" t="n">
        <v>0.1</v>
      </c>
      <c r="L840" s="39" t="n">
        <f aca="false">VLOOKUP(H840,'Product List'!$A$3:$D$18,4,FALSE())</f>
        <v>2250</v>
      </c>
      <c r="M840" s="39" t="n">
        <f aca="false">I840*J840*(1-K840)</f>
        <v>2969.1</v>
      </c>
      <c r="N840" s="39" t="n">
        <f aca="false">I840*L840</f>
        <v>2250</v>
      </c>
      <c r="O840" s="39" t="n">
        <f aca="false">M840-N840</f>
        <v>719.1</v>
      </c>
      <c r="P840" s="41" t="n">
        <f aca="false">IF(M840=0,0,O840/M840)</f>
        <v>0.242194604425584</v>
      </c>
      <c r="Q840" s="37" t="str">
        <f aca="false">IF(K840=0,"No discount",IF(K840&lt;=0.1,"1-10%",IF(K840&lt;=0.2,"11-20%",IF(K840&lt;=0.3,"21-30%","Above 30%"))))</f>
        <v>1-10%</v>
      </c>
      <c r="R840" s="39" t="n">
        <f aca="false">I840*J840*MAX(0,K840-DiscountCap)</f>
        <v>0</v>
      </c>
    </row>
    <row r="841" customFormat="false" ht="15" hidden="false" customHeight="false" outlineLevel="0" collapsed="false">
      <c r="A841" s="37" t="s">
        <v>985</v>
      </c>
      <c r="B841" s="38" t="n">
        <v>45979</v>
      </c>
      <c r="C841" s="37" t="n">
        <f aca="false">MONTH(B841)</f>
        <v>11</v>
      </c>
      <c r="D841" s="37" t="s">
        <v>146</v>
      </c>
      <c r="E841" s="37" t="s">
        <v>45</v>
      </c>
      <c r="F841" s="37" t="s">
        <v>97</v>
      </c>
      <c r="G841" s="37" t="s">
        <v>93</v>
      </c>
      <c r="H841" s="37" t="s">
        <v>122</v>
      </c>
      <c r="I841" s="37" t="n">
        <v>1</v>
      </c>
      <c r="J841" s="39" t="n">
        <v>1799</v>
      </c>
      <c r="K841" s="40" t="n">
        <v>0.05</v>
      </c>
      <c r="L841" s="39" t="n">
        <f aca="false">VLOOKUP(H841,'Product List'!$A$3:$D$18,4,FALSE())</f>
        <v>1250</v>
      </c>
      <c r="M841" s="39" t="n">
        <f aca="false">I841*J841*(1-K841)</f>
        <v>1709.05</v>
      </c>
      <c r="N841" s="39" t="n">
        <f aca="false">I841*L841</f>
        <v>1250</v>
      </c>
      <c r="O841" s="39" t="n">
        <f aca="false">M841-N841</f>
        <v>459.05</v>
      </c>
      <c r="P841" s="41" t="n">
        <f aca="false">IF(M841=0,0,O841/M841)</f>
        <v>0.268599514350078</v>
      </c>
      <c r="Q841" s="37" t="str">
        <f aca="false">IF(K841=0,"No discount",IF(K841&lt;=0.1,"1-10%",IF(K841&lt;=0.2,"11-20%",IF(K841&lt;=0.3,"21-30%","Above 30%"))))</f>
        <v>1-10%</v>
      </c>
      <c r="R841" s="39" t="n">
        <f aca="false">I841*J841*MAX(0,K841-DiscountCap)</f>
        <v>0</v>
      </c>
    </row>
    <row r="842" customFormat="false" ht="15" hidden="false" customHeight="false" outlineLevel="0" collapsed="false">
      <c r="A842" s="37" t="s">
        <v>986</v>
      </c>
      <c r="B842" s="38" t="n">
        <v>45989</v>
      </c>
      <c r="C842" s="37" t="n">
        <f aca="false">MONTH(B842)</f>
        <v>11</v>
      </c>
      <c r="D842" s="37" t="s">
        <v>140</v>
      </c>
      <c r="E842" s="37" t="s">
        <v>44</v>
      </c>
      <c r="F842" s="37" t="s">
        <v>97</v>
      </c>
      <c r="G842" s="37" t="s">
        <v>93</v>
      </c>
      <c r="H842" s="37" t="s">
        <v>122</v>
      </c>
      <c r="I842" s="37" t="n">
        <v>1</v>
      </c>
      <c r="J842" s="39" t="n">
        <v>1799</v>
      </c>
      <c r="K842" s="40" t="n">
        <v>0.25</v>
      </c>
      <c r="L842" s="39" t="n">
        <f aca="false">VLOOKUP(H842,'Product List'!$A$3:$D$18,4,FALSE())</f>
        <v>1250</v>
      </c>
      <c r="M842" s="39" t="n">
        <f aca="false">I842*J842*(1-K842)</f>
        <v>1349.25</v>
      </c>
      <c r="N842" s="39" t="n">
        <f aca="false">I842*L842</f>
        <v>1250</v>
      </c>
      <c r="O842" s="39" t="n">
        <f aca="false">M842-N842</f>
        <v>99.25</v>
      </c>
      <c r="P842" s="41" t="n">
        <f aca="false">IF(M842=0,0,O842/M842)</f>
        <v>0.0735593848434315</v>
      </c>
      <c r="Q842" s="37" t="str">
        <f aca="false">IF(K842=0,"No discount",IF(K842&lt;=0.1,"1-10%",IF(K842&lt;=0.2,"11-20%",IF(K842&lt;=0.3,"21-30%","Above 30%"))))</f>
        <v>21-30%</v>
      </c>
      <c r="R842" s="39" t="n">
        <f aca="false">I842*J842*MAX(0,K842-DiscountCap)</f>
        <v>89.95</v>
      </c>
    </row>
    <row r="843" customFormat="false" ht="15" hidden="false" customHeight="false" outlineLevel="0" collapsed="false">
      <c r="A843" s="37" t="s">
        <v>987</v>
      </c>
      <c r="B843" s="38" t="n">
        <v>45972</v>
      </c>
      <c r="C843" s="37" t="n">
        <f aca="false">MONTH(B843)</f>
        <v>11</v>
      </c>
      <c r="D843" s="37" t="s">
        <v>136</v>
      </c>
      <c r="E843" s="37" t="s">
        <v>47</v>
      </c>
      <c r="F843" s="37" t="s">
        <v>96</v>
      </c>
      <c r="G843" s="37" t="s">
        <v>90</v>
      </c>
      <c r="H843" s="37" t="s">
        <v>110</v>
      </c>
      <c r="I843" s="37" t="n">
        <v>1</v>
      </c>
      <c r="J843" s="39" t="n">
        <v>1299</v>
      </c>
      <c r="K843" s="40" t="n">
        <v>0.2</v>
      </c>
      <c r="L843" s="39" t="n">
        <f aca="false">VLOOKUP(H843,'Product List'!$A$3:$D$18,4,FALSE())</f>
        <v>1000</v>
      </c>
      <c r="M843" s="39" t="n">
        <f aca="false">I843*J843*(1-K843)</f>
        <v>1039.2</v>
      </c>
      <c r="N843" s="39" t="n">
        <f aca="false">I843*L843</f>
        <v>1000</v>
      </c>
      <c r="O843" s="39" t="n">
        <f aca="false">M843-N843</f>
        <v>39.2</v>
      </c>
      <c r="P843" s="41" t="n">
        <f aca="false">IF(M843=0,0,O843/M843)</f>
        <v>0.0377213240954581</v>
      </c>
      <c r="Q843" s="37" t="str">
        <f aca="false">IF(K843=0,"No discount",IF(K843&lt;=0.1,"1-10%",IF(K843&lt;=0.2,"11-20%",IF(K843&lt;=0.3,"21-30%","Above 30%"))))</f>
        <v>11-20%</v>
      </c>
      <c r="R843" s="39" t="n">
        <f aca="false">I843*J843*MAX(0,K843-DiscountCap)</f>
        <v>0</v>
      </c>
    </row>
    <row r="844" customFormat="false" ht="15" hidden="false" customHeight="false" outlineLevel="0" collapsed="false">
      <c r="A844" s="37" t="s">
        <v>988</v>
      </c>
      <c r="B844" s="38" t="n">
        <v>45973</v>
      </c>
      <c r="C844" s="37" t="n">
        <f aca="false">MONTH(B844)</f>
        <v>11</v>
      </c>
      <c r="D844" s="37" t="s">
        <v>169</v>
      </c>
      <c r="E844" s="37" t="s">
        <v>44</v>
      </c>
      <c r="F844" s="37" t="s">
        <v>96</v>
      </c>
      <c r="G844" s="37" t="s">
        <v>93</v>
      </c>
      <c r="H844" s="37" t="s">
        <v>122</v>
      </c>
      <c r="I844" s="37" t="n">
        <v>1</v>
      </c>
      <c r="J844" s="39" t="n">
        <v>1799</v>
      </c>
      <c r="K844" s="40" t="n">
        <v>0.1</v>
      </c>
      <c r="L844" s="39" t="n">
        <f aca="false">VLOOKUP(H844,'Product List'!$A$3:$D$18,4,FALSE())</f>
        <v>1250</v>
      </c>
      <c r="M844" s="39" t="n">
        <f aca="false">I844*J844*(1-K844)</f>
        <v>1619.1</v>
      </c>
      <c r="N844" s="39" t="n">
        <f aca="false">I844*L844</f>
        <v>1250</v>
      </c>
      <c r="O844" s="39" t="n">
        <f aca="false">M844-N844</f>
        <v>369.1</v>
      </c>
      <c r="P844" s="41" t="n">
        <f aca="false">IF(M844=0,0,O844/M844)</f>
        <v>0.227966154036193</v>
      </c>
      <c r="Q844" s="37" t="str">
        <f aca="false">IF(K844=0,"No discount",IF(K844&lt;=0.1,"1-10%",IF(K844&lt;=0.2,"11-20%",IF(K844&lt;=0.3,"21-30%","Above 30%"))))</f>
        <v>1-10%</v>
      </c>
      <c r="R844" s="39" t="n">
        <f aca="false">I844*J844*MAX(0,K844-DiscountCap)</f>
        <v>0</v>
      </c>
    </row>
    <row r="845" customFormat="false" ht="15" hidden="false" customHeight="false" outlineLevel="0" collapsed="false">
      <c r="A845" s="37" t="s">
        <v>989</v>
      </c>
      <c r="B845" s="38" t="n">
        <v>45970</v>
      </c>
      <c r="C845" s="37" t="n">
        <f aca="false">MONTH(B845)</f>
        <v>11</v>
      </c>
      <c r="D845" s="37" t="s">
        <v>146</v>
      </c>
      <c r="E845" s="37" t="s">
        <v>45</v>
      </c>
      <c r="F845" s="37" t="s">
        <v>97</v>
      </c>
      <c r="G845" s="37" t="s">
        <v>92</v>
      </c>
      <c r="H845" s="37" t="s">
        <v>113</v>
      </c>
      <c r="I845" s="37" t="n">
        <v>1</v>
      </c>
      <c r="J845" s="39" t="n">
        <v>2199</v>
      </c>
      <c r="K845" s="40" t="n">
        <v>0.1</v>
      </c>
      <c r="L845" s="39" t="n">
        <f aca="false">VLOOKUP(H845,'Product List'!$A$3:$D$18,4,FALSE())</f>
        <v>1400</v>
      </c>
      <c r="M845" s="39" t="n">
        <f aca="false">I845*J845*(1-K845)</f>
        <v>1979.1</v>
      </c>
      <c r="N845" s="39" t="n">
        <f aca="false">I845*L845</f>
        <v>1400</v>
      </c>
      <c r="O845" s="39" t="n">
        <f aca="false">M845-N845</f>
        <v>579.1</v>
      </c>
      <c r="P845" s="41" t="n">
        <f aca="false">IF(M845=0,0,O845/M845)</f>
        <v>0.292607750997928</v>
      </c>
      <c r="Q845" s="37" t="str">
        <f aca="false">IF(K845=0,"No discount",IF(K845&lt;=0.1,"1-10%",IF(K845&lt;=0.2,"11-20%",IF(K845&lt;=0.3,"21-30%","Above 30%"))))</f>
        <v>1-10%</v>
      </c>
      <c r="R845" s="39" t="n">
        <f aca="false">I845*J845*MAX(0,K845-DiscountCap)</f>
        <v>0</v>
      </c>
    </row>
    <row r="846" customFormat="false" ht="15" hidden="false" customHeight="false" outlineLevel="0" collapsed="false">
      <c r="A846" s="37" t="s">
        <v>990</v>
      </c>
      <c r="B846" s="38" t="n">
        <v>45972</v>
      </c>
      <c r="C846" s="37" t="n">
        <f aca="false">MONTH(B846)</f>
        <v>11</v>
      </c>
      <c r="D846" s="37" t="s">
        <v>134</v>
      </c>
      <c r="E846" s="37" t="s">
        <v>45</v>
      </c>
      <c r="F846" s="37" t="s">
        <v>96</v>
      </c>
      <c r="G846" s="37" t="s">
        <v>90</v>
      </c>
      <c r="H846" s="37" t="s">
        <v>109</v>
      </c>
      <c r="I846" s="37" t="n">
        <v>1</v>
      </c>
      <c r="J846" s="39" t="n">
        <v>3499</v>
      </c>
      <c r="K846" s="40" t="n">
        <v>0.4</v>
      </c>
      <c r="L846" s="39" t="n">
        <f aca="false">VLOOKUP(H846,'Product List'!$A$3:$D$18,4,FALSE())</f>
        <v>2750</v>
      </c>
      <c r="M846" s="39" t="n">
        <f aca="false">I846*J846*(1-K846)</f>
        <v>2099.4</v>
      </c>
      <c r="N846" s="39" t="n">
        <f aca="false">I846*L846</f>
        <v>2750</v>
      </c>
      <c r="O846" s="39" t="n">
        <f aca="false">M846-N846</f>
        <v>-650.6</v>
      </c>
      <c r="P846" s="41" t="n">
        <f aca="false">IF(M846=0,0,O846/M846)</f>
        <v>-0.309898066114128</v>
      </c>
      <c r="Q846" s="37" t="str">
        <f aca="false">IF(K846=0,"No discount",IF(K846&lt;=0.1,"1-10%",IF(K846&lt;=0.2,"11-20%",IF(K846&lt;=0.3,"21-30%","Above 30%"))))</f>
        <v>Above 30%</v>
      </c>
      <c r="R846" s="39" t="n">
        <f aca="false">I846*J846*MAX(0,K846-DiscountCap)</f>
        <v>699.8</v>
      </c>
    </row>
    <row r="847" customFormat="false" ht="15" hidden="false" customHeight="false" outlineLevel="0" collapsed="false">
      <c r="A847" s="37" t="s">
        <v>991</v>
      </c>
      <c r="B847" s="38" t="n">
        <v>45963</v>
      </c>
      <c r="C847" s="37" t="n">
        <f aca="false">MONTH(B847)</f>
        <v>11</v>
      </c>
      <c r="D847" s="37" t="s">
        <v>169</v>
      </c>
      <c r="E847" s="37" t="s">
        <v>44</v>
      </c>
      <c r="F847" s="37" t="s">
        <v>97</v>
      </c>
      <c r="G847" s="37" t="s">
        <v>90</v>
      </c>
      <c r="H847" s="37" t="s">
        <v>109</v>
      </c>
      <c r="I847" s="37" t="n">
        <v>1</v>
      </c>
      <c r="J847" s="39" t="n">
        <v>3499</v>
      </c>
      <c r="K847" s="40" t="n">
        <v>0.25</v>
      </c>
      <c r="L847" s="39" t="n">
        <f aca="false">VLOOKUP(H847,'Product List'!$A$3:$D$18,4,FALSE())</f>
        <v>2750</v>
      </c>
      <c r="M847" s="39" t="n">
        <f aca="false">I847*J847*(1-K847)</f>
        <v>2624.25</v>
      </c>
      <c r="N847" s="39" t="n">
        <f aca="false">I847*L847</f>
        <v>2750</v>
      </c>
      <c r="O847" s="39" t="n">
        <f aca="false">M847-N847</f>
        <v>-125.75</v>
      </c>
      <c r="P847" s="41" t="n">
        <f aca="false">IF(M847=0,0,O847/M847)</f>
        <v>-0.0479184528913023</v>
      </c>
      <c r="Q847" s="37" t="str">
        <f aca="false">IF(K847=0,"No discount",IF(K847&lt;=0.1,"1-10%",IF(K847&lt;=0.2,"11-20%",IF(K847&lt;=0.3,"21-30%","Above 30%"))))</f>
        <v>21-30%</v>
      </c>
      <c r="R847" s="39" t="n">
        <f aca="false">I847*J847*MAX(0,K847-DiscountCap)</f>
        <v>174.95</v>
      </c>
    </row>
    <row r="848" customFormat="false" ht="15" hidden="false" customHeight="false" outlineLevel="0" collapsed="false">
      <c r="A848" s="37" t="s">
        <v>992</v>
      </c>
      <c r="B848" s="38" t="n">
        <v>45969</v>
      </c>
      <c r="C848" s="37" t="n">
        <f aca="false">MONTH(B848)</f>
        <v>11</v>
      </c>
      <c r="D848" s="37" t="s">
        <v>134</v>
      </c>
      <c r="E848" s="37" t="s">
        <v>45</v>
      </c>
      <c r="F848" s="37" t="s">
        <v>96</v>
      </c>
      <c r="G848" s="37" t="s">
        <v>91</v>
      </c>
      <c r="H848" s="37" t="s">
        <v>117</v>
      </c>
      <c r="I848" s="37" t="n">
        <v>3</v>
      </c>
      <c r="J848" s="39" t="n">
        <v>1499</v>
      </c>
      <c r="K848" s="40" t="n">
        <v>0.2</v>
      </c>
      <c r="L848" s="39" t="n">
        <f aca="false">VLOOKUP(H848,'Product List'!$A$3:$D$18,4,FALSE())</f>
        <v>780</v>
      </c>
      <c r="M848" s="39" t="n">
        <f aca="false">I848*J848*(1-K848)</f>
        <v>3597.6</v>
      </c>
      <c r="N848" s="39" t="n">
        <f aca="false">I848*L848</f>
        <v>2340</v>
      </c>
      <c r="O848" s="39" t="n">
        <f aca="false">M848-N848</f>
        <v>1257.6</v>
      </c>
      <c r="P848" s="41" t="n">
        <f aca="false">IF(M848=0,0,O848/M848)</f>
        <v>0.349566377585057</v>
      </c>
      <c r="Q848" s="37" t="str">
        <f aca="false">IF(K848=0,"No discount",IF(K848&lt;=0.1,"1-10%",IF(K848&lt;=0.2,"11-20%",IF(K848&lt;=0.3,"21-30%","Above 30%"))))</f>
        <v>11-20%</v>
      </c>
      <c r="R848" s="39" t="n">
        <f aca="false">I848*J848*MAX(0,K848-DiscountCap)</f>
        <v>0</v>
      </c>
    </row>
    <row r="849" customFormat="false" ht="15" hidden="false" customHeight="false" outlineLevel="0" collapsed="false">
      <c r="A849" s="37" t="s">
        <v>993</v>
      </c>
      <c r="B849" s="38" t="n">
        <v>45974</v>
      </c>
      <c r="C849" s="37" t="n">
        <f aca="false">MONTH(B849)</f>
        <v>11</v>
      </c>
      <c r="D849" s="37" t="s">
        <v>166</v>
      </c>
      <c r="E849" s="37" t="s">
        <v>44</v>
      </c>
      <c r="F849" s="37" t="s">
        <v>96</v>
      </c>
      <c r="G849" s="37" t="s">
        <v>91</v>
      </c>
      <c r="H849" s="37" t="s">
        <v>117</v>
      </c>
      <c r="I849" s="37" t="n">
        <v>4</v>
      </c>
      <c r="J849" s="39" t="n">
        <v>1499</v>
      </c>
      <c r="K849" s="40" t="n">
        <v>0.1</v>
      </c>
      <c r="L849" s="39" t="n">
        <f aca="false">VLOOKUP(H849,'Product List'!$A$3:$D$18,4,FALSE())</f>
        <v>780</v>
      </c>
      <c r="M849" s="39" t="n">
        <f aca="false">I849*J849*(1-K849)</f>
        <v>5396.4</v>
      </c>
      <c r="N849" s="39" t="n">
        <f aca="false">I849*L849</f>
        <v>3120</v>
      </c>
      <c r="O849" s="39" t="n">
        <f aca="false">M849-N849</f>
        <v>2276.4</v>
      </c>
      <c r="P849" s="41" t="n">
        <f aca="false">IF(M849=0,0,O849/M849)</f>
        <v>0.421836780075606</v>
      </c>
      <c r="Q849" s="37" t="str">
        <f aca="false">IF(K849=0,"No discount",IF(K849&lt;=0.1,"1-10%",IF(K849&lt;=0.2,"11-20%",IF(K849&lt;=0.3,"21-30%","Above 30%"))))</f>
        <v>1-10%</v>
      </c>
      <c r="R849" s="39" t="n">
        <f aca="false">I849*J849*MAX(0,K849-DiscountCap)</f>
        <v>0</v>
      </c>
    </row>
    <row r="850" customFormat="false" ht="15" hidden="false" customHeight="false" outlineLevel="0" collapsed="false">
      <c r="A850" s="37" t="s">
        <v>994</v>
      </c>
      <c r="B850" s="38" t="n">
        <v>45976</v>
      </c>
      <c r="C850" s="37" t="n">
        <f aca="false">MONTH(B850)</f>
        <v>11</v>
      </c>
      <c r="D850" s="37" t="s">
        <v>166</v>
      </c>
      <c r="E850" s="37" t="s">
        <v>44</v>
      </c>
      <c r="F850" s="37" t="s">
        <v>96</v>
      </c>
      <c r="G850" s="37" t="s">
        <v>90</v>
      </c>
      <c r="H850" s="37" t="s">
        <v>111</v>
      </c>
      <c r="I850" s="37" t="n">
        <v>1</v>
      </c>
      <c r="J850" s="39" t="n">
        <v>2499</v>
      </c>
      <c r="K850" s="40" t="n">
        <v>0.3</v>
      </c>
      <c r="L850" s="39" t="n">
        <f aca="false">VLOOKUP(H850,'Product List'!$A$3:$D$18,4,FALSE())</f>
        <v>1950</v>
      </c>
      <c r="M850" s="39" t="n">
        <f aca="false">I850*J850*(1-K850)</f>
        <v>1749.3</v>
      </c>
      <c r="N850" s="39" t="n">
        <f aca="false">I850*L850</f>
        <v>1950</v>
      </c>
      <c r="O850" s="39" t="n">
        <f aca="false">M850-N850</f>
        <v>-200.7</v>
      </c>
      <c r="P850" s="41" t="n">
        <f aca="false">IF(M850=0,0,O850/M850)</f>
        <v>-0.114731606928486</v>
      </c>
      <c r="Q850" s="37" t="str">
        <f aca="false">IF(K850=0,"No discount",IF(K850&lt;=0.1,"1-10%",IF(K850&lt;=0.2,"11-20%",IF(K850&lt;=0.3,"21-30%","Above 30%"))))</f>
        <v>21-30%</v>
      </c>
      <c r="R850" s="39" t="n">
        <f aca="false">I850*J850*MAX(0,K850-DiscountCap)</f>
        <v>249.9</v>
      </c>
    </row>
    <row r="851" customFormat="false" ht="15" hidden="false" customHeight="false" outlineLevel="0" collapsed="false">
      <c r="A851" s="37" t="s">
        <v>995</v>
      </c>
      <c r="B851" s="38" t="n">
        <v>45970</v>
      </c>
      <c r="C851" s="37" t="n">
        <f aca="false">MONTH(B851)</f>
        <v>11</v>
      </c>
      <c r="D851" s="37" t="s">
        <v>146</v>
      </c>
      <c r="E851" s="37" t="s">
        <v>45</v>
      </c>
      <c r="F851" s="37" t="s">
        <v>96</v>
      </c>
      <c r="G851" s="37" t="s">
        <v>90</v>
      </c>
      <c r="H851" s="37" t="s">
        <v>111</v>
      </c>
      <c r="I851" s="37" t="n">
        <v>1</v>
      </c>
      <c r="J851" s="39" t="n">
        <v>2499</v>
      </c>
      <c r="K851" s="40" t="n">
        <v>0.25</v>
      </c>
      <c r="L851" s="39" t="n">
        <f aca="false">VLOOKUP(H851,'Product List'!$A$3:$D$18,4,FALSE())</f>
        <v>1950</v>
      </c>
      <c r="M851" s="39" t="n">
        <f aca="false">I851*J851*(1-K851)</f>
        <v>1874.25</v>
      </c>
      <c r="N851" s="39" t="n">
        <f aca="false">I851*L851</f>
        <v>1950</v>
      </c>
      <c r="O851" s="39" t="n">
        <f aca="false">M851-N851</f>
        <v>-75.75</v>
      </c>
      <c r="P851" s="41" t="n">
        <f aca="false">IF(M851=0,0,O851/M851)</f>
        <v>-0.0404161664665866</v>
      </c>
      <c r="Q851" s="37" t="str">
        <f aca="false">IF(K851=0,"No discount",IF(K851&lt;=0.1,"1-10%",IF(K851&lt;=0.2,"11-20%",IF(K851&lt;=0.3,"21-30%","Above 30%"))))</f>
        <v>21-30%</v>
      </c>
      <c r="R851" s="39" t="n">
        <f aca="false">I851*J851*MAX(0,K851-DiscountCap)</f>
        <v>124.95</v>
      </c>
    </row>
    <row r="852" customFormat="false" ht="15" hidden="false" customHeight="false" outlineLevel="0" collapsed="false">
      <c r="A852" s="37" t="s">
        <v>996</v>
      </c>
      <c r="B852" s="38" t="n">
        <v>45967</v>
      </c>
      <c r="C852" s="37" t="n">
        <f aca="false">MONTH(B852)</f>
        <v>11</v>
      </c>
      <c r="D852" s="37" t="s">
        <v>142</v>
      </c>
      <c r="E852" s="37" t="s">
        <v>47</v>
      </c>
      <c r="F852" s="37" t="s">
        <v>96</v>
      </c>
      <c r="G852" s="37" t="s">
        <v>91</v>
      </c>
      <c r="H852" s="37" t="s">
        <v>117</v>
      </c>
      <c r="I852" s="37" t="n">
        <v>2</v>
      </c>
      <c r="J852" s="39" t="n">
        <v>1499</v>
      </c>
      <c r="K852" s="40" t="n">
        <v>0.15</v>
      </c>
      <c r="L852" s="39" t="n">
        <f aca="false">VLOOKUP(H852,'Product List'!$A$3:$D$18,4,FALSE())</f>
        <v>780</v>
      </c>
      <c r="M852" s="39" t="n">
        <f aca="false">I852*J852*(1-K852)</f>
        <v>2548.3</v>
      </c>
      <c r="N852" s="39" t="n">
        <f aca="false">I852*L852</f>
        <v>1560</v>
      </c>
      <c r="O852" s="39" t="n">
        <f aca="false">M852-N852</f>
        <v>988.3</v>
      </c>
      <c r="P852" s="41" t="n">
        <f aca="false">IF(M852=0,0,O852/M852)</f>
        <v>0.387827178903583</v>
      </c>
      <c r="Q852" s="37" t="str">
        <f aca="false">IF(K852=0,"No discount",IF(K852&lt;=0.1,"1-10%",IF(K852&lt;=0.2,"11-20%",IF(K852&lt;=0.3,"21-30%","Above 30%"))))</f>
        <v>11-20%</v>
      </c>
      <c r="R852" s="39" t="n">
        <f aca="false">I852*J852*MAX(0,K852-DiscountCap)</f>
        <v>0</v>
      </c>
    </row>
    <row r="853" customFormat="false" ht="15" hidden="false" customHeight="false" outlineLevel="0" collapsed="false">
      <c r="A853" s="37" t="s">
        <v>997</v>
      </c>
      <c r="B853" s="38" t="n">
        <v>45962</v>
      </c>
      <c r="C853" s="37" t="n">
        <f aca="false">MONTH(B853)</f>
        <v>11</v>
      </c>
      <c r="D853" s="37" t="s">
        <v>154</v>
      </c>
      <c r="E853" s="37" t="s">
        <v>47</v>
      </c>
      <c r="F853" s="37" t="s">
        <v>96</v>
      </c>
      <c r="G853" s="37" t="s">
        <v>92</v>
      </c>
      <c r="H853" s="37" t="s">
        <v>115</v>
      </c>
      <c r="I853" s="37" t="n">
        <v>1</v>
      </c>
      <c r="J853" s="39" t="n">
        <v>1799</v>
      </c>
      <c r="K853" s="40" t="n">
        <v>0.25</v>
      </c>
      <c r="L853" s="39" t="n">
        <f aca="false">VLOOKUP(H853,'Product List'!$A$3:$D$18,4,FALSE())</f>
        <v>1150</v>
      </c>
      <c r="M853" s="39" t="n">
        <f aca="false">I853*J853*(1-K853)</f>
        <v>1349.25</v>
      </c>
      <c r="N853" s="39" t="n">
        <f aca="false">I853*L853</f>
        <v>1150</v>
      </c>
      <c r="O853" s="39" t="n">
        <f aca="false">M853-N853</f>
        <v>199.25</v>
      </c>
      <c r="P853" s="41" t="n">
        <f aca="false">IF(M853=0,0,O853/M853)</f>
        <v>0.147674634055957</v>
      </c>
      <c r="Q853" s="37" t="str">
        <f aca="false">IF(K853=0,"No discount",IF(K853&lt;=0.1,"1-10%",IF(K853&lt;=0.2,"11-20%",IF(K853&lt;=0.3,"21-30%","Above 30%"))))</f>
        <v>21-30%</v>
      </c>
      <c r="R853" s="39" t="n">
        <f aca="false">I853*J853*MAX(0,K853-DiscountCap)</f>
        <v>89.95</v>
      </c>
    </row>
    <row r="854" customFormat="false" ht="15" hidden="false" customHeight="false" outlineLevel="0" collapsed="false">
      <c r="A854" s="37" t="s">
        <v>998</v>
      </c>
      <c r="B854" s="38" t="n">
        <v>45975</v>
      </c>
      <c r="C854" s="37" t="n">
        <f aca="false">MONTH(B854)</f>
        <v>11</v>
      </c>
      <c r="D854" s="37" t="s">
        <v>172</v>
      </c>
      <c r="E854" s="37" t="s">
        <v>46</v>
      </c>
      <c r="F854" s="37" t="s">
        <v>96</v>
      </c>
      <c r="G854" s="37" t="s">
        <v>93</v>
      </c>
      <c r="H854" s="37" t="s">
        <v>120</v>
      </c>
      <c r="I854" s="37" t="n">
        <v>2</v>
      </c>
      <c r="J854" s="39" t="n">
        <v>449</v>
      </c>
      <c r="K854" s="40" t="n">
        <v>0.25</v>
      </c>
      <c r="L854" s="39" t="n">
        <f aca="false">VLOOKUP(H854,'Product List'!$A$3:$D$18,4,FALSE())</f>
        <v>240</v>
      </c>
      <c r="M854" s="39" t="n">
        <f aca="false">I854*J854*(1-K854)</f>
        <v>673.5</v>
      </c>
      <c r="N854" s="39" t="n">
        <f aca="false">I854*L854</f>
        <v>480</v>
      </c>
      <c r="O854" s="39" t="n">
        <f aca="false">M854-N854</f>
        <v>193.5</v>
      </c>
      <c r="P854" s="41" t="n">
        <f aca="false">IF(M854=0,0,O854/M854)</f>
        <v>0.287305122494432</v>
      </c>
      <c r="Q854" s="37" t="str">
        <f aca="false">IF(K854=0,"No discount",IF(K854&lt;=0.1,"1-10%",IF(K854&lt;=0.2,"11-20%",IF(K854&lt;=0.3,"21-30%","Above 30%"))))</f>
        <v>21-30%</v>
      </c>
      <c r="R854" s="39" t="n">
        <f aca="false">I854*J854*MAX(0,K854-DiscountCap)</f>
        <v>44.9</v>
      </c>
    </row>
    <row r="855" customFormat="false" ht="15" hidden="false" customHeight="false" outlineLevel="0" collapsed="false">
      <c r="A855" s="37" t="s">
        <v>999</v>
      </c>
      <c r="B855" s="38" t="n">
        <v>45963</v>
      </c>
      <c r="C855" s="37" t="n">
        <f aca="false">MONTH(B855)</f>
        <v>11</v>
      </c>
      <c r="D855" s="37" t="s">
        <v>166</v>
      </c>
      <c r="E855" s="37" t="s">
        <v>44</v>
      </c>
      <c r="F855" s="37" t="s">
        <v>97</v>
      </c>
      <c r="G855" s="37" t="s">
        <v>90</v>
      </c>
      <c r="H855" s="37" t="s">
        <v>109</v>
      </c>
      <c r="I855" s="37" t="n">
        <v>1</v>
      </c>
      <c r="J855" s="39" t="n">
        <v>3499</v>
      </c>
      <c r="K855" s="40" t="n">
        <v>0.1</v>
      </c>
      <c r="L855" s="39" t="n">
        <f aca="false">VLOOKUP(H855,'Product List'!$A$3:$D$18,4,FALSE())</f>
        <v>2750</v>
      </c>
      <c r="M855" s="39" t="n">
        <f aca="false">I855*J855*(1-K855)</f>
        <v>3149.1</v>
      </c>
      <c r="N855" s="39" t="n">
        <f aca="false">I855*L855</f>
        <v>2750</v>
      </c>
      <c r="O855" s="39" t="n">
        <f aca="false">M855-N855</f>
        <v>399.1</v>
      </c>
      <c r="P855" s="41" t="n">
        <f aca="false">IF(M855=0,0,O855/M855)</f>
        <v>0.126734622590581</v>
      </c>
      <c r="Q855" s="37" t="str">
        <f aca="false">IF(K855=0,"No discount",IF(K855&lt;=0.1,"1-10%",IF(K855&lt;=0.2,"11-20%",IF(K855&lt;=0.3,"21-30%","Above 30%"))))</f>
        <v>1-10%</v>
      </c>
      <c r="R855" s="39" t="n">
        <f aca="false">I855*J855*MAX(0,K855-DiscountCap)</f>
        <v>0</v>
      </c>
    </row>
    <row r="856" customFormat="false" ht="15" hidden="false" customHeight="false" outlineLevel="0" collapsed="false">
      <c r="A856" s="37" t="s">
        <v>1000</v>
      </c>
      <c r="B856" s="38" t="n">
        <v>45978</v>
      </c>
      <c r="C856" s="37" t="n">
        <f aca="false">MONTH(B856)</f>
        <v>11</v>
      </c>
      <c r="D856" s="37" t="s">
        <v>140</v>
      </c>
      <c r="E856" s="37" t="s">
        <v>44</v>
      </c>
      <c r="F856" s="37" t="s">
        <v>97</v>
      </c>
      <c r="G856" s="37" t="s">
        <v>93</v>
      </c>
      <c r="H856" s="37" t="s">
        <v>122</v>
      </c>
      <c r="I856" s="37" t="n">
        <v>1</v>
      </c>
      <c r="J856" s="39" t="n">
        <v>1799</v>
      </c>
      <c r="K856" s="40" t="n">
        <v>0.05</v>
      </c>
      <c r="L856" s="39" t="n">
        <f aca="false">VLOOKUP(H856,'Product List'!$A$3:$D$18,4,FALSE())</f>
        <v>1250</v>
      </c>
      <c r="M856" s="39" t="n">
        <f aca="false">I856*J856*(1-K856)</f>
        <v>1709.05</v>
      </c>
      <c r="N856" s="39" t="n">
        <f aca="false">I856*L856</f>
        <v>1250</v>
      </c>
      <c r="O856" s="39" t="n">
        <f aca="false">M856-N856</f>
        <v>459.05</v>
      </c>
      <c r="P856" s="41" t="n">
        <f aca="false">IF(M856=0,0,O856/M856)</f>
        <v>0.268599514350078</v>
      </c>
      <c r="Q856" s="37" t="str">
        <f aca="false">IF(K856=0,"No discount",IF(K856&lt;=0.1,"1-10%",IF(K856&lt;=0.2,"11-20%",IF(K856&lt;=0.3,"21-30%","Above 30%"))))</f>
        <v>1-10%</v>
      </c>
      <c r="R856" s="39" t="n">
        <f aca="false">I856*J856*MAX(0,K856-DiscountCap)</f>
        <v>0</v>
      </c>
    </row>
    <row r="857" customFormat="false" ht="15" hidden="false" customHeight="false" outlineLevel="0" collapsed="false">
      <c r="A857" s="37" t="s">
        <v>1001</v>
      </c>
      <c r="B857" s="38" t="n">
        <v>45988</v>
      </c>
      <c r="C857" s="37" t="n">
        <f aca="false">MONTH(B857)</f>
        <v>11</v>
      </c>
      <c r="D857" s="37" t="s">
        <v>136</v>
      </c>
      <c r="E857" s="37" t="s">
        <v>47</v>
      </c>
      <c r="F857" s="37" t="s">
        <v>97</v>
      </c>
      <c r="G857" s="37" t="s">
        <v>93</v>
      </c>
      <c r="H857" s="37" t="s">
        <v>120</v>
      </c>
      <c r="I857" s="37" t="n">
        <v>1</v>
      </c>
      <c r="J857" s="39" t="n">
        <v>449</v>
      </c>
      <c r="K857" s="40" t="n">
        <v>0.2</v>
      </c>
      <c r="L857" s="39" t="n">
        <f aca="false">VLOOKUP(H857,'Product List'!$A$3:$D$18,4,FALSE())</f>
        <v>240</v>
      </c>
      <c r="M857" s="39" t="n">
        <f aca="false">I857*J857*(1-K857)</f>
        <v>359.2</v>
      </c>
      <c r="N857" s="39" t="n">
        <f aca="false">I857*L857</f>
        <v>240</v>
      </c>
      <c r="O857" s="39" t="n">
        <f aca="false">M857-N857</f>
        <v>119.2</v>
      </c>
      <c r="P857" s="41" t="n">
        <f aca="false">IF(M857=0,0,O857/M857)</f>
        <v>0.33184855233853</v>
      </c>
      <c r="Q857" s="37" t="str">
        <f aca="false">IF(K857=0,"No discount",IF(K857&lt;=0.1,"1-10%",IF(K857&lt;=0.2,"11-20%",IF(K857&lt;=0.3,"21-30%","Above 30%"))))</f>
        <v>11-20%</v>
      </c>
      <c r="R857" s="39" t="n">
        <f aca="false">I857*J857*MAX(0,K857-DiscountCap)</f>
        <v>0</v>
      </c>
    </row>
    <row r="858" customFormat="false" ht="15" hidden="false" customHeight="false" outlineLevel="0" collapsed="false">
      <c r="A858" s="37" t="s">
        <v>1002</v>
      </c>
      <c r="B858" s="38" t="n">
        <v>45982</v>
      </c>
      <c r="C858" s="37" t="n">
        <f aca="false">MONTH(B858)</f>
        <v>11</v>
      </c>
      <c r="D858" s="37" t="s">
        <v>146</v>
      </c>
      <c r="E858" s="37" t="s">
        <v>45</v>
      </c>
      <c r="F858" s="37" t="s">
        <v>97</v>
      </c>
      <c r="G858" s="37" t="s">
        <v>91</v>
      </c>
      <c r="H858" s="37" t="s">
        <v>117</v>
      </c>
      <c r="I858" s="37" t="n">
        <v>3</v>
      </c>
      <c r="J858" s="39" t="n">
        <v>1499</v>
      </c>
      <c r="K858" s="40" t="n">
        <v>0.15</v>
      </c>
      <c r="L858" s="39" t="n">
        <f aca="false">VLOOKUP(H858,'Product List'!$A$3:$D$18,4,FALSE())</f>
        <v>780</v>
      </c>
      <c r="M858" s="39" t="n">
        <f aca="false">I858*J858*(1-K858)</f>
        <v>3822.45</v>
      </c>
      <c r="N858" s="39" t="n">
        <f aca="false">I858*L858</f>
        <v>2340</v>
      </c>
      <c r="O858" s="39" t="n">
        <f aca="false">M858-N858</f>
        <v>1482.45</v>
      </c>
      <c r="P858" s="41" t="n">
        <f aca="false">IF(M858=0,0,O858/M858)</f>
        <v>0.387827178903583</v>
      </c>
      <c r="Q858" s="37" t="str">
        <f aca="false">IF(K858=0,"No discount",IF(K858&lt;=0.1,"1-10%",IF(K858&lt;=0.2,"11-20%",IF(K858&lt;=0.3,"21-30%","Above 30%"))))</f>
        <v>11-20%</v>
      </c>
      <c r="R858" s="39" t="n">
        <f aca="false">I858*J858*MAX(0,K858-DiscountCap)</f>
        <v>0</v>
      </c>
    </row>
    <row r="859" customFormat="false" ht="15" hidden="false" customHeight="false" outlineLevel="0" collapsed="false">
      <c r="A859" s="37" t="s">
        <v>1003</v>
      </c>
      <c r="B859" s="38" t="n">
        <v>45987</v>
      </c>
      <c r="C859" s="37" t="n">
        <f aca="false">MONTH(B859)</f>
        <v>11</v>
      </c>
      <c r="D859" s="37" t="s">
        <v>134</v>
      </c>
      <c r="E859" s="37" t="s">
        <v>45</v>
      </c>
      <c r="F859" s="37" t="s">
        <v>96</v>
      </c>
      <c r="G859" s="37" t="s">
        <v>93</v>
      </c>
      <c r="H859" s="37" t="s">
        <v>120</v>
      </c>
      <c r="I859" s="37" t="n">
        <v>1</v>
      </c>
      <c r="J859" s="39" t="n">
        <v>449</v>
      </c>
      <c r="K859" s="40" t="n">
        <v>0.15</v>
      </c>
      <c r="L859" s="39" t="n">
        <f aca="false">VLOOKUP(H859,'Product List'!$A$3:$D$18,4,FALSE())</f>
        <v>240</v>
      </c>
      <c r="M859" s="39" t="n">
        <f aca="false">I859*J859*(1-K859)</f>
        <v>381.65</v>
      </c>
      <c r="N859" s="39" t="n">
        <f aca="false">I859*L859</f>
        <v>240</v>
      </c>
      <c r="O859" s="39" t="n">
        <f aca="false">M859-N859</f>
        <v>141.65</v>
      </c>
      <c r="P859" s="41" t="n">
        <f aca="false">IF(M859=0,0,O859/M859)</f>
        <v>0.371151578671558</v>
      </c>
      <c r="Q859" s="37" t="str">
        <f aca="false">IF(K859=0,"No discount",IF(K859&lt;=0.1,"1-10%",IF(K859&lt;=0.2,"11-20%",IF(K859&lt;=0.3,"21-30%","Above 30%"))))</f>
        <v>11-20%</v>
      </c>
      <c r="R859" s="39" t="n">
        <f aca="false">I859*J859*MAX(0,K859-DiscountCap)</f>
        <v>0</v>
      </c>
    </row>
    <row r="860" customFormat="false" ht="15" hidden="false" customHeight="false" outlineLevel="0" collapsed="false">
      <c r="A860" s="37" t="s">
        <v>1004</v>
      </c>
      <c r="B860" s="38" t="n">
        <v>45963</v>
      </c>
      <c r="C860" s="37" t="n">
        <f aca="false">MONTH(B860)</f>
        <v>11</v>
      </c>
      <c r="D860" s="37" t="s">
        <v>144</v>
      </c>
      <c r="E860" s="37" t="s">
        <v>45</v>
      </c>
      <c r="F860" s="37" t="s">
        <v>97</v>
      </c>
      <c r="G860" s="37" t="s">
        <v>92</v>
      </c>
      <c r="H860" s="37" t="s">
        <v>115</v>
      </c>
      <c r="I860" s="37" t="n">
        <v>2</v>
      </c>
      <c r="J860" s="39" t="n">
        <v>1799</v>
      </c>
      <c r="K860" s="40" t="n">
        <v>0.1</v>
      </c>
      <c r="L860" s="39" t="n">
        <f aca="false">VLOOKUP(H860,'Product List'!$A$3:$D$18,4,FALSE())</f>
        <v>1150</v>
      </c>
      <c r="M860" s="39" t="n">
        <f aca="false">I860*J860*(1-K860)</f>
        <v>3238.2</v>
      </c>
      <c r="N860" s="39" t="n">
        <f aca="false">I860*L860</f>
        <v>2300</v>
      </c>
      <c r="O860" s="39" t="n">
        <f aca="false">M860-N860</f>
        <v>938.2</v>
      </c>
      <c r="P860" s="41" t="n">
        <f aca="false">IF(M860=0,0,O860/M860)</f>
        <v>0.289728861713298</v>
      </c>
      <c r="Q860" s="37" t="str">
        <f aca="false">IF(K860=0,"No discount",IF(K860&lt;=0.1,"1-10%",IF(K860&lt;=0.2,"11-20%",IF(K860&lt;=0.3,"21-30%","Above 30%"))))</f>
        <v>1-10%</v>
      </c>
      <c r="R860" s="39" t="n">
        <f aca="false">I860*J860*MAX(0,K860-DiscountCap)</f>
        <v>0</v>
      </c>
    </row>
    <row r="861" customFormat="false" ht="15" hidden="false" customHeight="false" outlineLevel="0" collapsed="false">
      <c r="A861" s="37" t="s">
        <v>1005</v>
      </c>
      <c r="B861" s="38" t="n">
        <v>45969</v>
      </c>
      <c r="C861" s="37" t="n">
        <f aca="false">MONTH(B861)</f>
        <v>11</v>
      </c>
      <c r="D861" s="37" t="s">
        <v>142</v>
      </c>
      <c r="E861" s="37" t="s">
        <v>47</v>
      </c>
      <c r="F861" s="37" t="s">
        <v>97</v>
      </c>
      <c r="G861" s="37" t="s">
        <v>90</v>
      </c>
      <c r="H861" s="37" t="s">
        <v>110</v>
      </c>
      <c r="I861" s="37" t="n">
        <v>2</v>
      </c>
      <c r="J861" s="39" t="n">
        <v>1299</v>
      </c>
      <c r="K861" s="40" t="n">
        <v>0.25</v>
      </c>
      <c r="L861" s="39" t="n">
        <f aca="false">VLOOKUP(H861,'Product List'!$A$3:$D$18,4,FALSE())</f>
        <v>1000</v>
      </c>
      <c r="M861" s="39" t="n">
        <f aca="false">I861*J861*(1-K861)</f>
        <v>1948.5</v>
      </c>
      <c r="N861" s="39" t="n">
        <f aca="false">I861*L861</f>
        <v>2000</v>
      </c>
      <c r="O861" s="39" t="n">
        <f aca="false">M861-N861</f>
        <v>-51.5</v>
      </c>
      <c r="P861" s="41" t="n">
        <f aca="false">IF(M861=0,0,O861/M861)</f>
        <v>-0.0264305876315114</v>
      </c>
      <c r="Q861" s="37" t="str">
        <f aca="false">IF(K861=0,"No discount",IF(K861&lt;=0.1,"1-10%",IF(K861&lt;=0.2,"11-20%",IF(K861&lt;=0.3,"21-30%","Above 30%"))))</f>
        <v>21-30%</v>
      </c>
      <c r="R861" s="39" t="n">
        <f aca="false">I861*J861*MAX(0,K861-DiscountCap)</f>
        <v>129.9</v>
      </c>
    </row>
    <row r="862" customFormat="false" ht="15" hidden="false" customHeight="false" outlineLevel="0" collapsed="false">
      <c r="A862" s="37" t="s">
        <v>1006</v>
      </c>
      <c r="B862" s="38" t="n">
        <v>45990</v>
      </c>
      <c r="C862" s="37" t="n">
        <f aca="false">MONTH(B862)</f>
        <v>11</v>
      </c>
      <c r="D862" s="37" t="s">
        <v>136</v>
      </c>
      <c r="E862" s="37" t="s">
        <v>47</v>
      </c>
      <c r="F862" s="37" t="s">
        <v>97</v>
      </c>
      <c r="G862" s="37" t="s">
        <v>90</v>
      </c>
      <c r="H862" s="37" t="s">
        <v>111</v>
      </c>
      <c r="I862" s="37" t="n">
        <v>1</v>
      </c>
      <c r="J862" s="39" t="n">
        <v>2499</v>
      </c>
      <c r="K862" s="40" t="n">
        <v>0.1</v>
      </c>
      <c r="L862" s="39" t="n">
        <f aca="false">VLOOKUP(H862,'Product List'!$A$3:$D$18,4,FALSE())</f>
        <v>1950</v>
      </c>
      <c r="M862" s="39" t="n">
        <f aca="false">I862*J862*(1-K862)</f>
        <v>2249.1</v>
      </c>
      <c r="N862" s="39" t="n">
        <f aca="false">I862*L862</f>
        <v>1950</v>
      </c>
      <c r="O862" s="39" t="n">
        <f aca="false">M862-N862</f>
        <v>299.1</v>
      </c>
      <c r="P862" s="41" t="n">
        <f aca="false">IF(M862=0,0,O862/M862)</f>
        <v>0.132986527944511</v>
      </c>
      <c r="Q862" s="37" t="str">
        <f aca="false">IF(K862=0,"No discount",IF(K862&lt;=0.1,"1-10%",IF(K862&lt;=0.2,"11-20%",IF(K862&lt;=0.3,"21-30%","Above 30%"))))</f>
        <v>1-10%</v>
      </c>
      <c r="R862" s="39" t="n">
        <f aca="false">I862*J862*MAX(0,K862-DiscountCap)</f>
        <v>0</v>
      </c>
    </row>
    <row r="863" customFormat="false" ht="15" hidden="false" customHeight="false" outlineLevel="0" collapsed="false">
      <c r="A863" s="37" t="s">
        <v>1007</v>
      </c>
      <c r="B863" s="38" t="n">
        <v>45980</v>
      </c>
      <c r="C863" s="37" t="n">
        <f aca="false">MONTH(B863)</f>
        <v>11</v>
      </c>
      <c r="D863" s="37" t="s">
        <v>138</v>
      </c>
      <c r="E863" s="37" t="s">
        <v>46</v>
      </c>
      <c r="F863" s="37" t="s">
        <v>97</v>
      </c>
      <c r="G863" s="37" t="s">
        <v>91</v>
      </c>
      <c r="H863" s="37" t="s">
        <v>118</v>
      </c>
      <c r="I863" s="37" t="n">
        <v>1</v>
      </c>
      <c r="J863" s="39" t="n">
        <v>2299</v>
      </c>
      <c r="K863" s="40" t="n">
        <v>0.1</v>
      </c>
      <c r="L863" s="39" t="n">
        <f aca="false">VLOOKUP(H863,'Product List'!$A$3:$D$18,4,FALSE())</f>
        <v>1300</v>
      </c>
      <c r="M863" s="39" t="n">
        <f aca="false">I863*J863*(1-K863)</f>
        <v>2069.1</v>
      </c>
      <c r="N863" s="39" t="n">
        <f aca="false">I863*L863</f>
        <v>1300</v>
      </c>
      <c r="O863" s="39" t="n">
        <f aca="false">M863-N863</f>
        <v>769.1</v>
      </c>
      <c r="P863" s="41" t="n">
        <f aca="false">IF(M863=0,0,O863/M863)</f>
        <v>0.371707505678798</v>
      </c>
      <c r="Q863" s="37" t="str">
        <f aca="false">IF(K863=0,"No discount",IF(K863&lt;=0.1,"1-10%",IF(K863&lt;=0.2,"11-20%",IF(K863&lt;=0.3,"21-30%","Above 30%"))))</f>
        <v>1-10%</v>
      </c>
      <c r="R863" s="39" t="n">
        <f aca="false">I863*J863*MAX(0,K863-DiscountCap)</f>
        <v>0</v>
      </c>
    </row>
    <row r="864" customFormat="false" ht="15" hidden="false" customHeight="false" outlineLevel="0" collapsed="false">
      <c r="A864" s="37" t="s">
        <v>1008</v>
      </c>
      <c r="B864" s="38" t="n">
        <v>45985</v>
      </c>
      <c r="C864" s="37" t="n">
        <f aca="false">MONTH(B864)</f>
        <v>11</v>
      </c>
      <c r="D864" s="37" t="s">
        <v>160</v>
      </c>
      <c r="E864" s="37" t="s">
        <v>46</v>
      </c>
      <c r="F864" s="37" t="s">
        <v>97</v>
      </c>
      <c r="G864" s="37" t="s">
        <v>92</v>
      </c>
      <c r="H864" s="37" t="s">
        <v>113</v>
      </c>
      <c r="I864" s="37" t="n">
        <v>1</v>
      </c>
      <c r="J864" s="39" t="n">
        <v>2199</v>
      </c>
      <c r="K864" s="40" t="n">
        <v>0.1</v>
      </c>
      <c r="L864" s="39" t="n">
        <f aca="false">VLOOKUP(H864,'Product List'!$A$3:$D$18,4,FALSE())</f>
        <v>1400</v>
      </c>
      <c r="M864" s="39" t="n">
        <f aca="false">I864*J864*(1-K864)</f>
        <v>1979.1</v>
      </c>
      <c r="N864" s="39" t="n">
        <f aca="false">I864*L864</f>
        <v>1400</v>
      </c>
      <c r="O864" s="39" t="n">
        <f aca="false">M864-N864</f>
        <v>579.1</v>
      </c>
      <c r="P864" s="41" t="n">
        <f aca="false">IF(M864=0,0,O864/M864)</f>
        <v>0.292607750997928</v>
      </c>
      <c r="Q864" s="37" t="str">
        <f aca="false">IF(K864=0,"No discount",IF(K864&lt;=0.1,"1-10%",IF(K864&lt;=0.2,"11-20%",IF(K864&lt;=0.3,"21-30%","Above 30%"))))</f>
        <v>1-10%</v>
      </c>
      <c r="R864" s="39" t="n">
        <f aca="false">I864*J864*MAX(0,K864-DiscountCap)</f>
        <v>0</v>
      </c>
    </row>
    <row r="865" customFormat="false" ht="15" hidden="false" customHeight="false" outlineLevel="0" collapsed="false">
      <c r="A865" s="37" t="s">
        <v>1009</v>
      </c>
      <c r="B865" s="38" t="n">
        <v>45976</v>
      </c>
      <c r="C865" s="37" t="n">
        <f aca="false">MONTH(B865)</f>
        <v>11</v>
      </c>
      <c r="D865" s="37" t="s">
        <v>138</v>
      </c>
      <c r="E865" s="37" t="s">
        <v>46</v>
      </c>
      <c r="F865" s="37" t="s">
        <v>97</v>
      </c>
      <c r="G865" s="37" t="s">
        <v>90</v>
      </c>
      <c r="H865" s="37" t="s">
        <v>109</v>
      </c>
      <c r="I865" s="37" t="n">
        <v>1</v>
      </c>
      <c r="J865" s="39" t="n">
        <v>3499</v>
      </c>
      <c r="K865" s="40" t="n">
        <v>0</v>
      </c>
      <c r="L865" s="39" t="n">
        <f aca="false">VLOOKUP(H865,'Product List'!$A$3:$D$18,4,FALSE())</f>
        <v>2750</v>
      </c>
      <c r="M865" s="39" t="n">
        <f aca="false">I865*J865*(1-K865)</f>
        <v>3499</v>
      </c>
      <c r="N865" s="39" t="n">
        <f aca="false">I865*L865</f>
        <v>2750</v>
      </c>
      <c r="O865" s="39" t="n">
        <f aca="false">M865-N865</f>
        <v>749</v>
      </c>
      <c r="P865" s="41" t="n">
        <f aca="false">IF(M865=0,0,O865/M865)</f>
        <v>0.214061160331523</v>
      </c>
      <c r="Q865" s="37" t="str">
        <f aca="false">IF(K865=0,"No discount",IF(K865&lt;=0.1,"1-10%",IF(K865&lt;=0.2,"11-20%",IF(K865&lt;=0.3,"21-30%","Above 30%"))))</f>
        <v>No discount</v>
      </c>
      <c r="R865" s="39" t="n">
        <f aca="false">I865*J865*MAX(0,K865-DiscountCap)</f>
        <v>0</v>
      </c>
    </row>
    <row r="866" customFormat="false" ht="15" hidden="false" customHeight="false" outlineLevel="0" collapsed="false">
      <c r="A866" s="37" t="s">
        <v>1010</v>
      </c>
      <c r="B866" s="38" t="n">
        <v>45985</v>
      </c>
      <c r="C866" s="37" t="n">
        <f aca="false">MONTH(B866)</f>
        <v>11</v>
      </c>
      <c r="D866" s="37" t="s">
        <v>154</v>
      </c>
      <c r="E866" s="37" t="s">
        <v>47</v>
      </c>
      <c r="F866" s="37" t="s">
        <v>96</v>
      </c>
      <c r="G866" s="37" t="s">
        <v>90</v>
      </c>
      <c r="H866" s="37" t="s">
        <v>109</v>
      </c>
      <c r="I866" s="37" t="n">
        <v>2</v>
      </c>
      <c r="J866" s="39" t="n">
        <v>3499</v>
      </c>
      <c r="K866" s="40" t="n">
        <v>0.25</v>
      </c>
      <c r="L866" s="39" t="n">
        <f aca="false">VLOOKUP(H866,'Product List'!$A$3:$D$18,4,FALSE())</f>
        <v>2750</v>
      </c>
      <c r="M866" s="39" t="n">
        <f aca="false">I866*J866*(1-K866)</f>
        <v>5248.5</v>
      </c>
      <c r="N866" s="39" t="n">
        <f aca="false">I866*L866</f>
        <v>5500</v>
      </c>
      <c r="O866" s="39" t="n">
        <f aca="false">M866-N866</f>
        <v>-251.5</v>
      </c>
      <c r="P866" s="41" t="n">
        <f aca="false">IF(M866=0,0,O866/M866)</f>
        <v>-0.0479184528913023</v>
      </c>
      <c r="Q866" s="37" t="str">
        <f aca="false">IF(K866=0,"No discount",IF(K866&lt;=0.1,"1-10%",IF(K866&lt;=0.2,"11-20%",IF(K866&lt;=0.3,"21-30%","Above 30%"))))</f>
        <v>21-30%</v>
      </c>
      <c r="R866" s="39" t="n">
        <f aca="false">I866*J866*MAX(0,K866-DiscountCap)</f>
        <v>349.9</v>
      </c>
    </row>
    <row r="867" customFormat="false" ht="15" hidden="false" customHeight="false" outlineLevel="0" collapsed="false">
      <c r="A867" s="37" t="s">
        <v>1011</v>
      </c>
      <c r="B867" s="38" t="n">
        <v>45982</v>
      </c>
      <c r="C867" s="37" t="n">
        <f aca="false">MONTH(B867)</f>
        <v>11</v>
      </c>
      <c r="D867" s="37" t="s">
        <v>138</v>
      </c>
      <c r="E867" s="37" t="s">
        <v>46</v>
      </c>
      <c r="F867" s="37" t="s">
        <v>96</v>
      </c>
      <c r="G867" s="37" t="s">
        <v>92</v>
      </c>
      <c r="H867" s="37" t="s">
        <v>113</v>
      </c>
      <c r="I867" s="37" t="n">
        <v>1</v>
      </c>
      <c r="J867" s="39" t="n">
        <v>2199</v>
      </c>
      <c r="K867" s="40" t="n">
        <v>0.05</v>
      </c>
      <c r="L867" s="39" t="n">
        <f aca="false">VLOOKUP(H867,'Product List'!$A$3:$D$18,4,FALSE())</f>
        <v>1400</v>
      </c>
      <c r="M867" s="39" t="n">
        <f aca="false">I867*J867*(1-K867)</f>
        <v>2089.05</v>
      </c>
      <c r="N867" s="39" t="n">
        <f aca="false">I867*L867</f>
        <v>1400</v>
      </c>
      <c r="O867" s="39" t="n">
        <f aca="false">M867-N867</f>
        <v>689.05</v>
      </c>
      <c r="P867" s="41" t="n">
        <f aca="false">IF(M867=0,0,O867/M867)</f>
        <v>0.329838921998037</v>
      </c>
      <c r="Q867" s="37" t="str">
        <f aca="false">IF(K867=0,"No discount",IF(K867&lt;=0.1,"1-10%",IF(K867&lt;=0.2,"11-20%",IF(K867&lt;=0.3,"21-30%","Above 30%"))))</f>
        <v>1-10%</v>
      </c>
      <c r="R867" s="39" t="n">
        <f aca="false">I867*J867*MAX(0,K867-DiscountCap)</f>
        <v>0</v>
      </c>
    </row>
    <row r="868" customFormat="false" ht="15" hidden="false" customHeight="false" outlineLevel="0" collapsed="false">
      <c r="A868" s="37" t="s">
        <v>1012</v>
      </c>
      <c r="B868" s="38" t="n">
        <v>45968</v>
      </c>
      <c r="C868" s="37" t="n">
        <f aca="false">MONTH(B868)</f>
        <v>11</v>
      </c>
      <c r="D868" s="37" t="s">
        <v>166</v>
      </c>
      <c r="E868" s="37" t="s">
        <v>44</v>
      </c>
      <c r="F868" s="37" t="s">
        <v>97</v>
      </c>
      <c r="G868" s="37" t="s">
        <v>91</v>
      </c>
      <c r="H868" s="37" t="s">
        <v>118</v>
      </c>
      <c r="I868" s="37" t="n">
        <v>1</v>
      </c>
      <c r="J868" s="39" t="n">
        <v>2299</v>
      </c>
      <c r="K868" s="40" t="n">
        <v>0.1</v>
      </c>
      <c r="L868" s="39" t="n">
        <f aca="false">VLOOKUP(H868,'Product List'!$A$3:$D$18,4,FALSE())</f>
        <v>1300</v>
      </c>
      <c r="M868" s="39" t="n">
        <f aca="false">I868*J868*(1-K868)</f>
        <v>2069.1</v>
      </c>
      <c r="N868" s="39" t="n">
        <f aca="false">I868*L868</f>
        <v>1300</v>
      </c>
      <c r="O868" s="39" t="n">
        <f aca="false">M868-N868</f>
        <v>769.1</v>
      </c>
      <c r="P868" s="41" t="n">
        <f aca="false">IF(M868=0,0,O868/M868)</f>
        <v>0.371707505678798</v>
      </c>
      <c r="Q868" s="37" t="str">
        <f aca="false">IF(K868=0,"No discount",IF(K868&lt;=0.1,"1-10%",IF(K868&lt;=0.2,"11-20%",IF(K868&lt;=0.3,"21-30%","Above 30%"))))</f>
        <v>1-10%</v>
      </c>
      <c r="R868" s="39" t="n">
        <f aca="false">I868*J868*MAX(0,K868-DiscountCap)</f>
        <v>0</v>
      </c>
    </row>
    <row r="869" customFormat="false" ht="15" hidden="false" customHeight="false" outlineLevel="0" collapsed="false">
      <c r="A869" s="37" t="s">
        <v>1013</v>
      </c>
      <c r="B869" s="38" t="n">
        <v>45973</v>
      </c>
      <c r="C869" s="37" t="n">
        <f aca="false">MONTH(B869)</f>
        <v>11</v>
      </c>
      <c r="D869" s="37" t="s">
        <v>134</v>
      </c>
      <c r="E869" s="37" t="s">
        <v>45</v>
      </c>
      <c r="F869" s="37" t="s">
        <v>96</v>
      </c>
      <c r="G869" s="37" t="s">
        <v>90</v>
      </c>
      <c r="H869" s="37" t="s">
        <v>108</v>
      </c>
      <c r="I869" s="37" t="n">
        <v>1</v>
      </c>
      <c r="J869" s="39" t="n">
        <v>1999</v>
      </c>
      <c r="K869" s="40" t="n">
        <v>0.3</v>
      </c>
      <c r="L869" s="39" t="n">
        <f aca="false">VLOOKUP(H869,'Product List'!$A$3:$D$18,4,FALSE())</f>
        <v>1560</v>
      </c>
      <c r="M869" s="39" t="n">
        <f aca="false">I869*J869*(1-K869)</f>
        <v>1399.3</v>
      </c>
      <c r="N869" s="39" t="n">
        <f aca="false">I869*L869</f>
        <v>1560</v>
      </c>
      <c r="O869" s="39" t="n">
        <f aca="false">M869-N869</f>
        <v>-160.7</v>
      </c>
      <c r="P869" s="41" t="n">
        <f aca="false">IF(M869=0,0,O869/M869)</f>
        <v>-0.114843135853641</v>
      </c>
      <c r="Q869" s="37" t="str">
        <f aca="false">IF(K869=0,"No discount",IF(K869&lt;=0.1,"1-10%",IF(K869&lt;=0.2,"11-20%",IF(K869&lt;=0.3,"21-30%","Above 30%"))))</f>
        <v>21-30%</v>
      </c>
      <c r="R869" s="39" t="n">
        <f aca="false">I869*J869*MAX(0,K869-DiscountCap)</f>
        <v>199.9</v>
      </c>
    </row>
    <row r="870" customFormat="false" ht="15" hidden="false" customHeight="false" outlineLevel="0" collapsed="false">
      <c r="A870" s="37" t="s">
        <v>1014</v>
      </c>
      <c r="B870" s="38" t="n">
        <v>45984</v>
      </c>
      <c r="C870" s="37" t="n">
        <f aca="false">MONTH(B870)</f>
        <v>11</v>
      </c>
      <c r="D870" s="37" t="s">
        <v>146</v>
      </c>
      <c r="E870" s="37" t="s">
        <v>45</v>
      </c>
      <c r="F870" s="37" t="s">
        <v>97</v>
      </c>
      <c r="G870" s="37" t="s">
        <v>92</v>
      </c>
      <c r="H870" s="37" t="s">
        <v>112</v>
      </c>
      <c r="I870" s="37" t="n">
        <v>2</v>
      </c>
      <c r="J870" s="39" t="n">
        <v>3299</v>
      </c>
      <c r="K870" s="40" t="n">
        <v>0.2</v>
      </c>
      <c r="L870" s="39" t="n">
        <f aca="false">VLOOKUP(H870,'Product List'!$A$3:$D$18,4,FALSE())</f>
        <v>2250</v>
      </c>
      <c r="M870" s="39" t="n">
        <f aca="false">I870*J870*(1-K870)</f>
        <v>5278.4</v>
      </c>
      <c r="N870" s="39" t="n">
        <f aca="false">I870*L870</f>
        <v>4500</v>
      </c>
      <c r="O870" s="39" t="n">
        <f aca="false">M870-N870</f>
        <v>778.400000000001</v>
      </c>
      <c r="P870" s="41" t="n">
        <f aca="false">IF(M870=0,0,O870/M870)</f>
        <v>0.147468929978782</v>
      </c>
      <c r="Q870" s="37" t="str">
        <f aca="false">IF(K870=0,"No discount",IF(K870&lt;=0.1,"1-10%",IF(K870&lt;=0.2,"11-20%",IF(K870&lt;=0.3,"21-30%","Above 30%"))))</f>
        <v>11-20%</v>
      </c>
      <c r="R870" s="39" t="n">
        <f aca="false">I870*J870*MAX(0,K870-DiscountCap)</f>
        <v>0</v>
      </c>
    </row>
    <row r="871" customFormat="false" ht="15" hidden="false" customHeight="false" outlineLevel="0" collapsed="false">
      <c r="A871" s="37" t="s">
        <v>1015</v>
      </c>
      <c r="B871" s="38" t="n">
        <v>45963</v>
      </c>
      <c r="C871" s="37" t="n">
        <f aca="false">MONTH(B871)</f>
        <v>11</v>
      </c>
      <c r="D871" s="37" t="s">
        <v>136</v>
      </c>
      <c r="E871" s="37" t="s">
        <v>47</v>
      </c>
      <c r="F871" s="37" t="s">
        <v>97</v>
      </c>
      <c r="G871" s="37" t="s">
        <v>91</v>
      </c>
      <c r="H871" s="37" t="s">
        <v>116</v>
      </c>
      <c r="I871" s="37" t="n">
        <v>1</v>
      </c>
      <c r="J871" s="39" t="n">
        <v>899</v>
      </c>
      <c r="K871" s="40" t="n">
        <v>0</v>
      </c>
      <c r="L871" s="39" t="n">
        <f aca="false">VLOOKUP(H871,'Product List'!$A$3:$D$18,4,FALSE())</f>
        <v>430</v>
      </c>
      <c r="M871" s="39" t="n">
        <f aca="false">I871*J871*(1-K871)</f>
        <v>899</v>
      </c>
      <c r="N871" s="39" t="n">
        <f aca="false">I871*L871</f>
        <v>430</v>
      </c>
      <c r="O871" s="39" t="n">
        <f aca="false">M871-N871</f>
        <v>469</v>
      </c>
      <c r="P871" s="41" t="n">
        <f aca="false">IF(M871=0,0,O871/M871)</f>
        <v>0.521690767519466</v>
      </c>
      <c r="Q871" s="37" t="str">
        <f aca="false">IF(K871=0,"No discount",IF(K871&lt;=0.1,"1-10%",IF(K871&lt;=0.2,"11-20%",IF(K871&lt;=0.3,"21-30%","Above 30%"))))</f>
        <v>No discount</v>
      </c>
      <c r="R871" s="39" t="n">
        <f aca="false">I871*J871*MAX(0,K871-DiscountCap)</f>
        <v>0</v>
      </c>
    </row>
    <row r="872" customFormat="false" ht="15" hidden="false" customHeight="false" outlineLevel="0" collapsed="false">
      <c r="A872" s="37" t="s">
        <v>1016</v>
      </c>
      <c r="B872" s="38" t="n">
        <v>45983</v>
      </c>
      <c r="C872" s="37" t="n">
        <f aca="false">MONTH(B872)</f>
        <v>11</v>
      </c>
      <c r="D872" s="37" t="s">
        <v>138</v>
      </c>
      <c r="E872" s="37" t="s">
        <v>46</v>
      </c>
      <c r="F872" s="37" t="s">
        <v>96</v>
      </c>
      <c r="G872" s="37" t="s">
        <v>91</v>
      </c>
      <c r="H872" s="37" t="s">
        <v>117</v>
      </c>
      <c r="I872" s="37" t="n">
        <v>3</v>
      </c>
      <c r="J872" s="39" t="n">
        <v>1499</v>
      </c>
      <c r="K872" s="40" t="n">
        <v>0</v>
      </c>
      <c r="L872" s="39" t="n">
        <f aca="false">VLOOKUP(H872,'Product List'!$A$3:$D$18,4,FALSE())</f>
        <v>780</v>
      </c>
      <c r="M872" s="39" t="n">
        <f aca="false">I872*J872*(1-K872)</f>
        <v>4497</v>
      </c>
      <c r="N872" s="39" t="n">
        <f aca="false">I872*L872</f>
        <v>2340</v>
      </c>
      <c r="O872" s="39" t="n">
        <f aca="false">M872-N872</f>
        <v>2157</v>
      </c>
      <c r="P872" s="41" t="n">
        <f aca="false">IF(M872=0,0,O872/M872)</f>
        <v>0.479653102068045</v>
      </c>
      <c r="Q872" s="37" t="str">
        <f aca="false">IF(K872=0,"No discount",IF(K872&lt;=0.1,"1-10%",IF(K872&lt;=0.2,"11-20%",IF(K872&lt;=0.3,"21-30%","Above 30%"))))</f>
        <v>No discount</v>
      </c>
      <c r="R872" s="39" t="n">
        <f aca="false">I872*J872*MAX(0,K872-DiscountCap)</f>
        <v>0</v>
      </c>
    </row>
    <row r="873" customFormat="false" ht="15" hidden="false" customHeight="false" outlineLevel="0" collapsed="false">
      <c r="A873" s="37" t="s">
        <v>1017</v>
      </c>
      <c r="B873" s="38" t="n">
        <v>45970</v>
      </c>
      <c r="C873" s="37" t="n">
        <f aca="false">MONTH(B873)</f>
        <v>11</v>
      </c>
      <c r="D873" s="37" t="s">
        <v>172</v>
      </c>
      <c r="E873" s="37" t="s">
        <v>46</v>
      </c>
      <c r="F873" s="37" t="s">
        <v>96</v>
      </c>
      <c r="G873" s="37" t="s">
        <v>93</v>
      </c>
      <c r="H873" s="37" t="s">
        <v>122</v>
      </c>
      <c r="I873" s="37" t="n">
        <v>1</v>
      </c>
      <c r="J873" s="39" t="n">
        <v>1799</v>
      </c>
      <c r="K873" s="40" t="n">
        <v>0.1</v>
      </c>
      <c r="L873" s="39" t="n">
        <f aca="false">VLOOKUP(H873,'Product List'!$A$3:$D$18,4,FALSE())</f>
        <v>1250</v>
      </c>
      <c r="M873" s="39" t="n">
        <f aca="false">I873*J873*(1-K873)</f>
        <v>1619.1</v>
      </c>
      <c r="N873" s="39" t="n">
        <f aca="false">I873*L873</f>
        <v>1250</v>
      </c>
      <c r="O873" s="39" t="n">
        <f aca="false">M873-N873</f>
        <v>369.1</v>
      </c>
      <c r="P873" s="41" t="n">
        <f aca="false">IF(M873=0,0,O873/M873)</f>
        <v>0.227966154036193</v>
      </c>
      <c r="Q873" s="37" t="str">
        <f aca="false">IF(K873=0,"No discount",IF(K873&lt;=0.1,"1-10%",IF(K873&lt;=0.2,"11-20%",IF(K873&lt;=0.3,"21-30%","Above 30%"))))</f>
        <v>1-10%</v>
      </c>
      <c r="R873" s="39" t="n">
        <f aca="false">I873*J873*MAX(0,K873-DiscountCap)</f>
        <v>0</v>
      </c>
    </row>
    <row r="874" customFormat="false" ht="15" hidden="false" customHeight="false" outlineLevel="0" collapsed="false">
      <c r="A874" s="37" t="s">
        <v>1018</v>
      </c>
      <c r="B874" s="38" t="n">
        <v>45978</v>
      </c>
      <c r="C874" s="37" t="n">
        <f aca="false">MONTH(B874)</f>
        <v>11</v>
      </c>
      <c r="D874" s="37" t="s">
        <v>172</v>
      </c>
      <c r="E874" s="37" t="s">
        <v>46</v>
      </c>
      <c r="F874" s="37" t="s">
        <v>96</v>
      </c>
      <c r="G874" s="37" t="s">
        <v>91</v>
      </c>
      <c r="H874" s="37" t="s">
        <v>119</v>
      </c>
      <c r="I874" s="37" t="n">
        <v>1</v>
      </c>
      <c r="J874" s="39" t="n">
        <v>1099</v>
      </c>
      <c r="K874" s="40" t="n">
        <v>0.15</v>
      </c>
      <c r="L874" s="39" t="n">
        <f aca="false">VLOOKUP(H874,'Product List'!$A$3:$D$18,4,FALSE())</f>
        <v>560</v>
      </c>
      <c r="M874" s="39" t="n">
        <f aca="false">I874*J874*(1-K874)</f>
        <v>934.15</v>
      </c>
      <c r="N874" s="39" t="n">
        <f aca="false">I874*L874</f>
        <v>560</v>
      </c>
      <c r="O874" s="39" t="n">
        <f aca="false">M874-N874</f>
        <v>374.15</v>
      </c>
      <c r="P874" s="41" t="n">
        <f aca="false">IF(M874=0,0,O874/M874)</f>
        <v>0.400524541026602</v>
      </c>
      <c r="Q874" s="37" t="str">
        <f aca="false">IF(K874=0,"No discount",IF(K874&lt;=0.1,"1-10%",IF(K874&lt;=0.2,"11-20%",IF(K874&lt;=0.3,"21-30%","Above 30%"))))</f>
        <v>11-20%</v>
      </c>
      <c r="R874" s="39" t="n">
        <f aca="false">I874*J874*MAX(0,K874-DiscountCap)</f>
        <v>0</v>
      </c>
    </row>
    <row r="875" customFormat="false" ht="15" hidden="false" customHeight="false" outlineLevel="0" collapsed="false">
      <c r="A875" s="37" t="s">
        <v>1019</v>
      </c>
      <c r="B875" s="38" t="n">
        <v>45990</v>
      </c>
      <c r="C875" s="37" t="n">
        <f aca="false">MONTH(B875)</f>
        <v>11</v>
      </c>
      <c r="D875" s="37" t="s">
        <v>144</v>
      </c>
      <c r="E875" s="37" t="s">
        <v>45</v>
      </c>
      <c r="F875" s="37" t="s">
        <v>97</v>
      </c>
      <c r="G875" s="37" t="s">
        <v>92</v>
      </c>
      <c r="H875" s="37" t="s">
        <v>112</v>
      </c>
      <c r="I875" s="37" t="n">
        <v>5</v>
      </c>
      <c r="J875" s="39" t="n">
        <v>3299</v>
      </c>
      <c r="K875" s="40" t="n">
        <v>0</v>
      </c>
      <c r="L875" s="39" t="n">
        <f aca="false">VLOOKUP(H875,'Product List'!$A$3:$D$18,4,FALSE())</f>
        <v>2250</v>
      </c>
      <c r="M875" s="39" t="n">
        <f aca="false">I875*J875*(1-K875)</f>
        <v>16495</v>
      </c>
      <c r="N875" s="39" t="n">
        <f aca="false">I875*L875</f>
        <v>11250</v>
      </c>
      <c r="O875" s="39" t="n">
        <f aca="false">M875-N875</f>
        <v>5245</v>
      </c>
      <c r="P875" s="41" t="n">
        <f aca="false">IF(M875=0,0,O875/M875)</f>
        <v>0.317975143983025</v>
      </c>
      <c r="Q875" s="37" t="str">
        <f aca="false">IF(K875=0,"No discount",IF(K875&lt;=0.1,"1-10%",IF(K875&lt;=0.2,"11-20%",IF(K875&lt;=0.3,"21-30%","Above 30%"))))</f>
        <v>No discount</v>
      </c>
      <c r="R875" s="39" t="n">
        <f aca="false">I875*J875*MAX(0,K875-DiscountCap)</f>
        <v>0</v>
      </c>
    </row>
    <row r="876" customFormat="false" ht="15" hidden="false" customHeight="false" outlineLevel="0" collapsed="false">
      <c r="A876" s="37" t="s">
        <v>1020</v>
      </c>
      <c r="B876" s="38" t="n">
        <v>45986</v>
      </c>
      <c r="C876" s="37" t="n">
        <f aca="false">MONTH(B876)</f>
        <v>11</v>
      </c>
      <c r="D876" s="37" t="s">
        <v>146</v>
      </c>
      <c r="E876" s="37" t="s">
        <v>45</v>
      </c>
      <c r="F876" s="37" t="s">
        <v>96</v>
      </c>
      <c r="G876" s="37" t="s">
        <v>91</v>
      </c>
      <c r="H876" s="37" t="s">
        <v>116</v>
      </c>
      <c r="I876" s="37" t="n">
        <v>1</v>
      </c>
      <c r="J876" s="39" t="n">
        <v>899</v>
      </c>
      <c r="K876" s="40" t="n">
        <v>0.25</v>
      </c>
      <c r="L876" s="39" t="n">
        <f aca="false">VLOOKUP(H876,'Product List'!$A$3:$D$18,4,FALSE())</f>
        <v>430</v>
      </c>
      <c r="M876" s="39" t="n">
        <f aca="false">I876*J876*(1-K876)</f>
        <v>674.25</v>
      </c>
      <c r="N876" s="39" t="n">
        <f aca="false">I876*L876</f>
        <v>430</v>
      </c>
      <c r="O876" s="39" t="n">
        <f aca="false">M876-N876</f>
        <v>244.25</v>
      </c>
      <c r="P876" s="41" t="n">
        <f aca="false">IF(M876=0,0,O876/M876)</f>
        <v>0.362254356692621</v>
      </c>
      <c r="Q876" s="37" t="str">
        <f aca="false">IF(K876=0,"No discount",IF(K876&lt;=0.1,"1-10%",IF(K876&lt;=0.2,"11-20%",IF(K876&lt;=0.3,"21-30%","Above 30%"))))</f>
        <v>21-30%</v>
      </c>
      <c r="R876" s="39" t="n">
        <f aca="false">I876*J876*MAX(0,K876-DiscountCap)</f>
        <v>44.95</v>
      </c>
    </row>
    <row r="877" customFormat="false" ht="15" hidden="false" customHeight="false" outlineLevel="0" collapsed="false">
      <c r="A877" s="37" t="s">
        <v>1021</v>
      </c>
      <c r="B877" s="38" t="n">
        <v>45968</v>
      </c>
      <c r="C877" s="37" t="n">
        <f aca="false">MONTH(B877)</f>
        <v>11</v>
      </c>
      <c r="D877" s="37" t="s">
        <v>144</v>
      </c>
      <c r="E877" s="37" t="s">
        <v>45</v>
      </c>
      <c r="F877" s="37" t="s">
        <v>96</v>
      </c>
      <c r="G877" s="37" t="s">
        <v>90</v>
      </c>
      <c r="H877" s="37" t="s">
        <v>108</v>
      </c>
      <c r="I877" s="37" t="n">
        <v>1</v>
      </c>
      <c r="J877" s="39" t="n">
        <v>1999</v>
      </c>
      <c r="K877" s="40" t="n">
        <v>0.3</v>
      </c>
      <c r="L877" s="39" t="n">
        <f aca="false">VLOOKUP(H877,'Product List'!$A$3:$D$18,4,FALSE())</f>
        <v>1560</v>
      </c>
      <c r="M877" s="39" t="n">
        <f aca="false">I877*J877*(1-K877)</f>
        <v>1399.3</v>
      </c>
      <c r="N877" s="39" t="n">
        <f aca="false">I877*L877</f>
        <v>1560</v>
      </c>
      <c r="O877" s="39" t="n">
        <f aca="false">M877-N877</f>
        <v>-160.7</v>
      </c>
      <c r="P877" s="41" t="n">
        <f aca="false">IF(M877=0,0,O877/M877)</f>
        <v>-0.114843135853641</v>
      </c>
      <c r="Q877" s="37" t="str">
        <f aca="false">IF(K877=0,"No discount",IF(K877&lt;=0.1,"1-10%",IF(K877&lt;=0.2,"11-20%",IF(K877&lt;=0.3,"21-30%","Above 30%"))))</f>
        <v>21-30%</v>
      </c>
      <c r="R877" s="39" t="n">
        <f aca="false">I877*J877*MAX(0,K877-DiscountCap)</f>
        <v>199.9</v>
      </c>
    </row>
    <row r="878" customFormat="false" ht="15" hidden="false" customHeight="false" outlineLevel="0" collapsed="false">
      <c r="A878" s="37" t="s">
        <v>1022</v>
      </c>
      <c r="B878" s="38" t="n">
        <v>45967</v>
      </c>
      <c r="C878" s="37" t="n">
        <f aca="false">MONTH(B878)</f>
        <v>11</v>
      </c>
      <c r="D878" s="37" t="s">
        <v>142</v>
      </c>
      <c r="E878" s="37" t="s">
        <v>47</v>
      </c>
      <c r="F878" s="37" t="s">
        <v>97</v>
      </c>
      <c r="G878" s="37" t="s">
        <v>90</v>
      </c>
      <c r="H878" s="37" t="s">
        <v>108</v>
      </c>
      <c r="I878" s="37" t="n">
        <v>3</v>
      </c>
      <c r="J878" s="39" t="n">
        <v>1999</v>
      </c>
      <c r="K878" s="40" t="n">
        <v>0</v>
      </c>
      <c r="L878" s="39" t="n">
        <f aca="false">VLOOKUP(H878,'Product List'!$A$3:$D$18,4,FALSE())</f>
        <v>1560</v>
      </c>
      <c r="M878" s="39" t="n">
        <f aca="false">I878*J878*(1-K878)</f>
        <v>5997</v>
      </c>
      <c r="N878" s="39" t="n">
        <f aca="false">I878*L878</f>
        <v>4680</v>
      </c>
      <c r="O878" s="39" t="n">
        <f aca="false">M878-N878</f>
        <v>1317</v>
      </c>
      <c r="P878" s="41" t="n">
        <f aca="false">IF(M878=0,0,O878/M878)</f>
        <v>0.219609804902451</v>
      </c>
      <c r="Q878" s="37" t="str">
        <f aca="false">IF(K878=0,"No discount",IF(K878&lt;=0.1,"1-10%",IF(K878&lt;=0.2,"11-20%",IF(K878&lt;=0.3,"21-30%","Above 30%"))))</f>
        <v>No discount</v>
      </c>
      <c r="R878" s="39" t="n">
        <f aca="false">I878*J878*MAX(0,K878-DiscountCap)</f>
        <v>0</v>
      </c>
    </row>
    <row r="879" customFormat="false" ht="15" hidden="false" customHeight="false" outlineLevel="0" collapsed="false">
      <c r="A879" s="37" t="s">
        <v>1023</v>
      </c>
      <c r="B879" s="38" t="n">
        <v>45977</v>
      </c>
      <c r="C879" s="37" t="n">
        <f aca="false">MONTH(B879)</f>
        <v>11</v>
      </c>
      <c r="D879" s="37" t="s">
        <v>160</v>
      </c>
      <c r="E879" s="37" t="s">
        <v>46</v>
      </c>
      <c r="F879" s="37" t="s">
        <v>97</v>
      </c>
      <c r="G879" s="37" t="s">
        <v>92</v>
      </c>
      <c r="H879" s="37" t="s">
        <v>114</v>
      </c>
      <c r="I879" s="37" t="n">
        <v>1</v>
      </c>
      <c r="J879" s="39" t="n">
        <v>1199</v>
      </c>
      <c r="K879" s="40" t="n">
        <v>0.25</v>
      </c>
      <c r="L879" s="39" t="n">
        <f aca="false">VLOOKUP(H879,'Product List'!$A$3:$D$18,4,FALSE())</f>
        <v>780</v>
      </c>
      <c r="M879" s="39" t="n">
        <f aca="false">I879*J879*(1-K879)</f>
        <v>899.25</v>
      </c>
      <c r="N879" s="39" t="n">
        <f aca="false">I879*L879</f>
        <v>780</v>
      </c>
      <c r="O879" s="39" t="n">
        <f aca="false">M879-N879</f>
        <v>119.25</v>
      </c>
      <c r="P879" s="41" t="n">
        <f aca="false">IF(M879=0,0,O879/M879)</f>
        <v>0.132610508757298</v>
      </c>
      <c r="Q879" s="37" t="str">
        <f aca="false">IF(K879=0,"No discount",IF(K879&lt;=0.1,"1-10%",IF(K879&lt;=0.2,"11-20%",IF(K879&lt;=0.3,"21-30%","Above 30%"))))</f>
        <v>21-30%</v>
      </c>
      <c r="R879" s="39" t="n">
        <f aca="false">I879*J879*MAX(0,K879-DiscountCap)</f>
        <v>59.95</v>
      </c>
    </row>
    <row r="880" customFormat="false" ht="15" hidden="false" customHeight="false" outlineLevel="0" collapsed="false">
      <c r="A880" s="37" t="s">
        <v>1024</v>
      </c>
      <c r="B880" s="38" t="n">
        <v>45985</v>
      </c>
      <c r="C880" s="37" t="n">
        <f aca="false">MONTH(B880)</f>
        <v>11</v>
      </c>
      <c r="D880" s="37" t="s">
        <v>160</v>
      </c>
      <c r="E880" s="37" t="s">
        <v>46</v>
      </c>
      <c r="F880" s="37" t="s">
        <v>96</v>
      </c>
      <c r="G880" s="37" t="s">
        <v>90</v>
      </c>
      <c r="H880" s="37" t="s">
        <v>111</v>
      </c>
      <c r="I880" s="37" t="n">
        <v>4</v>
      </c>
      <c r="J880" s="39" t="n">
        <v>2499</v>
      </c>
      <c r="K880" s="40" t="n">
        <v>0.25</v>
      </c>
      <c r="L880" s="39" t="n">
        <f aca="false">VLOOKUP(H880,'Product List'!$A$3:$D$18,4,FALSE())</f>
        <v>1950</v>
      </c>
      <c r="M880" s="39" t="n">
        <f aca="false">I880*J880*(1-K880)</f>
        <v>7497</v>
      </c>
      <c r="N880" s="39" t="n">
        <f aca="false">I880*L880</f>
        <v>7800</v>
      </c>
      <c r="O880" s="39" t="n">
        <f aca="false">M880-N880</f>
        <v>-303</v>
      </c>
      <c r="P880" s="41" t="n">
        <f aca="false">IF(M880=0,0,O880/M880)</f>
        <v>-0.0404161664665866</v>
      </c>
      <c r="Q880" s="37" t="str">
        <f aca="false">IF(K880=0,"No discount",IF(K880&lt;=0.1,"1-10%",IF(K880&lt;=0.2,"11-20%",IF(K880&lt;=0.3,"21-30%","Above 30%"))))</f>
        <v>21-30%</v>
      </c>
      <c r="R880" s="39" t="n">
        <f aca="false">I880*J880*MAX(0,K880-DiscountCap)</f>
        <v>499.8</v>
      </c>
    </row>
    <row r="881" customFormat="false" ht="15" hidden="false" customHeight="false" outlineLevel="0" collapsed="false">
      <c r="A881" s="37" t="s">
        <v>1025</v>
      </c>
      <c r="B881" s="38" t="n">
        <v>45969</v>
      </c>
      <c r="C881" s="37" t="n">
        <f aca="false">MONTH(B881)</f>
        <v>11</v>
      </c>
      <c r="D881" s="37" t="s">
        <v>146</v>
      </c>
      <c r="E881" s="37" t="s">
        <v>45</v>
      </c>
      <c r="F881" s="37" t="s">
        <v>96</v>
      </c>
      <c r="G881" s="37" t="s">
        <v>92</v>
      </c>
      <c r="H881" s="37" t="s">
        <v>113</v>
      </c>
      <c r="I881" s="37" t="n">
        <v>1</v>
      </c>
      <c r="J881" s="39" t="n">
        <v>2199</v>
      </c>
      <c r="K881" s="40" t="n">
        <v>0.15</v>
      </c>
      <c r="L881" s="39" t="n">
        <f aca="false">VLOOKUP(H881,'Product List'!$A$3:$D$18,4,FALSE())</f>
        <v>1400</v>
      </c>
      <c r="M881" s="39" t="n">
        <f aca="false">I881*J881*(1-K881)</f>
        <v>1869.15</v>
      </c>
      <c r="N881" s="39" t="n">
        <f aca="false">I881*L881</f>
        <v>1400</v>
      </c>
      <c r="O881" s="39" t="n">
        <f aca="false">M881-N881</f>
        <v>469.15</v>
      </c>
      <c r="P881" s="41" t="n">
        <f aca="false">IF(M881=0,0,O881/M881)</f>
        <v>0.250996442233101</v>
      </c>
      <c r="Q881" s="37" t="str">
        <f aca="false">IF(K881=0,"No discount",IF(K881&lt;=0.1,"1-10%",IF(K881&lt;=0.2,"11-20%",IF(K881&lt;=0.3,"21-30%","Above 30%"))))</f>
        <v>11-20%</v>
      </c>
      <c r="R881" s="39" t="n">
        <f aca="false">I881*J881*MAX(0,K881-DiscountCap)</f>
        <v>0</v>
      </c>
    </row>
    <row r="882" customFormat="false" ht="15" hidden="false" customHeight="false" outlineLevel="0" collapsed="false">
      <c r="A882" s="37" t="s">
        <v>1026</v>
      </c>
      <c r="B882" s="38" t="n">
        <v>45985</v>
      </c>
      <c r="C882" s="37" t="n">
        <f aca="false">MONTH(B882)</f>
        <v>11</v>
      </c>
      <c r="D882" s="37" t="s">
        <v>134</v>
      </c>
      <c r="E882" s="37" t="s">
        <v>45</v>
      </c>
      <c r="F882" s="37" t="s">
        <v>97</v>
      </c>
      <c r="G882" s="37" t="s">
        <v>91</v>
      </c>
      <c r="H882" s="37" t="s">
        <v>119</v>
      </c>
      <c r="I882" s="37" t="n">
        <v>2</v>
      </c>
      <c r="J882" s="39" t="n">
        <v>1099</v>
      </c>
      <c r="K882" s="40" t="n">
        <v>0.1</v>
      </c>
      <c r="L882" s="39" t="n">
        <f aca="false">VLOOKUP(H882,'Product List'!$A$3:$D$18,4,FALSE())</f>
        <v>560</v>
      </c>
      <c r="M882" s="39" t="n">
        <f aca="false">I882*J882*(1-K882)</f>
        <v>1978.2</v>
      </c>
      <c r="N882" s="39" t="n">
        <f aca="false">I882*L882</f>
        <v>1120</v>
      </c>
      <c r="O882" s="39" t="n">
        <f aca="false">M882-N882</f>
        <v>858.2</v>
      </c>
      <c r="P882" s="41" t="n">
        <f aca="false">IF(M882=0,0,O882/M882)</f>
        <v>0.433828733191791</v>
      </c>
      <c r="Q882" s="37" t="str">
        <f aca="false">IF(K882=0,"No discount",IF(K882&lt;=0.1,"1-10%",IF(K882&lt;=0.2,"11-20%",IF(K882&lt;=0.3,"21-30%","Above 30%"))))</f>
        <v>1-10%</v>
      </c>
      <c r="R882" s="39" t="n">
        <f aca="false">I882*J882*MAX(0,K882-DiscountCap)</f>
        <v>0</v>
      </c>
    </row>
    <row r="883" customFormat="false" ht="15" hidden="false" customHeight="false" outlineLevel="0" collapsed="false">
      <c r="A883" s="37" t="s">
        <v>1027</v>
      </c>
      <c r="B883" s="38" t="n">
        <v>45984</v>
      </c>
      <c r="C883" s="37" t="n">
        <f aca="false">MONTH(B883)</f>
        <v>11</v>
      </c>
      <c r="D883" s="37" t="s">
        <v>182</v>
      </c>
      <c r="E883" s="37" t="s">
        <v>45</v>
      </c>
      <c r="F883" s="37" t="s">
        <v>96</v>
      </c>
      <c r="G883" s="37" t="s">
        <v>91</v>
      </c>
      <c r="H883" s="37" t="s">
        <v>118</v>
      </c>
      <c r="I883" s="37" t="n">
        <v>1</v>
      </c>
      <c r="J883" s="39" t="n">
        <v>2299</v>
      </c>
      <c r="K883" s="40" t="n">
        <v>0.1</v>
      </c>
      <c r="L883" s="39" t="n">
        <f aca="false">VLOOKUP(H883,'Product List'!$A$3:$D$18,4,FALSE())</f>
        <v>1300</v>
      </c>
      <c r="M883" s="39" t="n">
        <f aca="false">I883*J883*(1-K883)</f>
        <v>2069.1</v>
      </c>
      <c r="N883" s="39" t="n">
        <f aca="false">I883*L883</f>
        <v>1300</v>
      </c>
      <c r="O883" s="39" t="n">
        <f aca="false">M883-N883</f>
        <v>769.1</v>
      </c>
      <c r="P883" s="41" t="n">
        <f aca="false">IF(M883=0,0,O883/M883)</f>
        <v>0.371707505678798</v>
      </c>
      <c r="Q883" s="37" t="str">
        <f aca="false">IF(K883=0,"No discount",IF(K883&lt;=0.1,"1-10%",IF(K883&lt;=0.2,"11-20%",IF(K883&lt;=0.3,"21-30%","Above 30%"))))</f>
        <v>1-10%</v>
      </c>
      <c r="R883" s="39" t="n">
        <f aca="false">I883*J883*MAX(0,K883-DiscountCap)</f>
        <v>0</v>
      </c>
    </row>
    <row r="884" customFormat="false" ht="15" hidden="false" customHeight="false" outlineLevel="0" collapsed="false">
      <c r="A884" s="37" t="s">
        <v>1028</v>
      </c>
      <c r="B884" s="38" t="n">
        <v>45977</v>
      </c>
      <c r="C884" s="37" t="n">
        <f aca="false">MONTH(B884)</f>
        <v>11</v>
      </c>
      <c r="D884" s="37" t="s">
        <v>160</v>
      </c>
      <c r="E884" s="37" t="s">
        <v>46</v>
      </c>
      <c r="F884" s="37" t="s">
        <v>97</v>
      </c>
      <c r="G884" s="37" t="s">
        <v>90</v>
      </c>
      <c r="H884" s="37" t="s">
        <v>108</v>
      </c>
      <c r="I884" s="37" t="n">
        <v>1</v>
      </c>
      <c r="J884" s="39" t="n">
        <v>1999</v>
      </c>
      <c r="K884" s="40" t="n">
        <v>0.05</v>
      </c>
      <c r="L884" s="39" t="n">
        <f aca="false">VLOOKUP(H884,'Product List'!$A$3:$D$18,4,FALSE())</f>
        <v>1560</v>
      </c>
      <c r="M884" s="39" t="n">
        <f aca="false">I884*J884*(1-K884)</f>
        <v>1899.05</v>
      </c>
      <c r="N884" s="39" t="n">
        <f aca="false">I884*L884</f>
        <v>1560</v>
      </c>
      <c r="O884" s="39" t="n">
        <f aca="false">M884-N884</f>
        <v>339.05</v>
      </c>
      <c r="P884" s="41" t="n">
        <f aca="false">IF(M884=0,0,O884/M884)</f>
        <v>0.178536636739422</v>
      </c>
      <c r="Q884" s="37" t="str">
        <f aca="false">IF(K884=0,"No discount",IF(K884&lt;=0.1,"1-10%",IF(K884&lt;=0.2,"11-20%",IF(K884&lt;=0.3,"21-30%","Above 30%"))))</f>
        <v>1-10%</v>
      </c>
      <c r="R884" s="39" t="n">
        <f aca="false">I884*J884*MAX(0,K884-DiscountCap)</f>
        <v>0</v>
      </c>
    </row>
    <row r="885" customFormat="false" ht="15" hidden="false" customHeight="false" outlineLevel="0" collapsed="false">
      <c r="A885" s="37" t="s">
        <v>1029</v>
      </c>
      <c r="B885" s="38" t="n">
        <v>45981</v>
      </c>
      <c r="C885" s="37" t="n">
        <f aca="false">MONTH(B885)</f>
        <v>11</v>
      </c>
      <c r="D885" s="37" t="s">
        <v>146</v>
      </c>
      <c r="E885" s="37" t="s">
        <v>45</v>
      </c>
      <c r="F885" s="37" t="s">
        <v>96</v>
      </c>
      <c r="G885" s="37" t="s">
        <v>91</v>
      </c>
      <c r="H885" s="37" t="s">
        <v>119</v>
      </c>
      <c r="I885" s="37" t="n">
        <v>2</v>
      </c>
      <c r="J885" s="39" t="n">
        <v>1099</v>
      </c>
      <c r="K885" s="40" t="n">
        <v>0.1</v>
      </c>
      <c r="L885" s="39" t="n">
        <f aca="false">VLOOKUP(H885,'Product List'!$A$3:$D$18,4,FALSE())</f>
        <v>560</v>
      </c>
      <c r="M885" s="39" t="n">
        <f aca="false">I885*J885*(1-K885)</f>
        <v>1978.2</v>
      </c>
      <c r="N885" s="39" t="n">
        <f aca="false">I885*L885</f>
        <v>1120</v>
      </c>
      <c r="O885" s="39" t="n">
        <f aca="false">M885-N885</f>
        <v>858.2</v>
      </c>
      <c r="P885" s="41" t="n">
        <f aca="false">IF(M885=0,0,O885/M885)</f>
        <v>0.433828733191791</v>
      </c>
      <c r="Q885" s="37" t="str">
        <f aca="false">IF(K885=0,"No discount",IF(K885&lt;=0.1,"1-10%",IF(K885&lt;=0.2,"11-20%",IF(K885&lt;=0.3,"21-30%","Above 30%"))))</f>
        <v>1-10%</v>
      </c>
      <c r="R885" s="39" t="n">
        <f aca="false">I885*J885*MAX(0,K885-DiscountCap)</f>
        <v>0</v>
      </c>
    </row>
    <row r="886" customFormat="false" ht="15" hidden="false" customHeight="false" outlineLevel="0" collapsed="false">
      <c r="A886" s="37" t="s">
        <v>1030</v>
      </c>
      <c r="B886" s="38" t="n">
        <v>45987</v>
      </c>
      <c r="C886" s="37" t="n">
        <f aca="false">MONTH(B886)</f>
        <v>11</v>
      </c>
      <c r="D886" s="37" t="s">
        <v>136</v>
      </c>
      <c r="E886" s="37" t="s">
        <v>47</v>
      </c>
      <c r="F886" s="37" t="s">
        <v>97</v>
      </c>
      <c r="G886" s="37" t="s">
        <v>92</v>
      </c>
      <c r="H886" s="37" t="s">
        <v>114</v>
      </c>
      <c r="I886" s="37" t="n">
        <v>2</v>
      </c>
      <c r="J886" s="39" t="n">
        <v>1199</v>
      </c>
      <c r="K886" s="40" t="n">
        <v>0.25</v>
      </c>
      <c r="L886" s="39" t="n">
        <f aca="false">VLOOKUP(H886,'Product List'!$A$3:$D$18,4,FALSE())</f>
        <v>780</v>
      </c>
      <c r="M886" s="39" t="n">
        <f aca="false">I886*J886*(1-K886)</f>
        <v>1798.5</v>
      </c>
      <c r="N886" s="39" t="n">
        <f aca="false">I886*L886</f>
        <v>1560</v>
      </c>
      <c r="O886" s="39" t="n">
        <f aca="false">M886-N886</f>
        <v>238.5</v>
      </c>
      <c r="P886" s="41" t="n">
        <f aca="false">IF(M886=0,0,O886/M886)</f>
        <v>0.132610508757298</v>
      </c>
      <c r="Q886" s="37" t="str">
        <f aca="false">IF(K886=0,"No discount",IF(K886&lt;=0.1,"1-10%",IF(K886&lt;=0.2,"11-20%",IF(K886&lt;=0.3,"21-30%","Above 30%"))))</f>
        <v>21-30%</v>
      </c>
      <c r="R886" s="39" t="n">
        <f aca="false">I886*J886*MAX(0,K886-DiscountCap)</f>
        <v>119.9</v>
      </c>
    </row>
    <row r="887" customFormat="false" ht="15" hidden="false" customHeight="false" outlineLevel="0" collapsed="false">
      <c r="A887" s="37" t="s">
        <v>1031</v>
      </c>
      <c r="B887" s="38" t="n">
        <v>45970</v>
      </c>
      <c r="C887" s="37" t="n">
        <f aca="false">MONTH(B887)</f>
        <v>11</v>
      </c>
      <c r="D887" s="37" t="s">
        <v>144</v>
      </c>
      <c r="E887" s="37" t="s">
        <v>45</v>
      </c>
      <c r="F887" s="37" t="s">
        <v>97</v>
      </c>
      <c r="G887" s="37" t="s">
        <v>90</v>
      </c>
      <c r="H887" s="37" t="s">
        <v>110</v>
      </c>
      <c r="I887" s="37" t="n">
        <v>4</v>
      </c>
      <c r="J887" s="39" t="n">
        <v>1299</v>
      </c>
      <c r="K887" s="40" t="n">
        <v>0.1</v>
      </c>
      <c r="L887" s="39" t="n">
        <f aca="false">VLOOKUP(H887,'Product List'!$A$3:$D$18,4,FALSE())</f>
        <v>1000</v>
      </c>
      <c r="M887" s="39" t="n">
        <f aca="false">I887*J887*(1-K887)</f>
        <v>4676.4</v>
      </c>
      <c r="N887" s="39" t="n">
        <f aca="false">I887*L887</f>
        <v>4000</v>
      </c>
      <c r="O887" s="39" t="n">
        <f aca="false">M887-N887</f>
        <v>676.400000000001</v>
      </c>
      <c r="P887" s="41" t="n">
        <f aca="false">IF(M887=0,0,O887/M887)</f>
        <v>0.144641176973741</v>
      </c>
      <c r="Q887" s="37" t="str">
        <f aca="false">IF(K887=0,"No discount",IF(K887&lt;=0.1,"1-10%",IF(K887&lt;=0.2,"11-20%",IF(K887&lt;=0.3,"21-30%","Above 30%"))))</f>
        <v>1-10%</v>
      </c>
      <c r="R887" s="39" t="n">
        <f aca="false">I887*J887*MAX(0,K887-DiscountCap)</f>
        <v>0</v>
      </c>
    </row>
    <row r="888" customFormat="false" ht="15" hidden="false" customHeight="false" outlineLevel="0" collapsed="false">
      <c r="A888" s="37" t="s">
        <v>1032</v>
      </c>
      <c r="B888" s="38" t="n">
        <v>45979</v>
      </c>
      <c r="C888" s="37" t="n">
        <f aca="false">MONTH(B888)</f>
        <v>11</v>
      </c>
      <c r="D888" s="37" t="s">
        <v>136</v>
      </c>
      <c r="E888" s="37" t="s">
        <v>47</v>
      </c>
      <c r="F888" s="37" t="s">
        <v>97</v>
      </c>
      <c r="G888" s="37" t="s">
        <v>91</v>
      </c>
      <c r="H888" s="37" t="s">
        <v>117</v>
      </c>
      <c r="I888" s="37" t="n">
        <v>2</v>
      </c>
      <c r="J888" s="39" t="n">
        <v>1499</v>
      </c>
      <c r="K888" s="40" t="n">
        <v>0.1</v>
      </c>
      <c r="L888" s="39" t="n">
        <f aca="false">VLOOKUP(H888,'Product List'!$A$3:$D$18,4,FALSE())</f>
        <v>780</v>
      </c>
      <c r="M888" s="39" t="n">
        <f aca="false">I888*J888*(1-K888)</f>
        <v>2698.2</v>
      </c>
      <c r="N888" s="39" t="n">
        <f aca="false">I888*L888</f>
        <v>1560</v>
      </c>
      <c r="O888" s="39" t="n">
        <f aca="false">M888-N888</f>
        <v>1138.2</v>
      </c>
      <c r="P888" s="41" t="n">
        <f aca="false">IF(M888=0,0,O888/M888)</f>
        <v>0.421836780075606</v>
      </c>
      <c r="Q888" s="37" t="str">
        <f aca="false">IF(K888=0,"No discount",IF(K888&lt;=0.1,"1-10%",IF(K888&lt;=0.2,"11-20%",IF(K888&lt;=0.3,"21-30%","Above 30%"))))</f>
        <v>1-10%</v>
      </c>
      <c r="R888" s="39" t="n">
        <f aca="false">I888*J888*MAX(0,K888-DiscountCap)</f>
        <v>0</v>
      </c>
    </row>
    <row r="889" customFormat="false" ht="15" hidden="false" customHeight="false" outlineLevel="0" collapsed="false">
      <c r="A889" s="37" t="s">
        <v>1033</v>
      </c>
      <c r="B889" s="38" t="n">
        <v>45983</v>
      </c>
      <c r="C889" s="37" t="n">
        <f aca="false">MONTH(B889)</f>
        <v>11</v>
      </c>
      <c r="D889" s="37" t="s">
        <v>134</v>
      </c>
      <c r="E889" s="37" t="s">
        <v>45</v>
      </c>
      <c r="F889" s="37" t="s">
        <v>96</v>
      </c>
      <c r="G889" s="37" t="s">
        <v>91</v>
      </c>
      <c r="H889" s="37" t="s">
        <v>117</v>
      </c>
      <c r="I889" s="37" t="n">
        <v>1</v>
      </c>
      <c r="J889" s="39" t="n">
        <v>1499</v>
      </c>
      <c r="K889" s="40" t="n">
        <v>0.05</v>
      </c>
      <c r="L889" s="39" t="n">
        <f aca="false">VLOOKUP(H889,'Product List'!$A$3:$D$18,4,FALSE())</f>
        <v>780</v>
      </c>
      <c r="M889" s="39" t="n">
        <f aca="false">I889*J889*(1-K889)</f>
        <v>1424.05</v>
      </c>
      <c r="N889" s="39" t="n">
        <f aca="false">I889*L889</f>
        <v>780</v>
      </c>
      <c r="O889" s="39" t="n">
        <f aca="false">M889-N889</f>
        <v>644.05</v>
      </c>
      <c r="P889" s="41" t="n">
        <f aca="false">IF(M889=0,0,O889/M889)</f>
        <v>0.452266423229521</v>
      </c>
      <c r="Q889" s="37" t="str">
        <f aca="false">IF(K889=0,"No discount",IF(K889&lt;=0.1,"1-10%",IF(K889&lt;=0.2,"11-20%",IF(K889&lt;=0.3,"21-30%","Above 30%"))))</f>
        <v>1-10%</v>
      </c>
      <c r="R889" s="39" t="n">
        <f aca="false">I889*J889*MAX(0,K889-DiscountCap)</f>
        <v>0</v>
      </c>
    </row>
    <row r="890" customFormat="false" ht="15" hidden="false" customHeight="false" outlineLevel="0" collapsed="false">
      <c r="A890" s="37" t="s">
        <v>1034</v>
      </c>
      <c r="B890" s="38" t="n">
        <v>45977</v>
      </c>
      <c r="C890" s="37" t="n">
        <f aca="false">MONTH(B890)</f>
        <v>11</v>
      </c>
      <c r="D890" s="37" t="s">
        <v>142</v>
      </c>
      <c r="E890" s="37" t="s">
        <v>47</v>
      </c>
      <c r="F890" s="37" t="s">
        <v>97</v>
      </c>
      <c r="G890" s="37" t="s">
        <v>90</v>
      </c>
      <c r="H890" s="37" t="s">
        <v>111</v>
      </c>
      <c r="I890" s="37" t="n">
        <v>4</v>
      </c>
      <c r="J890" s="39" t="n">
        <v>2499</v>
      </c>
      <c r="K890" s="40" t="n">
        <v>0.15</v>
      </c>
      <c r="L890" s="39" t="n">
        <f aca="false">VLOOKUP(H890,'Product List'!$A$3:$D$18,4,FALSE())</f>
        <v>1950</v>
      </c>
      <c r="M890" s="39" t="n">
        <f aca="false">I890*J890*(1-K890)</f>
        <v>8496.6</v>
      </c>
      <c r="N890" s="39" t="n">
        <f aca="false">I890*L890</f>
        <v>7800</v>
      </c>
      <c r="O890" s="39" t="n">
        <f aca="false">M890-N890</f>
        <v>696.6</v>
      </c>
      <c r="P890" s="41" t="n">
        <f aca="false">IF(M890=0,0,O890/M890)</f>
        <v>0.0819857354706589</v>
      </c>
      <c r="Q890" s="37" t="str">
        <f aca="false">IF(K890=0,"No discount",IF(K890&lt;=0.1,"1-10%",IF(K890&lt;=0.2,"11-20%",IF(K890&lt;=0.3,"21-30%","Above 30%"))))</f>
        <v>11-20%</v>
      </c>
      <c r="R890" s="39" t="n">
        <f aca="false">I890*J890*MAX(0,K890-DiscountCap)</f>
        <v>0</v>
      </c>
    </row>
    <row r="891" customFormat="false" ht="15" hidden="false" customHeight="false" outlineLevel="0" collapsed="false">
      <c r="A891" s="37" t="s">
        <v>1035</v>
      </c>
      <c r="B891" s="38" t="n">
        <v>45970</v>
      </c>
      <c r="C891" s="37" t="n">
        <f aca="false">MONTH(B891)</f>
        <v>11</v>
      </c>
      <c r="D891" s="37" t="s">
        <v>134</v>
      </c>
      <c r="E891" s="37" t="s">
        <v>45</v>
      </c>
      <c r="F891" s="37" t="s">
        <v>96</v>
      </c>
      <c r="G891" s="37" t="s">
        <v>92</v>
      </c>
      <c r="H891" s="37" t="s">
        <v>112</v>
      </c>
      <c r="I891" s="37" t="n">
        <v>2</v>
      </c>
      <c r="J891" s="39" t="n">
        <v>3299</v>
      </c>
      <c r="K891" s="40" t="n">
        <v>0.05</v>
      </c>
      <c r="L891" s="39" t="n">
        <f aca="false">VLOOKUP(H891,'Product List'!$A$3:$D$18,4,FALSE())</f>
        <v>2250</v>
      </c>
      <c r="M891" s="39" t="n">
        <f aca="false">I891*J891*(1-K891)</f>
        <v>6268.1</v>
      </c>
      <c r="N891" s="39" t="n">
        <f aca="false">I891*L891</f>
        <v>4500</v>
      </c>
      <c r="O891" s="39" t="n">
        <f aca="false">M891-N891</f>
        <v>1768.1</v>
      </c>
      <c r="P891" s="41" t="n">
        <f aca="false">IF(M891=0,0,O891/M891)</f>
        <v>0.2820790989295</v>
      </c>
      <c r="Q891" s="37" t="str">
        <f aca="false">IF(K891=0,"No discount",IF(K891&lt;=0.1,"1-10%",IF(K891&lt;=0.2,"11-20%",IF(K891&lt;=0.3,"21-30%","Above 30%"))))</f>
        <v>1-10%</v>
      </c>
      <c r="R891" s="39" t="n">
        <f aca="false">I891*J891*MAX(0,K891-DiscountCap)</f>
        <v>0</v>
      </c>
    </row>
    <row r="892" customFormat="false" ht="15" hidden="false" customHeight="false" outlineLevel="0" collapsed="false">
      <c r="A892" s="37" t="s">
        <v>1036</v>
      </c>
      <c r="B892" s="38" t="n">
        <v>45983</v>
      </c>
      <c r="C892" s="37" t="n">
        <f aca="false">MONTH(B892)</f>
        <v>11</v>
      </c>
      <c r="D892" s="37" t="s">
        <v>146</v>
      </c>
      <c r="E892" s="37" t="s">
        <v>45</v>
      </c>
      <c r="F892" s="37" t="s">
        <v>96</v>
      </c>
      <c r="G892" s="37" t="s">
        <v>90</v>
      </c>
      <c r="H892" s="37" t="s">
        <v>110</v>
      </c>
      <c r="I892" s="37" t="n">
        <v>1</v>
      </c>
      <c r="J892" s="39" t="n">
        <v>1299</v>
      </c>
      <c r="K892" s="40" t="n">
        <v>0.25</v>
      </c>
      <c r="L892" s="39" t="n">
        <f aca="false">VLOOKUP(H892,'Product List'!$A$3:$D$18,4,FALSE())</f>
        <v>1000</v>
      </c>
      <c r="M892" s="39" t="n">
        <f aca="false">I892*J892*(1-K892)</f>
        <v>974.25</v>
      </c>
      <c r="N892" s="39" t="n">
        <f aca="false">I892*L892</f>
        <v>1000</v>
      </c>
      <c r="O892" s="39" t="n">
        <f aca="false">M892-N892</f>
        <v>-25.75</v>
      </c>
      <c r="P892" s="41" t="n">
        <f aca="false">IF(M892=0,0,O892/M892)</f>
        <v>-0.0264305876315114</v>
      </c>
      <c r="Q892" s="37" t="str">
        <f aca="false">IF(K892=0,"No discount",IF(K892&lt;=0.1,"1-10%",IF(K892&lt;=0.2,"11-20%",IF(K892&lt;=0.3,"21-30%","Above 30%"))))</f>
        <v>21-30%</v>
      </c>
      <c r="R892" s="39" t="n">
        <f aca="false">I892*J892*MAX(0,K892-DiscountCap)</f>
        <v>64.95</v>
      </c>
    </row>
    <row r="893" customFormat="false" ht="15" hidden="false" customHeight="false" outlineLevel="0" collapsed="false">
      <c r="A893" s="37" t="s">
        <v>1037</v>
      </c>
      <c r="B893" s="38" t="n">
        <v>45973</v>
      </c>
      <c r="C893" s="37" t="n">
        <f aca="false">MONTH(B893)</f>
        <v>11</v>
      </c>
      <c r="D893" s="37" t="s">
        <v>166</v>
      </c>
      <c r="E893" s="37" t="s">
        <v>44</v>
      </c>
      <c r="F893" s="37" t="s">
        <v>96</v>
      </c>
      <c r="G893" s="37" t="s">
        <v>93</v>
      </c>
      <c r="H893" s="37" t="s">
        <v>120</v>
      </c>
      <c r="I893" s="37" t="n">
        <v>1</v>
      </c>
      <c r="J893" s="39" t="n">
        <v>449</v>
      </c>
      <c r="K893" s="40" t="n">
        <v>0.3</v>
      </c>
      <c r="L893" s="39" t="n">
        <f aca="false">VLOOKUP(H893,'Product List'!$A$3:$D$18,4,FALSE())</f>
        <v>240</v>
      </c>
      <c r="M893" s="39" t="n">
        <f aca="false">I893*J893*(1-K893)</f>
        <v>314.3</v>
      </c>
      <c r="N893" s="39" t="n">
        <f aca="false">I893*L893</f>
        <v>240</v>
      </c>
      <c r="O893" s="39" t="n">
        <f aca="false">M893-N893</f>
        <v>74.3</v>
      </c>
      <c r="P893" s="41" t="n">
        <f aca="false">IF(M893=0,0,O893/M893)</f>
        <v>0.236398345529749</v>
      </c>
      <c r="Q893" s="37" t="str">
        <f aca="false">IF(K893=0,"No discount",IF(K893&lt;=0.1,"1-10%",IF(K893&lt;=0.2,"11-20%",IF(K893&lt;=0.3,"21-30%","Above 30%"))))</f>
        <v>21-30%</v>
      </c>
      <c r="R893" s="39" t="n">
        <f aca="false">I893*J893*MAX(0,K893-DiscountCap)</f>
        <v>44.9</v>
      </c>
    </row>
    <row r="894" customFormat="false" ht="15" hidden="false" customHeight="false" outlineLevel="0" collapsed="false">
      <c r="A894" s="37" t="s">
        <v>1038</v>
      </c>
      <c r="B894" s="38" t="n">
        <v>45982</v>
      </c>
      <c r="C894" s="37" t="n">
        <f aca="false">MONTH(B894)</f>
        <v>11</v>
      </c>
      <c r="D894" s="37" t="s">
        <v>136</v>
      </c>
      <c r="E894" s="37" t="s">
        <v>47</v>
      </c>
      <c r="F894" s="37" t="s">
        <v>97</v>
      </c>
      <c r="G894" s="37" t="s">
        <v>91</v>
      </c>
      <c r="H894" s="37" t="s">
        <v>118</v>
      </c>
      <c r="I894" s="37" t="n">
        <v>1</v>
      </c>
      <c r="J894" s="39" t="n">
        <v>2299</v>
      </c>
      <c r="K894" s="40" t="n">
        <v>0.1</v>
      </c>
      <c r="L894" s="39" t="n">
        <f aca="false">VLOOKUP(H894,'Product List'!$A$3:$D$18,4,FALSE())</f>
        <v>1300</v>
      </c>
      <c r="M894" s="39" t="n">
        <f aca="false">I894*J894*(1-K894)</f>
        <v>2069.1</v>
      </c>
      <c r="N894" s="39" t="n">
        <f aca="false">I894*L894</f>
        <v>1300</v>
      </c>
      <c r="O894" s="39" t="n">
        <f aca="false">M894-N894</f>
        <v>769.1</v>
      </c>
      <c r="P894" s="41" t="n">
        <f aca="false">IF(M894=0,0,O894/M894)</f>
        <v>0.371707505678798</v>
      </c>
      <c r="Q894" s="37" t="str">
        <f aca="false">IF(K894=0,"No discount",IF(K894&lt;=0.1,"1-10%",IF(K894&lt;=0.2,"11-20%",IF(K894&lt;=0.3,"21-30%","Above 30%"))))</f>
        <v>1-10%</v>
      </c>
      <c r="R894" s="39" t="n">
        <f aca="false">I894*J894*MAX(0,K894-DiscountCap)</f>
        <v>0</v>
      </c>
    </row>
    <row r="895" customFormat="false" ht="15" hidden="false" customHeight="false" outlineLevel="0" collapsed="false">
      <c r="A895" s="37" t="s">
        <v>1039</v>
      </c>
      <c r="B895" s="38" t="n">
        <v>45976</v>
      </c>
      <c r="C895" s="37" t="n">
        <f aca="false">MONTH(B895)</f>
        <v>11</v>
      </c>
      <c r="D895" s="37" t="s">
        <v>166</v>
      </c>
      <c r="E895" s="37" t="s">
        <v>44</v>
      </c>
      <c r="F895" s="37" t="s">
        <v>97</v>
      </c>
      <c r="G895" s="37" t="s">
        <v>93</v>
      </c>
      <c r="H895" s="37" t="s">
        <v>122</v>
      </c>
      <c r="I895" s="37" t="n">
        <v>1</v>
      </c>
      <c r="J895" s="39" t="n">
        <v>1799</v>
      </c>
      <c r="K895" s="40" t="n">
        <v>0</v>
      </c>
      <c r="L895" s="39" t="n">
        <f aca="false">VLOOKUP(H895,'Product List'!$A$3:$D$18,4,FALSE())</f>
        <v>1250</v>
      </c>
      <c r="M895" s="39" t="n">
        <f aca="false">I895*J895*(1-K895)</f>
        <v>1799</v>
      </c>
      <c r="N895" s="39" t="n">
        <f aca="false">I895*L895</f>
        <v>1250</v>
      </c>
      <c r="O895" s="39" t="n">
        <f aca="false">M895-N895</f>
        <v>549</v>
      </c>
      <c r="P895" s="41" t="n">
        <f aca="false">IF(M895=0,0,O895/M895)</f>
        <v>0.305169538632574</v>
      </c>
      <c r="Q895" s="37" t="str">
        <f aca="false">IF(K895=0,"No discount",IF(K895&lt;=0.1,"1-10%",IF(K895&lt;=0.2,"11-20%",IF(K895&lt;=0.3,"21-30%","Above 30%"))))</f>
        <v>No discount</v>
      </c>
      <c r="R895" s="39" t="n">
        <f aca="false">I895*J895*MAX(0,K895-DiscountCap)</f>
        <v>0</v>
      </c>
    </row>
    <row r="896" customFormat="false" ht="15" hidden="false" customHeight="false" outlineLevel="0" collapsed="false">
      <c r="A896" s="37" t="s">
        <v>1040</v>
      </c>
      <c r="B896" s="38" t="n">
        <v>45991</v>
      </c>
      <c r="C896" s="37" t="n">
        <f aca="false">MONTH(B896)</f>
        <v>11</v>
      </c>
      <c r="D896" s="37" t="s">
        <v>166</v>
      </c>
      <c r="E896" s="37" t="s">
        <v>44</v>
      </c>
      <c r="F896" s="37" t="s">
        <v>96</v>
      </c>
      <c r="G896" s="37" t="s">
        <v>91</v>
      </c>
      <c r="H896" s="37" t="s">
        <v>119</v>
      </c>
      <c r="I896" s="37" t="n">
        <v>3</v>
      </c>
      <c r="J896" s="39" t="n">
        <v>1099</v>
      </c>
      <c r="K896" s="40" t="n">
        <v>0.05</v>
      </c>
      <c r="L896" s="39" t="n">
        <f aca="false">VLOOKUP(H896,'Product List'!$A$3:$D$18,4,FALSE())</f>
        <v>560</v>
      </c>
      <c r="M896" s="39" t="n">
        <f aca="false">I896*J896*(1-K896)</f>
        <v>3132.15</v>
      </c>
      <c r="N896" s="39" t="n">
        <f aca="false">I896*L896</f>
        <v>1680</v>
      </c>
      <c r="O896" s="39" t="n">
        <f aca="false">M896-N896</f>
        <v>1452.15</v>
      </c>
      <c r="P896" s="41" t="n">
        <f aca="false">IF(M896=0,0,O896/M896)</f>
        <v>0.463627220918538</v>
      </c>
      <c r="Q896" s="37" t="str">
        <f aca="false">IF(K896=0,"No discount",IF(K896&lt;=0.1,"1-10%",IF(K896&lt;=0.2,"11-20%",IF(K896&lt;=0.3,"21-30%","Above 30%"))))</f>
        <v>1-10%</v>
      </c>
      <c r="R896" s="39" t="n">
        <f aca="false">I896*J896*MAX(0,K896-DiscountCap)</f>
        <v>0</v>
      </c>
    </row>
    <row r="897" customFormat="false" ht="15" hidden="false" customHeight="false" outlineLevel="0" collapsed="false">
      <c r="A897" s="37" t="s">
        <v>1041</v>
      </c>
      <c r="B897" s="38" t="n">
        <v>45978</v>
      </c>
      <c r="C897" s="37" t="n">
        <f aca="false">MONTH(B897)</f>
        <v>11</v>
      </c>
      <c r="D897" s="37" t="s">
        <v>154</v>
      </c>
      <c r="E897" s="37" t="s">
        <v>47</v>
      </c>
      <c r="F897" s="37" t="s">
        <v>96</v>
      </c>
      <c r="G897" s="37" t="s">
        <v>92</v>
      </c>
      <c r="H897" s="37" t="s">
        <v>112</v>
      </c>
      <c r="I897" s="37" t="n">
        <v>2</v>
      </c>
      <c r="J897" s="39" t="n">
        <v>3299</v>
      </c>
      <c r="K897" s="40" t="n">
        <v>0.05</v>
      </c>
      <c r="L897" s="39" t="n">
        <f aca="false">VLOOKUP(H897,'Product List'!$A$3:$D$18,4,FALSE())</f>
        <v>2250</v>
      </c>
      <c r="M897" s="39" t="n">
        <f aca="false">I897*J897*(1-K897)</f>
        <v>6268.1</v>
      </c>
      <c r="N897" s="39" t="n">
        <f aca="false">I897*L897</f>
        <v>4500</v>
      </c>
      <c r="O897" s="39" t="n">
        <f aca="false">M897-N897</f>
        <v>1768.1</v>
      </c>
      <c r="P897" s="41" t="n">
        <f aca="false">IF(M897=0,0,O897/M897)</f>
        <v>0.2820790989295</v>
      </c>
      <c r="Q897" s="37" t="str">
        <f aca="false">IF(K897=0,"No discount",IF(K897&lt;=0.1,"1-10%",IF(K897&lt;=0.2,"11-20%",IF(K897&lt;=0.3,"21-30%","Above 30%"))))</f>
        <v>1-10%</v>
      </c>
      <c r="R897" s="39" t="n">
        <f aca="false">I897*J897*MAX(0,K897-DiscountCap)</f>
        <v>0</v>
      </c>
    </row>
    <row r="898" customFormat="false" ht="15" hidden="false" customHeight="false" outlineLevel="0" collapsed="false">
      <c r="A898" s="37" t="s">
        <v>1042</v>
      </c>
      <c r="B898" s="38" t="n">
        <v>45985</v>
      </c>
      <c r="C898" s="37" t="n">
        <f aca="false">MONTH(B898)</f>
        <v>11</v>
      </c>
      <c r="D898" s="37" t="s">
        <v>146</v>
      </c>
      <c r="E898" s="37" t="s">
        <v>45</v>
      </c>
      <c r="F898" s="37" t="s">
        <v>97</v>
      </c>
      <c r="G898" s="37" t="s">
        <v>91</v>
      </c>
      <c r="H898" s="37" t="s">
        <v>118</v>
      </c>
      <c r="I898" s="37" t="n">
        <v>1</v>
      </c>
      <c r="J898" s="39" t="n">
        <v>2299</v>
      </c>
      <c r="K898" s="40" t="n">
        <v>0.1</v>
      </c>
      <c r="L898" s="39" t="n">
        <f aca="false">VLOOKUP(H898,'Product List'!$A$3:$D$18,4,FALSE())</f>
        <v>1300</v>
      </c>
      <c r="M898" s="39" t="n">
        <f aca="false">I898*J898*(1-K898)</f>
        <v>2069.1</v>
      </c>
      <c r="N898" s="39" t="n">
        <f aca="false">I898*L898</f>
        <v>1300</v>
      </c>
      <c r="O898" s="39" t="n">
        <f aca="false">M898-N898</f>
        <v>769.1</v>
      </c>
      <c r="P898" s="41" t="n">
        <f aca="false">IF(M898=0,0,O898/M898)</f>
        <v>0.371707505678798</v>
      </c>
      <c r="Q898" s="37" t="str">
        <f aca="false">IF(K898=0,"No discount",IF(K898&lt;=0.1,"1-10%",IF(K898&lt;=0.2,"11-20%",IF(K898&lt;=0.3,"21-30%","Above 30%"))))</f>
        <v>1-10%</v>
      </c>
      <c r="R898" s="39" t="n">
        <f aca="false">I898*J898*MAX(0,K898-DiscountCap)</f>
        <v>0</v>
      </c>
    </row>
    <row r="899" customFormat="false" ht="15" hidden="false" customHeight="false" outlineLevel="0" collapsed="false">
      <c r="A899" s="37" t="s">
        <v>1043</v>
      </c>
      <c r="B899" s="38" t="n">
        <v>45988</v>
      </c>
      <c r="C899" s="37" t="n">
        <f aca="false">MONTH(B899)</f>
        <v>11</v>
      </c>
      <c r="D899" s="37" t="s">
        <v>154</v>
      </c>
      <c r="E899" s="37" t="s">
        <v>47</v>
      </c>
      <c r="F899" s="37" t="s">
        <v>96</v>
      </c>
      <c r="G899" s="37" t="s">
        <v>93</v>
      </c>
      <c r="H899" s="37" t="s">
        <v>122</v>
      </c>
      <c r="I899" s="37" t="n">
        <v>1</v>
      </c>
      <c r="J899" s="39" t="n">
        <v>1799</v>
      </c>
      <c r="K899" s="40" t="n">
        <v>0.1</v>
      </c>
      <c r="L899" s="39" t="n">
        <f aca="false">VLOOKUP(H899,'Product List'!$A$3:$D$18,4,FALSE())</f>
        <v>1250</v>
      </c>
      <c r="M899" s="39" t="n">
        <f aca="false">I899*J899*(1-K899)</f>
        <v>1619.1</v>
      </c>
      <c r="N899" s="39" t="n">
        <f aca="false">I899*L899</f>
        <v>1250</v>
      </c>
      <c r="O899" s="39" t="n">
        <f aca="false">M899-N899</f>
        <v>369.1</v>
      </c>
      <c r="P899" s="41" t="n">
        <f aca="false">IF(M899=0,0,O899/M899)</f>
        <v>0.227966154036193</v>
      </c>
      <c r="Q899" s="37" t="str">
        <f aca="false">IF(K899=0,"No discount",IF(K899&lt;=0.1,"1-10%",IF(K899&lt;=0.2,"11-20%",IF(K899&lt;=0.3,"21-30%","Above 30%"))))</f>
        <v>1-10%</v>
      </c>
      <c r="R899" s="39" t="n">
        <f aca="false">I899*J899*MAX(0,K899-DiscountCap)</f>
        <v>0</v>
      </c>
    </row>
    <row r="900" customFormat="false" ht="15" hidden="false" customHeight="false" outlineLevel="0" collapsed="false">
      <c r="A900" s="37" t="s">
        <v>1044</v>
      </c>
      <c r="B900" s="38" t="n">
        <v>45982</v>
      </c>
      <c r="C900" s="37" t="n">
        <f aca="false">MONTH(B900)</f>
        <v>11</v>
      </c>
      <c r="D900" s="37" t="s">
        <v>136</v>
      </c>
      <c r="E900" s="37" t="s">
        <v>47</v>
      </c>
      <c r="F900" s="37" t="s">
        <v>97</v>
      </c>
      <c r="G900" s="37" t="s">
        <v>90</v>
      </c>
      <c r="H900" s="37" t="s">
        <v>109</v>
      </c>
      <c r="I900" s="37" t="n">
        <v>2</v>
      </c>
      <c r="J900" s="39" t="n">
        <v>3499</v>
      </c>
      <c r="K900" s="40" t="n">
        <v>0.1</v>
      </c>
      <c r="L900" s="39" t="n">
        <f aca="false">VLOOKUP(H900,'Product List'!$A$3:$D$18,4,FALSE())</f>
        <v>2750</v>
      </c>
      <c r="M900" s="39" t="n">
        <f aca="false">I900*J900*(1-K900)</f>
        <v>6298.2</v>
      </c>
      <c r="N900" s="39" t="n">
        <f aca="false">I900*L900</f>
        <v>5500</v>
      </c>
      <c r="O900" s="39" t="n">
        <f aca="false">M900-N900</f>
        <v>798.2</v>
      </c>
      <c r="P900" s="41" t="n">
        <f aca="false">IF(M900=0,0,O900/M900)</f>
        <v>0.126734622590581</v>
      </c>
      <c r="Q900" s="37" t="str">
        <f aca="false">IF(K900=0,"No discount",IF(K900&lt;=0.1,"1-10%",IF(K900&lt;=0.2,"11-20%",IF(K900&lt;=0.3,"21-30%","Above 30%"))))</f>
        <v>1-10%</v>
      </c>
      <c r="R900" s="39" t="n">
        <f aca="false">I900*J900*MAX(0,K900-DiscountCap)</f>
        <v>0</v>
      </c>
    </row>
    <row r="901" customFormat="false" ht="15" hidden="false" customHeight="false" outlineLevel="0" collapsed="false">
      <c r="A901" s="37" t="s">
        <v>1045</v>
      </c>
      <c r="B901" s="38" t="n">
        <v>45986</v>
      </c>
      <c r="C901" s="37" t="n">
        <f aca="false">MONTH(B901)</f>
        <v>11</v>
      </c>
      <c r="D901" s="37" t="s">
        <v>154</v>
      </c>
      <c r="E901" s="37" t="s">
        <v>47</v>
      </c>
      <c r="F901" s="37" t="s">
        <v>96</v>
      </c>
      <c r="G901" s="37" t="s">
        <v>92</v>
      </c>
      <c r="H901" s="37" t="s">
        <v>113</v>
      </c>
      <c r="I901" s="37" t="n">
        <v>1</v>
      </c>
      <c r="J901" s="39" t="n">
        <v>2199</v>
      </c>
      <c r="K901" s="40" t="n">
        <v>0.15</v>
      </c>
      <c r="L901" s="39" t="n">
        <f aca="false">VLOOKUP(H901,'Product List'!$A$3:$D$18,4,FALSE())</f>
        <v>1400</v>
      </c>
      <c r="M901" s="39" t="n">
        <f aca="false">I901*J901*(1-K901)</f>
        <v>1869.15</v>
      </c>
      <c r="N901" s="39" t="n">
        <f aca="false">I901*L901</f>
        <v>1400</v>
      </c>
      <c r="O901" s="39" t="n">
        <f aca="false">M901-N901</f>
        <v>469.15</v>
      </c>
      <c r="P901" s="41" t="n">
        <f aca="false">IF(M901=0,0,O901/M901)</f>
        <v>0.250996442233101</v>
      </c>
      <c r="Q901" s="37" t="str">
        <f aca="false">IF(K901=0,"No discount",IF(K901&lt;=0.1,"1-10%",IF(K901&lt;=0.2,"11-20%",IF(K901&lt;=0.3,"21-30%","Above 30%"))))</f>
        <v>11-20%</v>
      </c>
      <c r="R901" s="39" t="n">
        <f aca="false">I901*J901*MAX(0,K901-DiscountCap)</f>
        <v>0</v>
      </c>
    </row>
    <row r="902" customFormat="false" ht="15" hidden="false" customHeight="false" outlineLevel="0" collapsed="false">
      <c r="A902" s="37" t="s">
        <v>1046</v>
      </c>
      <c r="B902" s="38" t="n">
        <v>45990</v>
      </c>
      <c r="C902" s="37" t="n">
        <f aca="false">MONTH(B902)</f>
        <v>11</v>
      </c>
      <c r="D902" s="37" t="s">
        <v>136</v>
      </c>
      <c r="E902" s="37" t="s">
        <v>47</v>
      </c>
      <c r="F902" s="37" t="s">
        <v>97</v>
      </c>
      <c r="G902" s="37" t="s">
        <v>91</v>
      </c>
      <c r="H902" s="37" t="s">
        <v>116</v>
      </c>
      <c r="I902" s="37" t="n">
        <v>3</v>
      </c>
      <c r="J902" s="39" t="n">
        <v>899</v>
      </c>
      <c r="K902" s="40" t="n">
        <v>0.05</v>
      </c>
      <c r="L902" s="39" t="n">
        <f aca="false">VLOOKUP(H902,'Product List'!$A$3:$D$18,4,FALSE())</f>
        <v>430</v>
      </c>
      <c r="M902" s="39" t="n">
        <f aca="false">I902*J902*(1-K902)</f>
        <v>2562.15</v>
      </c>
      <c r="N902" s="39" t="n">
        <f aca="false">I902*L902</f>
        <v>1290</v>
      </c>
      <c r="O902" s="39" t="n">
        <f aca="false">M902-N902</f>
        <v>1272.15</v>
      </c>
      <c r="P902" s="41" t="n">
        <f aca="false">IF(M902=0,0,O902/M902)</f>
        <v>0.496516597388912</v>
      </c>
      <c r="Q902" s="37" t="str">
        <f aca="false">IF(K902=0,"No discount",IF(K902&lt;=0.1,"1-10%",IF(K902&lt;=0.2,"11-20%",IF(K902&lt;=0.3,"21-30%","Above 30%"))))</f>
        <v>1-10%</v>
      </c>
      <c r="R902" s="39" t="n">
        <f aca="false">I902*J902*MAX(0,K902-DiscountCap)</f>
        <v>0</v>
      </c>
    </row>
    <row r="903" customFormat="false" ht="15" hidden="false" customHeight="false" outlineLevel="0" collapsed="false">
      <c r="A903" s="37" t="s">
        <v>1047</v>
      </c>
      <c r="B903" s="38" t="n">
        <v>45977</v>
      </c>
      <c r="C903" s="37" t="n">
        <f aca="false">MONTH(B903)</f>
        <v>11</v>
      </c>
      <c r="D903" s="37" t="s">
        <v>134</v>
      </c>
      <c r="E903" s="37" t="s">
        <v>45</v>
      </c>
      <c r="F903" s="37" t="s">
        <v>97</v>
      </c>
      <c r="G903" s="37" t="s">
        <v>93</v>
      </c>
      <c r="H903" s="37" t="s">
        <v>121</v>
      </c>
      <c r="I903" s="37" t="n">
        <v>4</v>
      </c>
      <c r="J903" s="39" t="n">
        <v>999</v>
      </c>
      <c r="K903" s="40" t="n">
        <v>0.2</v>
      </c>
      <c r="L903" s="39" t="n">
        <f aca="false">VLOOKUP(H903,'Product List'!$A$3:$D$18,4,FALSE())</f>
        <v>500</v>
      </c>
      <c r="M903" s="39" t="n">
        <f aca="false">I903*J903*(1-K903)</f>
        <v>3196.8</v>
      </c>
      <c r="N903" s="39" t="n">
        <f aca="false">I903*L903</f>
        <v>2000</v>
      </c>
      <c r="O903" s="39" t="n">
        <f aca="false">M903-N903</f>
        <v>1196.8</v>
      </c>
      <c r="P903" s="41" t="n">
        <f aca="false">IF(M903=0,0,O903/M903)</f>
        <v>0.374374374374374</v>
      </c>
      <c r="Q903" s="37" t="str">
        <f aca="false">IF(K903=0,"No discount",IF(K903&lt;=0.1,"1-10%",IF(K903&lt;=0.2,"11-20%",IF(K903&lt;=0.3,"21-30%","Above 30%"))))</f>
        <v>11-20%</v>
      </c>
      <c r="R903" s="39" t="n">
        <f aca="false">I903*J903*MAX(0,K903-DiscountCap)</f>
        <v>0</v>
      </c>
    </row>
    <row r="904" customFormat="false" ht="15" hidden="false" customHeight="false" outlineLevel="0" collapsed="false">
      <c r="A904" s="37" t="s">
        <v>1048</v>
      </c>
      <c r="B904" s="38" t="n">
        <v>45987</v>
      </c>
      <c r="C904" s="37" t="n">
        <f aca="false">MONTH(B904)</f>
        <v>11</v>
      </c>
      <c r="D904" s="37" t="s">
        <v>160</v>
      </c>
      <c r="E904" s="37" t="s">
        <v>46</v>
      </c>
      <c r="F904" s="37" t="s">
        <v>97</v>
      </c>
      <c r="G904" s="37" t="s">
        <v>91</v>
      </c>
      <c r="H904" s="37" t="s">
        <v>116</v>
      </c>
      <c r="I904" s="37" t="n">
        <v>1</v>
      </c>
      <c r="J904" s="39" t="n">
        <v>899</v>
      </c>
      <c r="K904" s="40" t="n">
        <v>0</v>
      </c>
      <c r="L904" s="39" t="n">
        <f aca="false">VLOOKUP(H904,'Product List'!$A$3:$D$18,4,FALSE())</f>
        <v>430</v>
      </c>
      <c r="M904" s="39" t="n">
        <f aca="false">I904*J904*(1-K904)</f>
        <v>899</v>
      </c>
      <c r="N904" s="39" t="n">
        <f aca="false">I904*L904</f>
        <v>430</v>
      </c>
      <c r="O904" s="39" t="n">
        <f aca="false">M904-N904</f>
        <v>469</v>
      </c>
      <c r="P904" s="41" t="n">
        <f aca="false">IF(M904=0,0,O904/M904)</f>
        <v>0.521690767519466</v>
      </c>
      <c r="Q904" s="37" t="str">
        <f aca="false">IF(K904=0,"No discount",IF(K904&lt;=0.1,"1-10%",IF(K904&lt;=0.2,"11-20%",IF(K904&lt;=0.3,"21-30%","Above 30%"))))</f>
        <v>No discount</v>
      </c>
      <c r="R904" s="39" t="n">
        <f aca="false">I904*J904*MAX(0,K904-DiscountCap)</f>
        <v>0</v>
      </c>
    </row>
    <row r="905" customFormat="false" ht="15" hidden="false" customHeight="false" outlineLevel="0" collapsed="false">
      <c r="A905" s="37" t="s">
        <v>1049</v>
      </c>
      <c r="B905" s="38" t="n">
        <v>45991</v>
      </c>
      <c r="C905" s="37" t="n">
        <f aca="false">MONTH(B905)</f>
        <v>11</v>
      </c>
      <c r="D905" s="37" t="s">
        <v>166</v>
      </c>
      <c r="E905" s="37" t="s">
        <v>44</v>
      </c>
      <c r="F905" s="37" t="s">
        <v>97</v>
      </c>
      <c r="G905" s="37" t="s">
        <v>90</v>
      </c>
      <c r="H905" s="37" t="s">
        <v>108</v>
      </c>
      <c r="I905" s="37" t="n">
        <v>1</v>
      </c>
      <c r="J905" s="39" t="n">
        <v>1999</v>
      </c>
      <c r="K905" s="40" t="n">
        <v>0</v>
      </c>
      <c r="L905" s="39" t="n">
        <f aca="false">VLOOKUP(H905,'Product List'!$A$3:$D$18,4,FALSE())</f>
        <v>1560</v>
      </c>
      <c r="M905" s="39" t="n">
        <f aca="false">I905*J905*(1-K905)</f>
        <v>1999</v>
      </c>
      <c r="N905" s="39" t="n">
        <f aca="false">I905*L905</f>
        <v>1560</v>
      </c>
      <c r="O905" s="39" t="n">
        <f aca="false">M905-N905</f>
        <v>439</v>
      </c>
      <c r="P905" s="41" t="n">
        <f aca="false">IF(M905=0,0,O905/M905)</f>
        <v>0.219609804902451</v>
      </c>
      <c r="Q905" s="37" t="str">
        <f aca="false">IF(K905=0,"No discount",IF(K905&lt;=0.1,"1-10%",IF(K905&lt;=0.2,"11-20%",IF(K905&lt;=0.3,"21-30%","Above 30%"))))</f>
        <v>No discount</v>
      </c>
      <c r="R905" s="39" t="n">
        <f aca="false">I905*J905*MAX(0,K905-DiscountCap)</f>
        <v>0</v>
      </c>
    </row>
    <row r="906" customFormat="false" ht="15" hidden="false" customHeight="false" outlineLevel="0" collapsed="false">
      <c r="A906" s="37" t="s">
        <v>1050</v>
      </c>
      <c r="B906" s="38" t="n">
        <v>45969</v>
      </c>
      <c r="C906" s="37" t="n">
        <f aca="false">MONTH(B906)</f>
        <v>11</v>
      </c>
      <c r="D906" s="37" t="s">
        <v>154</v>
      </c>
      <c r="E906" s="37" t="s">
        <v>47</v>
      </c>
      <c r="F906" s="37" t="s">
        <v>97</v>
      </c>
      <c r="G906" s="37" t="s">
        <v>90</v>
      </c>
      <c r="H906" s="37" t="s">
        <v>109</v>
      </c>
      <c r="I906" s="37" t="n">
        <v>1</v>
      </c>
      <c r="J906" s="39" t="n">
        <v>3499</v>
      </c>
      <c r="K906" s="40" t="n">
        <v>0.05</v>
      </c>
      <c r="L906" s="39" t="n">
        <f aca="false">VLOOKUP(H906,'Product List'!$A$3:$D$18,4,FALSE())</f>
        <v>2750</v>
      </c>
      <c r="M906" s="39" t="n">
        <f aca="false">I906*J906*(1-K906)</f>
        <v>3324.05</v>
      </c>
      <c r="N906" s="39" t="n">
        <f aca="false">I906*L906</f>
        <v>2750</v>
      </c>
      <c r="O906" s="39" t="n">
        <f aca="false">M906-N906</f>
        <v>574.05</v>
      </c>
      <c r="P906" s="41" t="n">
        <f aca="false">IF(M906=0,0,O906/M906)</f>
        <v>0.172695958243709</v>
      </c>
      <c r="Q906" s="37" t="str">
        <f aca="false">IF(K906=0,"No discount",IF(K906&lt;=0.1,"1-10%",IF(K906&lt;=0.2,"11-20%",IF(K906&lt;=0.3,"21-30%","Above 30%"))))</f>
        <v>1-10%</v>
      </c>
      <c r="R906" s="39" t="n">
        <f aca="false">I906*J906*MAX(0,K906-DiscountCap)</f>
        <v>0</v>
      </c>
    </row>
    <row r="907" customFormat="false" ht="15" hidden="false" customHeight="false" outlineLevel="0" collapsed="false">
      <c r="A907" s="37" t="s">
        <v>1051</v>
      </c>
      <c r="B907" s="38" t="n">
        <v>45985</v>
      </c>
      <c r="C907" s="37" t="n">
        <f aca="false">MONTH(B907)</f>
        <v>11</v>
      </c>
      <c r="D907" s="37" t="s">
        <v>140</v>
      </c>
      <c r="E907" s="37" t="s">
        <v>44</v>
      </c>
      <c r="F907" s="37" t="s">
        <v>96</v>
      </c>
      <c r="G907" s="37" t="s">
        <v>91</v>
      </c>
      <c r="H907" s="37" t="s">
        <v>117</v>
      </c>
      <c r="I907" s="37" t="n">
        <v>1</v>
      </c>
      <c r="J907" s="39" t="n">
        <v>1499</v>
      </c>
      <c r="K907" s="40" t="n">
        <v>0.25</v>
      </c>
      <c r="L907" s="39" t="n">
        <f aca="false">VLOOKUP(H907,'Product List'!$A$3:$D$18,4,FALSE())</f>
        <v>780</v>
      </c>
      <c r="M907" s="39" t="n">
        <f aca="false">I907*J907*(1-K907)</f>
        <v>1124.25</v>
      </c>
      <c r="N907" s="39" t="n">
        <f aca="false">I907*L907</f>
        <v>780</v>
      </c>
      <c r="O907" s="39" t="n">
        <f aca="false">M907-N907</f>
        <v>344.25</v>
      </c>
      <c r="P907" s="41" t="n">
        <f aca="false">IF(M907=0,0,O907/M907)</f>
        <v>0.306204136090727</v>
      </c>
      <c r="Q907" s="37" t="str">
        <f aca="false">IF(K907=0,"No discount",IF(K907&lt;=0.1,"1-10%",IF(K907&lt;=0.2,"11-20%",IF(K907&lt;=0.3,"21-30%","Above 30%"))))</f>
        <v>21-30%</v>
      </c>
      <c r="R907" s="39" t="n">
        <f aca="false">I907*J907*MAX(0,K907-DiscountCap)</f>
        <v>74.95</v>
      </c>
    </row>
    <row r="908" customFormat="false" ht="15" hidden="false" customHeight="false" outlineLevel="0" collapsed="false">
      <c r="A908" s="37" t="s">
        <v>1052</v>
      </c>
      <c r="B908" s="38" t="n">
        <v>45966</v>
      </c>
      <c r="C908" s="37" t="n">
        <f aca="false">MONTH(B908)</f>
        <v>11</v>
      </c>
      <c r="D908" s="37" t="s">
        <v>169</v>
      </c>
      <c r="E908" s="37" t="s">
        <v>44</v>
      </c>
      <c r="F908" s="37" t="s">
        <v>96</v>
      </c>
      <c r="G908" s="37" t="s">
        <v>92</v>
      </c>
      <c r="H908" s="37" t="s">
        <v>113</v>
      </c>
      <c r="I908" s="37" t="n">
        <v>1</v>
      </c>
      <c r="J908" s="39" t="n">
        <v>2199</v>
      </c>
      <c r="K908" s="40" t="n">
        <v>0.1</v>
      </c>
      <c r="L908" s="39" t="n">
        <f aca="false">VLOOKUP(H908,'Product List'!$A$3:$D$18,4,FALSE())</f>
        <v>1400</v>
      </c>
      <c r="M908" s="39" t="n">
        <f aca="false">I908*J908*(1-K908)</f>
        <v>1979.1</v>
      </c>
      <c r="N908" s="39" t="n">
        <f aca="false">I908*L908</f>
        <v>1400</v>
      </c>
      <c r="O908" s="39" t="n">
        <f aca="false">M908-N908</f>
        <v>579.1</v>
      </c>
      <c r="P908" s="41" t="n">
        <f aca="false">IF(M908=0,0,O908/M908)</f>
        <v>0.292607750997928</v>
      </c>
      <c r="Q908" s="37" t="str">
        <f aca="false">IF(K908=0,"No discount",IF(K908&lt;=0.1,"1-10%",IF(K908&lt;=0.2,"11-20%",IF(K908&lt;=0.3,"21-30%","Above 30%"))))</f>
        <v>1-10%</v>
      </c>
      <c r="R908" s="39" t="n">
        <f aca="false">I908*J908*MAX(0,K908-DiscountCap)</f>
        <v>0</v>
      </c>
    </row>
    <row r="909" customFormat="false" ht="15" hidden="false" customHeight="false" outlineLevel="0" collapsed="false">
      <c r="A909" s="37" t="s">
        <v>1053</v>
      </c>
      <c r="B909" s="38" t="n">
        <v>45977</v>
      </c>
      <c r="C909" s="37" t="n">
        <f aca="false">MONTH(B909)</f>
        <v>11</v>
      </c>
      <c r="D909" s="37" t="s">
        <v>144</v>
      </c>
      <c r="E909" s="37" t="s">
        <v>45</v>
      </c>
      <c r="F909" s="37" t="s">
        <v>96</v>
      </c>
      <c r="G909" s="37" t="s">
        <v>93</v>
      </c>
      <c r="H909" s="37" t="s">
        <v>122</v>
      </c>
      <c r="I909" s="37" t="n">
        <v>1</v>
      </c>
      <c r="J909" s="39" t="n">
        <v>1799</v>
      </c>
      <c r="K909" s="40" t="n">
        <v>0</v>
      </c>
      <c r="L909" s="39" t="n">
        <f aca="false">VLOOKUP(H909,'Product List'!$A$3:$D$18,4,FALSE())</f>
        <v>1250</v>
      </c>
      <c r="M909" s="39" t="n">
        <f aca="false">I909*J909*(1-K909)</f>
        <v>1799</v>
      </c>
      <c r="N909" s="39" t="n">
        <f aca="false">I909*L909</f>
        <v>1250</v>
      </c>
      <c r="O909" s="39" t="n">
        <f aca="false">M909-N909</f>
        <v>549</v>
      </c>
      <c r="P909" s="41" t="n">
        <f aca="false">IF(M909=0,0,O909/M909)</f>
        <v>0.305169538632574</v>
      </c>
      <c r="Q909" s="37" t="str">
        <f aca="false">IF(K909=0,"No discount",IF(K909&lt;=0.1,"1-10%",IF(K909&lt;=0.2,"11-20%",IF(K909&lt;=0.3,"21-30%","Above 30%"))))</f>
        <v>No discount</v>
      </c>
      <c r="R909" s="39" t="n">
        <f aca="false">I909*J909*MAX(0,K909-DiscountCap)</f>
        <v>0</v>
      </c>
    </row>
    <row r="910" customFormat="false" ht="15" hidden="false" customHeight="false" outlineLevel="0" collapsed="false">
      <c r="A910" s="37" t="s">
        <v>1054</v>
      </c>
      <c r="B910" s="38" t="n">
        <v>45971</v>
      </c>
      <c r="C910" s="37" t="n">
        <f aca="false">MONTH(B910)</f>
        <v>11</v>
      </c>
      <c r="D910" s="37" t="s">
        <v>160</v>
      </c>
      <c r="E910" s="37" t="s">
        <v>46</v>
      </c>
      <c r="F910" s="37" t="s">
        <v>97</v>
      </c>
      <c r="G910" s="37" t="s">
        <v>91</v>
      </c>
      <c r="H910" s="37" t="s">
        <v>117</v>
      </c>
      <c r="I910" s="37" t="n">
        <v>1</v>
      </c>
      <c r="J910" s="39" t="n">
        <v>1499</v>
      </c>
      <c r="K910" s="40" t="n">
        <v>0.25</v>
      </c>
      <c r="L910" s="39" t="n">
        <f aca="false">VLOOKUP(H910,'Product List'!$A$3:$D$18,4,FALSE())</f>
        <v>780</v>
      </c>
      <c r="M910" s="39" t="n">
        <f aca="false">I910*J910*(1-K910)</f>
        <v>1124.25</v>
      </c>
      <c r="N910" s="39" t="n">
        <f aca="false">I910*L910</f>
        <v>780</v>
      </c>
      <c r="O910" s="39" t="n">
        <f aca="false">M910-N910</f>
        <v>344.25</v>
      </c>
      <c r="P910" s="41" t="n">
        <f aca="false">IF(M910=0,0,O910/M910)</f>
        <v>0.306204136090727</v>
      </c>
      <c r="Q910" s="37" t="str">
        <f aca="false">IF(K910=0,"No discount",IF(K910&lt;=0.1,"1-10%",IF(K910&lt;=0.2,"11-20%",IF(K910&lt;=0.3,"21-30%","Above 30%"))))</f>
        <v>21-30%</v>
      </c>
      <c r="R910" s="39" t="n">
        <f aca="false">I910*J910*MAX(0,K910-DiscountCap)</f>
        <v>74.95</v>
      </c>
    </row>
    <row r="911" customFormat="false" ht="15" hidden="false" customHeight="false" outlineLevel="0" collapsed="false">
      <c r="A911" s="37" t="s">
        <v>1055</v>
      </c>
      <c r="B911" s="38" t="n">
        <v>45970</v>
      </c>
      <c r="C911" s="37" t="n">
        <f aca="false">MONTH(B911)</f>
        <v>11</v>
      </c>
      <c r="D911" s="37" t="s">
        <v>169</v>
      </c>
      <c r="E911" s="37" t="s">
        <v>44</v>
      </c>
      <c r="F911" s="37" t="s">
        <v>97</v>
      </c>
      <c r="G911" s="37" t="s">
        <v>90</v>
      </c>
      <c r="H911" s="37" t="s">
        <v>109</v>
      </c>
      <c r="I911" s="37" t="n">
        <v>1</v>
      </c>
      <c r="J911" s="39" t="n">
        <v>3499</v>
      </c>
      <c r="K911" s="40" t="n">
        <v>0.05</v>
      </c>
      <c r="L911" s="39" t="n">
        <f aca="false">VLOOKUP(H911,'Product List'!$A$3:$D$18,4,FALSE())</f>
        <v>2750</v>
      </c>
      <c r="M911" s="39" t="n">
        <f aca="false">I911*J911*(1-K911)</f>
        <v>3324.05</v>
      </c>
      <c r="N911" s="39" t="n">
        <f aca="false">I911*L911</f>
        <v>2750</v>
      </c>
      <c r="O911" s="39" t="n">
        <f aca="false">M911-N911</f>
        <v>574.05</v>
      </c>
      <c r="P911" s="41" t="n">
        <f aca="false">IF(M911=0,0,O911/M911)</f>
        <v>0.172695958243709</v>
      </c>
      <c r="Q911" s="37" t="str">
        <f aca="false">IF(K911=0,"No discount",IF(K911&lt;=0.1,"1-10%",IF(K911&lt;=0.2,"11-20%",IF(K911&lt;=0.3,"21-30%","Above 30%"))))</f>
        <v>1-10%</v>
      </c>
      <c r="R911" s="39" t="n">
        <f aca="false">I911*J911*MAX(0,K911-DiscountCap)</f>
        <v>0</v>
      </c>
    </row>
    <row r="912" customFormat="false" ht="15" hidden="false" customHeight="false" outlineLevel="0" collapsed="false">
      <c r="A912" s="37" t="s">
        <v>1056</v>
      </c>
      <c r="B912" s="38" t="n">
        <v>45973</v>
      </c>
      <c r="C912" s="37" t="n">
        <f aca="false">MONTH(B912)</f>
        <v>11</v>
      </c>
      <c r="D912" s="37" t="s">
        <v>136</v>
      </c>
      <c r="E912" s="37" t="s">
        <v>47</v>
      </c>
      <c r="F912" s="37" t="s">
        <v>96</v>
      </c>
      <c r="G912" s="37" t="s">
        <v>93</v>
      </c>
      <c r="H912" s="37" t="s">
        <v>123</v>
      </c>
      <c r="I912" s="37" t="n">
        <v>1</v>
      </c>
      <c r="J912" s="39" t="n">
        <v>1299</v>
      </c>
      <c r="K912" s="40" t="n">
        <v>0.1</v>
      </c>
      <c r="L912" s="39" t="n">
        <f aca="false">VLOOKUP(H912,'Product List'!$A$3:$D$18,4,FALSE())</f>
        <v>700</v>
      </c>
      <c r="M912" s="39" t="n">
        <f aca="false">I912*J912*(1-K912)</f>
        <v>1169.1</v>
      </c>
      <c r="N912" s="39" t="n">
        <f aca="false">I912*L912</f>
        <v>700</v>
      </c>
      <c r="O912" s="39" t="n">
        <f aca="false">M912-N912</f>
        <v>469.1</v>
      </c>
      <c r="P912" s="41" t="n">
        <f aca="false">IF(M912=0,0,O912/M912)</f>
        <v>0.401248823881618</v>
      </c>
      <c r="Q912" s="37" t="str">
        <f aca="false">IF(K912=0,"No discount",IF(K912&lt;=0.1,"1-10%",IF(K912&lt;=0.2,"11-20%",IF(K912&lt;=0.3,"21-30%","Above 30%"))))</f>
        <v>1-10%</v>
      </c>
      <c r="R912" s="39" t="n">
        <f aca="false">I912*J912*MAX(0,K912-DiscountCap)</f>
        <v>0</v>
      </c>
    </row>
    <row r="913" customFormat="false" ht="15" hidden="false" customHeight="false" outlineLevel="0" collapsed="false">
      <c r="A913" s="37" t="s">
        <v>1057</v>
      </c>
      <c r="B913" s="38" t="n">
        <v>45981</v>
      </c>
      <c r="C913" s="37" t="n">
        <f aca="false">MONTH(B913)</f>
        <v>11</v>
      </c>
      <c r="D913" s="37" t="s">
        <v>138</v>
      </c>
      <c r="E913" s="37" t="s">
        <v>46</v>
      </c>
      <c r="F913" s="37" t="s">
        <v>96</v>
      </c>
      <c r="G913" s="37" t="s">
        <v>92</v>
      </c>
      <c r="H913" s="37" t="s">
        <v>115</v>
      </c>
      <c r="I913" s="37" t="n">
        <v>2</v>
      </c>
      <c r="J913" s="39" t="n">
        <v>1799</v>
      </c>
      <c r="K913" s="40" t="n">
        <v>0.1</v>
      </c>
      <c r="L913" s="39" t="n">
        <f aca="false">VLOOKUP(H913,'Product List'!$A$3:$D$18,4,FALSE())</f>
        <v>1150</v>
      </c>
      <c r="M913" s="39" t="n">
        <f aca="false">I913*J913*(1-K913)</f>
        <v>3238.2</v>
      </c>
      <c r="N913" s="39" t="n">
        <f aca="false">I913*L913</f>
        <v>2300</v>
      </c>
      <c r="O913" s="39" t="n">
        <f aca="false">M913-N913</f>
        <v>938.2</v>
      </c>
      <c r="P913" s="41" t="n">
        <f aca="false">IF(M913=0,0,O913/M913)</f>
        <v>0.289728861713298</v>
      </c>
      <c r="Q913" s="37" t="str">
        <f aca="false">IF(K913=0,"No discount",IF(K913&lt;=0.1,"1-10%",IF(K913&lt;=0.2,"11-20%",IF(K913&lt;=0.3,"21-30%","Above 30%"))))</f>
        <v>1-10%</v>
      </c>
      <c r="R913" s="39" t="n">
        <f aca="false">I913*J913*MAX(0,K913-DiscountCap)</f>
        <v>0</v>
      </c>
    </row>
    <row r="914" customFormat="false" ht="15" hidden="false" customHeight="false" outlineLevel="0" collapsed="false">
      <c r="A914" s="37" t="s">
        <v>1058</v>
      </c>
      <c r="B914" s="38" t="n">
        <v>45990</v>
      </c>
      <c r="C914" s="37" t="n">
        <f aca="false">MONTH(B914)</f>
        <v>11</v>
      </c>
      <c r="D914" s="37" t="s">
        <v>166</v>
      </c>
      <c r="E914" s="37" t="s">
        <v>44</v>
      </c>
      <c r="F914" s="37" t="s">
        <v>96</v>
      </c>
      <c r="G914" s="37" t="s">
        <v>90</v>
      </c>
      <c r="H914" s="37" t="s">
        <v>108</v>
      </c>
      <c r="I914" s="37" t="n">
        <v>1</v>
      </c>
      <c r="J914" s="39" t="n">
        <v>1999</v>
      </c>
      <c r="K914" s="40" t="n">
        <v>0.2</v>
      </c>
      <c r="L914" s="39" t="n">
        <f aca="false">VLOOKUP(H914,'Product List'!$A$3:$D$18,4,FALSE())</f>
        <v>1560</v>
      </c>
      <c r="M914" s="39" t="n">
        <f aca="false">I914*J914*(1-K914)</f>
        <v>1599.2</v>
      </c>
      <c r="N914" s="39" t="n">
        <f aca="false">I914*L914</f>
        <v>1560</v>
      </c>
      <c r="O914" s="39" t="n">
        <f aca="false">M914-N914</f>
        <v>39.2</v>
      </c>
      <c r="P914" s="41" t="n">
        <f aca="false">IF(M914=0,0,O914/M914)</f>
        <v>0.0245122561280641</v>
      </c>
      <c r="Q914" s="37" t="str">
        <f aca="false">IF(K914=0,"No discount",IF(K914&lt;=0.1,"1-10%",IF(K914&lt;=0.2,"11-20%",IF(K914&lt;=0.3,"21-30%","Above 30%"))))</f>
        <v>11-20%</v>
      </c>
      <c r="R914" s="39" t="n">
        <f aca="false">I914*J914*MAX(0,K914-DiscountCap)</f>
        <v>0</v>
      </c>
    </row>
    <row r="915" customFormat="false" ht="15" hidden="false" customHeight="false" outlineLevel="0" collapsed="false">
      <c r="A915" s="37" t="s">
        <v>1059</v>
      </c>
      <c r="B915" s="38" t="n">
        <v>45977</v>
      </c>
      <c r="C915" s="37" t="n">
        <f aca="false">MONTH(B915)</f>
        <v>11</v>
      </c>
      <c r="D915" s="37" t="s">
        <v>166</v>
      </c>
      <c r="E915" s="37" t="s">
        <v>44</v>
      </c>
      <c r="F915" s="37" t="s">
        <v>97</v>
      </c>
      <c r="G915" s="37" t="s">
        <v>90</v>
      </c>
      <c r="H915" s="37" t="s">
        <v>111</v>
      </c>
      <c r="I915" s="37" t="n">
        <v>1</v>
      </c>
      <c r="J915" s="39" t="n">
        <v>2499</v>
      </c>
      <c r="K915" s="40" t="n">
        <v>0.05</v>
      </c>
      <c r="L915" s="39" t="n">
        <f aca="false">VLOOKUP(H915,'Product List'!$A$3:$D$18,4,FALSE())</f>
        <v>1950</v>
      </c>
      <c r="M915" s="39" t="n">
        <f aca="false">I915*J915*(1-K915)</f>
        <v>2374.05</v>
      </c>
      <c r="N915" s="39" t="n">
        <f aca="false">I915*L915</f>
        <v>1950</v>
      </c>
      <c r="O915" s="39" t="n">
        <f aca="false">M915-N915</f>
        <v>424.05</v>
      </c>
      <c r="P915" s="41" t="n">
        <f aca="false">IF(M915=0,0,O915/M915)</f>
        <v>0.178618815947432</v>
      </c>
      <c r="Q915" s="37" t="str">
        <f aca="false">IF(K915=0,"No discount",IF(K915&lt;=0.1,"1-10%",IF(K915&lt;=0.2,"11-20%",IF(K915&lt;=0.3,"21-30%","Above 30%"))))</f>
        <v>1-10%</v>
      </c>
      <c r="R915" s="39" t="n">
        <f aca="false">I915*J915*MAX(0,K915-DiscountCap)</f>
        <v>0</v>
      </c>
    </row>
    <row r="916" customFormat="false" ht="15" hidden="false" customHeight="false" outlineLevel="0" collapsed="false">
      <c r="A916" s="37" t="s">
        <v>1060</v>
      </c>
      <c r="B916" s="38" t="n">
        <v>45970</v>
      </c>
      <c r="C916" s="37" t="n">
        <f aca="false">MONTH(B916)</f>
        <v>11</v>
      </c>
      <c r="D916" s="37" t="s">
        <v>144</v>
      </c>
      <c r="E916" s="37" t="s">
        <v>45</v>
      </c>
      <c r="F916" s="37" t="s">
        <v>97</v>
      </c>
      <c r="G916" s="37" t="s">
        <v>91</v>
      </c>
      <c r="H916" s="37" t="s">
        <v>119</v>
      </c>
      <c r="I916" s="37" t="n">
        <v>1</v>
      </c>
      <c r="J916" s="39" t="n">
        <v>1099</v>
      </c>
      <c r="K916" s="40" t="n">
        <v>0.1</v>
      </c>
      <c r="L916" s="39" t="n">
        <f aca="false">VLOOKUP(H916,'Product List'!$A$3:$D$18,4,FALSE())</f>
        <v>560</v>
      </c>
      <c r="M916" s="39" t="n">
        <f aca="false">I916*J916*(1-K916)</f>
        <v>989.1</v>
      </c>
      <c r="N916" s="39" t="n">
        <f aca="false">I916*L916</f>
        <v>560</v>
      </c>
      <c r="O916" s="39" t="n">
        <f aca="false">M916-N916</f>
        <v>429.1</v>
      </c>
      <c r="P916" s="41" t="n">
        <f aca="false">IF(M916=0,0,O916/M916)</f>
        <v>0.433828733191791</v>
      </c>
      <c r="Q916" s="37" t="str">
        <f aca="false">IF(K916=0,"No discount",IF(K916&lt;=0.1,"1-10%",IF(K916&lt;=0.2,"11-20%",IF(K916&lt;=0.3,"21-30%","Above 30%"))))</f>
        <v>1-10%</v>
      </c>
      <c r="R916" s="39" t="n">
        <f aca="false">I916*J916*MAX(0,K916-DiscountCap)</f>
        <v>0</v>
      </c>
    </row>
    <row r="917" customFormat="false" ht="15" hidden="false" customHeight="false" outlineLevel="0" collapsed="false">
      <c r="A917" s="37" t="s">
        <v>1061</v>
      </c>
      <c r="B917" s="38" t="n">
        <v>45967</v>
      </c>
      <c r="C917" s="37" t="n">
        <f aca="false">MONTH(B917)</f>
        <v>11</v>
      </c>
      <c r="D917" s="37" t="s">
        <v>144</v>
      </c>
      <c r="E917" s="37" t="s">
        <v>45</v>
      </c>
      <c r="F917" s="37" t="s">
        <v>97</v>
      </c>
      <c r="G917" s="37" t="s">
        <v>90</v>
      </c>
      <c r="H917" s="37" t="s">
        <v>110</v>
      </c>
      <c r="I917" s="37" t="n">
        <v>1</v>
      </c>
      <c r="J917" s="39" t="n">
        <v>1299</v>
      </c>
      <c r="K917" s="40" t="n">
        <v>0.25</v>
      </c>
      <c r="L917" s="39" t="n">
        <f aca="false">VLOOKUP(H917,'Product List'!$A$3:$D$18,4,FALSE())</f>
        <v>1000</v>
      </c>
      <c r="M917" s="39" t="n">
        <f aca="false">I917*J917*(1-K917)</f>
        <v>974.25</v>
      </c>
      <c r="N917" s="39" t="n">
        <f aca="false">I917*L917</f>
        <v>1000</v>
      </c>
      <c r="O917" s="39" t="n">
        <f aca="false">M917-N917</f>
        <v>-25.75</v>
      </c>
      <c r="P917" s="41" t="n">
        <f aca="false">IF(M917=0,0,O917/M917)</f>
        <v>-0.0264305876315114</v>
      </c>
      <c r="Q917" s="37" t="str">
        <f aca="false">IF(K917=0,"No discount",IF(K917&lt;=0.1,"1-10%",IF(K917&lt;=0.2,"11-20%",IF(K917&lt;=0.3,"21-30%","Above 30%"))))</f>
        <v>21-30%</v>
      </c>
      <c r="R917" s="39" t="n">
        <f aca="false">I917*J917*MAX(0,K917-DiscountCap)</f>
        <v>64.95</v>
      </c>
    </row>
    <row r="918" customFormat="false" ht="15" hidden="false" customHeight="false" outlineLevel="0" collapsed="false">
      <c r="A918" s="37" t="s">
        <v>1062</v>
      </c>
      <c r="B918" s="38" t="n">
        <v>45990</v>
      </c>
      <c r="C918" s="37" t="n">
        <f aca="false">MONTH(B918)</f>
        <v>11</v>
      </c>
      <c r="D918" s="37" t="s">
        <v>142</v>
      </c>
      <c r="E918" s="37" t="s">
        <v>47</v>
      </c>
      <c r="F918" s="37" t="s">
        <v>96</v>
      </c>
      <c r="G918" s="37" t="s">
        <v>90</v>
      </c>
      <c r="H918" s="37" t="s">
        <v>109</v>
      </c>
      <c r="I918" s="37" t="n">
        <v>1</v>
      </c>
      <c r="J918" s="39" t="n">
        <v>3499</v>
      </c>
      <c r="K918" s="40" t="n">
        <v>0.15</v>
      </c>
      <c r="L918" s="39" t="n">
        <f aca="false">VLOOKUP(H918,'Product List'!$A$3:$D$18,4,FALSE())</f>
        <v>2750</v>
      </c>
      <c r="M918" s="39" t="n">
        <f aca="false">I918*J918*(1-K918)</f>
        <v>2974.15</v>
      </c>
      <c r="N918" s="39" t="n">
        <f aca="false">I918*L918</f>
        <v>2750</v>
      </c>
      <c r="O918" s="39" t="n">
        <f aca="false">M918-N918</f>
        <v>224.15</v>
      </c>
      <c r="P918" s="41" t="n">
        <f aca="false">IF(M918=0,0,O918/M918)</f>
        <v>0.0753660709782627</v>
      </c>
      <c r="Q918" s="37" t="str">
        <f aca="false">IF(K918=0,"No discount",IF(K918&lt;=0.1,"1-10%",IF(K918&lt;=0.2,"11-20%",IF(K918&lt;=0.3,"21-30%","Above 30%"))))</f>
        <v>11-20%</v>
      </c>
      <c r="R918" s="39" t="n">
        <f aca="false">I918*J918*MAX(0,K918-DiscountCap)</f>
        <v>0</v>
      </c>
    </row>
    <row r="919" customFormat="false" ht="15" hidden="false" customHeight="false" outlineLevel="0" collapsed="false">
      <c r="A919" s="37" t="s">
        <v>1063</v>
      </c>
      <c r="B919" s="38" t="n">
        <v>45970</v>
      </c>
      <c r="C919" s="37" t="n">
        <f aca="false">MONTH(B919)</f>
        <v>11</v>
      </c>
      <c r="D919" s="37" t="s">
        <v>140</v>
      </c>
      <c r="E919" s="37" t="s">
        <v>44</v>
      </c>
      <c r="F919" s="37" t="s">
        <v>96</v>
      </c>
      <c r="G919" s="37" t="s">
        <v>91</v>
      </c>
      <c r="H919" s="37" t="s">
        <v>117</v>
      </c>
      <c r="I919" s="37" t="n">
        <v>1</v>
      </c>
      <c r="J919" s="39" t="n">
        <v>1499</v>
      </c>
      <c r="K919" s="40" t="n">
        <v>0.2</v>
      </c>
      <c r="L919" s="39" t="n">
        <f aca="false">VLOOKUP(H919,'Product List'!$A$3:$D$18,4,FALSE())</f>
        <v>780</v>
      </c>
      <c r="M919" s="39" t="n">
        <f aca="false">I919*J919*(1-K919)</f>
        <v>1199.2</v>
      </c>
      <c r="N919" s="39" t="n">
        <f aca="false">I919*L919</f>
        <v>780</v>
      </c>
      <c r="O919" s="39" t="n">
        <f aca="false">M919-N919</f>
        <v>419.2</v>
      </c>
      <c r="P919" s="41" t="n">
        <f aca="false">IF(M919=0,0,O919/M919)</f>
        <v>0.349566377585057</v>
      </c>
      <c r="Q919" s="37" t="str">
        <f aca="false">IF(K919=0,"No discount",IF(K919&lt;=0.1,"1-10%",IF(K919&lt;=0.2,"11-20%",IF(K919&lt;=0.3,"21-30%","Above 30%"))))</f>
        <v>11-20%</v>
      </c>
      <c r="R919" s="39" t="n">
        <f aca="false">I919*J919*MAX(0,K919-DiscountCap)</f>
        <v>0</v>
      </c>
    </row>
    <row r="920" customFormat="false" ht="15" hidden="false" customHeight="false" outlineLevel="0" collapsed="false">
      <c r="A920" s="37" t="s">
        <v>1064</v>
      </c>
      <c r="B920" s="38" t="n">
        <v>45983</v>
      </c>
      <c r="C920" s="37" t="n">
        <f aca="false">MONTH(B920)</f>
        <v>11</v>
      </c>
      <c r="D920" s="37" t="s">
        <v>138</v>
      </c>
      <c r="E920" s="37" t="s">
        <v>46</v>
      </c>
      <c r="F920" s="37" t="s">
        <v>97</v>
      </c>
      <c r="G920" s="37" t="s">
        <v>90</v>
      </c>
      <c r="H920" s="37" t="s">
        <v>111</v>
      </c>
      <c r="I920" s="37" t="n">
        <v>1</v>
      </c>
      <c r="J920" s="39" t="n">
        <v>2499</v>
      </c>
      <c r="K920" s="40" t="n">
        <v>0.15</v>
      </c>
      <c r="L920" s="39" t="n">
        <f aca="false">VLOOKUP(H920,'Product List'!$A$3:$D$18,4,FALSE())</f>
        <v>1950</v>
      </c>
      <c r="M920" s="39" t="n">
        <f aca="false">I920*J920*(1-K920)</f>
        <v>2124.15</v>
      </c>
      <c r="N920" s="39" t="n">
        <f aca="false">I920*L920</f>
        <v>1950</v>
      </c>
      <c r="O920" s="39" t="n">
        <f aca="false">M920-N920</f>
        <v>174.15</v>
      </c>
      <c r="P920" s="41" t="n">
        <f aca="false">IF(M920=0,0,O920/M920)</f>
        <v>0.0819857354706589</v>
      </c>
      <c r="Q920" s="37" t="str">
        <f aca="false">IF(K920=0,"No discount",IF(K920&lt;=0.1,"1-10%",IF(K920&lt;=0.2,"11-20%",IF(K920&lt;=0.3,"21-30%","Above 30%"))))</f>
        <v>11-20%</v>
      </c>
      <c r="R920" s="39" t="n">
        <f aca="false">I920*J920*MAX(0,K920-DiscountCap)</f>
        <v>0</v>
      </c>
    </row>
    <row r="921" customFormat="false" ht="15" hidden="false" customHeight="false" outlineLevel="0" collapsed="false">
      <c r="A921" s="37" t="s">
        <v>1065</v>
      </c>
      <c r="B921" s="38" t="n">
        <v>45985</v>
      </c>
      <c r="C921" s="37" t="n">
        <f aca="false">MONTH(B921)</f>
        <v>11</v>
      </c>
      <c r="D921" s="37" t="s">
        <v>169</v>
      </c>
      <c r="E921" s="37" t="s">
        <v>44</v>
      </c>
      <c r="F921" s="37" t="s">
        <v>97</v>
      </c>
      <c r="G921" s="37" t="s">
        <v>93</v>
      </c>
      <c r="H921" s="37" t="s">
        <v>123</v>
      </c>
      <c r="I921" s="37" t="n">
        <v>1</v>
      </c>
      <c r="J921" s="39" t="n">
        <v>1299</v>
      </c>
      <c r="K921" s="40" t="n">
        <v>0.1</v>
      </c>
      <c r="L921" s="39" t="n">
        <f aca="false">VLOOKUP(H921,'Product List'!$A$3:$D$18,4,FALSE())</f>
        <v>700</v>
      </c>
      <c r="M921" s="39" t="n">
        <f aca="false">I921*J921*(1-K921)</f>
        <v>1169.1</v>
      </c>
      <c r="N921" s="39" t="n">
        <f aca="false">I921*L921</f>
        <v>700</v>
      </c>
      <c r="O921" s="39" t="n">
        <f aca="false">M921-N921</f>
        <v>469.1</v>
      </c>
      <c r="P921" s="41" t="n">
        <f aca="false">IF(M921=0,0,O921/M921)</f>
        <v>0.401248823881618</v>
      </c>
      <c r="Q921" s="37" t="str">
        <f aca="false">IF(K921=0,"No discount",IF(K921&lt;=0.1,"1-10%",IF(K921&lt;=0.2,"11-20%",IF(K921&lt;=0.3,"21-30%","Above 30%"))))</f>
        <v>1-10%</v>
      </c>
      <c r="R921" s="39" t="n">
        <f aca="false">I921*J921*MAX(0,K921-DiscountCap)</f>
        <v>0</v>
      </c>
    </row>
    <row r="922" customFormat="false" ht="15" hidden="false" customHeight="false" outlineLevel="0" collapsed="false">
      <c r="A922" s="37" t="s">
        <v>1066</v>
      </c>
      <c r="B922" s="38" t="n">
        <v>45977</v>
      </c>
      <c r="C922" s="37" t="n">
        <f aca="false">MONTH(B922)</f>
        <v>11</v>
      </c>
      <c r="D922" s="37" t="s">
        <v>142</v>
      </c>
      <c r="E922" s="37" t="s">
        <v>47</v>
      </c>
      <c r="F922" s="37" t="s">
        <v>96</v>
      </c>
      <c r="G922" s="37" t="s">
        <v>90</v>
      </c>
      <c r="H922" s="37" t="s">
        <v>110</v>
      </c>
      <c r="I922" s="37" t="n">
        <v>1</v>
      </c>
      <c r="J922" s="39" t="n">
        <v>1299</v>
      </c>
      <c r="K922" s="40" t="n">
        <v>0.3</v>
      </c>
      <c r="L922" s="39" t="n">
        <f aca="false">VLOOKUP(H922,'Product List'!$A$3:$D$18,4,FALSE())</f>
        <v>1000</v>
      </c>
      <c r="M922" s="39" t="n">
        <f aca="false">I922*J922*(1-K922)</f>
        <v>909.3</v>
      </c>
      <c r="N922" s="39" t="n">
        <f aca="false">I922*L922</f>
        <v>1000</v>
      </c>
      <c r="O922" s="39" t="n">
        <f aca="false">M922-N922</f>
        <v>-90.7000000000001</v>
      </c>
      <c r="P922" s="41" t="n">
        <f aca="false">IF(M922=0,0,O922/M922)</f>
        <v>-0.0997470581766194</v>
      </c>
      <c r="Q922" s="37" t="str">
        <f aca="false">IF(K922=0,"No discount",IF(K922&lt;=0.1,"1-10%",IF(K922&lt;=0.2,"11-20%",IF(K922&lt;=0.3,"21-30%","Above 30%"))))</f>
        <v>21-30%</v>
      </c>
      <c r="R922" s="39" t="n">
        <f aca="false">I922*J922*MAX(0,K922-DiscountCap)</f>
        <v>129.9</v>
      </c>
    </row>
    <row r="923" customFormat="false" ht="15" hidden="false" customHeight="false" outlineLevel="0" collapsed="false">
      <c r="A923" s="37" t="s">
        <v>1067</v>
      </c>
      <c r="B923" s="38" t="n">
        <v>45990</v>
      </c>
      <c r="C923" s="37" t="n">
        <f aca="false">MONTH(B923)</f>
        <v>11</v>
      </c>
      <c r="D923" s="37" t="s">
        <v>172</v>
      </c>
      <c r="E923" s="37" t="s">
        <v>46</v>
      </c>
      <c r="F923" s="37" t="s">
        <v>97</v>
      </c>
      <c r="G923" s="37" t="s">
        <v>93</v>
      </c>
      <c r="H923" s="37" t="s">
        <v>122</v>
      </c>
      <c r="I923" s="37" t="n">
        <v>5</v>
      </c>
      <c r="J923" s="39" t="n">
        <v>1799</v>
      </c>
      <c r="K923" s="40" t="n">
        <v>0.1</v>
      </c>
      <c r="L923" s="39" t="n">
        <f aca="false">VLOOKUP(H923,'Product List'!$A$3:$D$18,4,FALSE())</f>
        <v>1250</v>
      </c>
      <c r="M923" s="39" t="n">
        <f aca="false">I923*J923*(1-K923)</f>
        <v>8095.5</v>
      </c>
      <c r="N923" s="39" t="n">
        <f aca="false">I923*L923</f>
        <v>6250</v>
      </c>
      <c r="O923" s="39" t="n">
        <f aca="false">M923-N923</f>
        <v>1845.5</v>
      </c>
      <c r="P923" s="41" t="n">
        <f aca="false">IF(M923=0,0,O923/M923)</f>
        <v>0.227966154036193</v>
      </c>
      <c r="Q923" s="37" t="str">
        <f aca="false">IF(K923=0,"No discount",IF(K923&lt;=0.1,"1-10%",IF(K923&lt;=0.2,"11-20%",IF(K923&lt;=0.3,"21-30%","Above 30%"))))</f>
        <v>1-10%</v>
      </c>
      <c r="R923" s="39" t="n">
        <f aca="false">I923*J923*MAX(0,K923-DiscountCap)</f>
        <v>0</v>
      </c>
    </row>
    <row r="924" customFormat="false" ht="15" hidden="false" customHeight="false" outlineLevel="0" collapsed="false">
      <c r="A924" s="37" t="s">
        <v>1068</v>
      </c>
      <c r="B924" s="38" t="n">
        <v>45993</v>
      </c>
      <c r="C924" s="37" t="n">
        <f aca="false">MONTH(B924)</f>
        <v>12</v>
      </c>
      <c r="D924" s="37" t="s">
        <v>140</v>
      </c>
      <c r="E924" s="37" t="s">
        <v>44</v>
      </c>
      <c r="F924" s="37" t="s">
        <v>96</v>
      </c>
      <c r="G924" s="37" t="s">
        <v>93</v>
      </c>
      <c r="H924" s="37" t="s">
        <v>120</v>
      </c>
      <c r="I924" s="37" t="n">
        <v>1</v>
      </c>
      <c r="J924" s="39" t="n">
        <v>449</v>
      </c>
      <c r="K924" s="40" t="n">
        <v>0.3</v>
      </c>
      <c r="L924" s="39" t="n">
        <f aca="false">VLOOKUP(H924,'Product List'!$A$3:$D$18,4,FALSE())</f>
        <v>240</v>
      </c>
      <c r="M924" s="39" t="n">
        <f aca="false">I924*J924*(1-K924)</f>
        <v>314.3</v>
      </c>
      <c r="N924" s="39" t="n">
        <f aca="false">I924*L924</f>
        <v>240</v>
      </c>
      <c r="O924" s="39" t="n">
        <f aca="false">M924-N924</f>
        <v>74.3</v>
      </c>
      <c r="P924" s="41" t="n">
        <f aca="false">IF(M924=0,0,O924/M924)</f>
        <v>0.236398345529749</v>
      </c>
      <c r="Q924" s="37" t="str">
        <f aca="false">IF(K924=0,"No discount",IF(K924&lt;=0.1,"1-10%",IF(K924&lt;=0.2,"11-20%",IF(K924&lt;=0.3,"21-30%","Above 30%"))))</f>
        <v>21-30%</v>
      </c>
      <c r="R924" s="39" t="n">
        <f aca="false">I924*J924*MAX(0,K924-DiscountCap)</f>
        <v>44.9</v>
      </c>
    </row>
    <row r="925" customFormat="false" ht="15" hidden="false" customHeight="false" outlineLevel="0" collapsed="false">
      <c r="A925" s="37" t="s">
        <v>1069</v>
      </c>
      <c r="B925" s="38" t="n">
        <v>46019</v>
      </c>
      <c r="C925" s="37" t="n">
        <f aca="false">MONTH(B925)</f>
        <v>12</v>
      </c>
      <c r="D925" s="37" t="s">
        <v>160</v>
      </c>
      <c r="E925" s="37" t="s">
        <v>46</v>
      </c>
      <c r="F925" s="37" t="s">
        <v>96</v>
      </c>
      <c r="G925" s="37" t="s">
        <v>91</v>
      </c>
      <c r="H925" s="37" t="s">
        <v>119</v>
      </c>
      <c r="I925" s="37" t="n">
        <v>3</v>
      </c>
      <c r="J925" s="39" t="n">
        <v>1099</v>
      </c>
      <c r="K925" s="40" t="n">
        <v>0</v>
      </c>
      <c r="L925" s="39" t="n">
        <f aca="false">VLOOKUP(H925,'Product List'!$A$3:$D$18,4,FALSE())</f>
        <v>560</v>
      </c>
      <c r="M925" s="39" t="n">
        <f aca="false">I925*J925*(1-K925)</f>
        <v>3297</v>
      </c>
      <c r="N925" s="39" t="n">
        <f aca="false">I925*L925</f>
        <v>1680</v>
      </c>
      <c r="O925" s="39" t="n">
        <f aca="false">M925-N925</f>
        <v>1617</v>
      </c>
      <c r="P925" s="41" t="n">
        <f aca="false">IF(M925=0,0,O925/M925)</f>
        <v>0.490445859872611</v>
      </c>
      <c r="Q925" s="37" t="str">
        <f aca="false">IF(K925=0,"No discount",IF(K925&lt;=0.1,"1-10%",IF(K925&lt;=0.2,"11-20%",IF(K925&lt;=0.3,"21-30%","Above 30%"))))</f>
        <v>No discount</v>
      </c>
      <c r="R925" s="39" t="n">
        <f aca="false">I925*J925*MAX(0,K925-DiscountCap)</f>
        <v>0</v>
      </c>
    </row>
    <row r="926" customFormat="false" ht="15" hidden="false" customHeight="false" outlineLevel="0" collapsed="false">
      <c r="A926" s="37" t="s">
        <v>1070</v>
      </c>
      <c r="B926" s="38" t="n">
        <v>45999</v>
      </c>
      <c r="C926" s="37" t="n">
        <f aca="false">MONTH(B926)</f>
        <v>12</v>
      </c>
      <c r="D926" s="37" t="s">
        <v>134</v>
      </c>
      <c r="E926" s="37" t="s">
        <v>45</v>
      </c>
      <c r="F926" s="37" t="s">
        <v>96</v>
      </c>
      <c r="G926" s="37" t="s">
        <v>90</v>
      </c>
      <c r="H926" s="37" t="s">
        <v>110</v>
      </c>
      <c r="I926" s="37" t="n">
        <v>1</v>
      </c>
      <c r="J926" s="39" t="n">
        <v>1299</v>
      </c>
      <c r="K926" s="40" t="n">
        <v>0.1</v>
      </c>
      <c r="L926" s="39" t="n">
        <f aca="false">VLOOKUP(H926,'Product List'!$A$3:$D$18,4,FALSE())</f>
        <v>1000</v>
      </c>
      <c r="M926" s="39" t="n">
        <f aca="false">I926*J926*(1-K926)</f>
        <v>1169.1</v>
      </c>
      <c r="N926" s="39" t="n">
        <f aca="false">I926*L926</f>
        <v>1000</v>
      </c>
      <c r="O926" s="39" t="n">
        <f aca="false">M926-N926</f>
        <v>169.1</v>
      </c>
      <c r="P926" s="41" t="n">
        <f aca="false">IF(M926=0,0,O926/M926)</f>
        <v>0.144641176973741</v>
      </c>
      <c r="Q926" s="37" t="str">
        <f aca="false">IF(K926=0,"No discount",IF(K926&lt;=0.1,"1-10%",IF(K926&lt;=0.2,"11-20%",IF(K926&lt;=0.3,"21-30%","Above 30%"))))</f>
        <v>1-10%</v>
      </c>
      <c r="R926" s="39" t="n">
        <f aca="false">I926*J926*MAX(0,K926-DiscountCap)</f>
        <v>0</v>
      </c>
    </row>
    <row r="927" customFormat="false" ht="15" hidden="false" customHeight="false" outlineLevel="0" collapsed="false">
      <c r="A927" s="37" t="s">
        <v>1071</v>
      </c>
      <c r="B927" s="38" t="n">
        <v>45997</v>
      </c>
      <c r="C927" s="37" t="n">
        <f aca="false">MONTH(B927)</f>
        <v>12</v>
      </c>
      <c r="D927" s="37" t="s">
        <v>172</v>
      </c>
      <c r="E927" s="37" t="s">
        <v>46</v>
      </c>
      <c r="F927" s="37" t="s">
        <v>97</v>
      </c>
      <c r="G927" s="37" t="s">
        <v>90</v>
      </c>
      <c r="H927" s="37" t="s">
        <v>108</v>
      </c>
      <c r="I927" s="37" t="n">
        <v>2</v>
      </c>
      <c r="J927" s="39" t="n">
        <v>1999</v>
      </c>
      <c r="K927" s="40" t="n">
        <v>0.1</v>
      </c>
      <c r="L927" s="39" t="n">
        <f aca="false">VLOOKUP(H927,'Product List'!$A$3:$D$18,4,FALSE())</f>
        <v>1560</v>
      </c>
      <c r="M927" s="39" t="n">
        <f aca="false">I927*J927*(1-K927)</f>
        <v>3598.2</v>
      </c>
      <c r="N927" s="39" t="n">
        <f aca="false">I927*L927</f>
        <v>3120</v>
      </c>
      <c r="O927" s="39" t="n">
        <f aca="false">M927-N927</f>
        <v>478.2</v>
      </c>
      <c r="P927" s="41" t="n">
        <f aca="false">IF(M927=0,0,O927/M927)</f>
        <v>0.132899783224946</v>
      </c>
      <c r="Q927" s="37" t="str">
        <f aca="false">IF(K927=0,"No discount",IF(K927&lt;=0.1,"1-10%",IF(K927&lt;=0.2,"11-20%",IF(K927&lt;=0.3,"21-30%","Above 30%"))))</f>
        <v>1-10%</v>
      </c>
      <c r="R927" s="39" t="n">
        <f aca="false">I927*J927*MAX(0,K927-DiscountCap)</f>
        <v>0</v>
      </c>
    </row>
    <row r="928" customFormat="false" ht="15" hidden="false" customHeight="false" outlineLevel="0" collapsed="false">
      <c r="A928" s="37" t="s">
        <v>1072</v>
      </c>
      <c r="B928" s="38" t="n">
        <v>46021</v>
      </c>
      <c r="C928" s="37" t="n">
        <f aca="false">MONTH(B928)</f>
        <v>12</v>
      </c>
      <c r="D928" s="37" t="s">
        <v>154</v>
      </c>
      <c r="E928" s="37" t="s">
        <v>47</v>
      </c>
      <c r="F928" s="37" t="s">
        <v>97</v>
      </c>
      <c r="G928" s="37" t="s">
        <v>93</v>
      </c>
      <c r="H928" s="37" t="s">
        <v>122</v>
      </c>
      <c r="I928" s="37" t="n">
        <v>2</v>
      </c>
      <c r="J928" s="39" t="n">
        <v>1799</v>
      </c>
      <c r="K928" s="40" t="n">
        <v>0.05</v>
      </c>
      <c r="L928" s="39" t="n">
        <f aca="false">VLOOKUP(H928,'Product List'!$A$3:$D$18,4,FALSE())</f>
        <v>1250</v>
      </c>
      <c r="M928" s="39" t="n">
        <f aca="false">I928*J928*(1-K928)</f>
        <v>3418.1</v>
      </c>
      <c r="N928" s="39" t="n">
        <f aca="false">I928*L928</f>
        <v>2500</v>
      </c>
      <c r="O928" s="39" t="n">
        <f aca="false">M928-N928</f>
        <v>918.1</v>
      </c>
      <c r="P928" s="41" t="n">
        <f aca="false">IF(M928=0,0,O928/M928)</f>
        <v>0.268599514350078</v>
      </c>
      <c r="Q928" s="37" t="str">
        <f aca="false">IF(K928=0,"No discount",IF(K928&lt;=0.1,"1-10%",IF(K928&lt;=0.2,"11-20%",IF(K928&lt;=0.3,"21-30%","Above 30%"))))</f>
        <v>1-10%</v>
      </c>
      <c r="R928" s="39" t="n">
        <f aca="false">I928*J928*MAX(0,K928-DiscountCap)</f>
        <v>0</v>
      </c>
    </row>
    <row r="929" customFormat="false" ht="15" hidden="false" customHeight="false" outlineLevel="0" collapsed="false">
      <c r="A929" s="37" t="s">
        <v>1073</v>
      </c>
      <c r="B929" s="38" t="n">
        <v>46016</v>
      </c>
      <c r="C929" s="37" t="n">
        <f aca="false">MONTH(B929)</f>
        <v>12</v>
      </c>
      <c r="D929" s="37" t="s">
        <v>144</v>
      </c>
      <c r="E929" s="37" t="s">
        <v>45</v>
      </c>
      <c r="F929" s="37" t="s">
        <v>97</v>
      </c>
      <c r="G929" s="37" t="s">
        <v>90</v>
      </c>
      <c r="H929" s="37" t="s">
        <v>110</v>
      </c>
      <c r="I929" s="37" t="n">
        <v>2</v>
      </c>
      <c r="J929" s="39" t="n">
        <v>1299</v>
      </c>
      <c r="K929" s="40" t="n">
        <v>0.1</v>
      </c>
      <c r="L929" s="39" t="n">
        <f aca="false">VLOOKUP(H929,'Product List'!$A$3:$D$18,4,FALSE())</f>
        <v>1000</v>
      </c>
      <c r="M929" s="39" t="n">
        <f aca="false">I929*J929*(1-K929)</f>
        <v>2338.2</v>
      </c>
      <c r="N929" s="39" t="n">
        <f aca="false">I929*L929</f>
        <v>2000</v>
      </c>
      <c r="O929" s="39" t="n">
        <f aca="false">M929-N929</f>
        <v>338.2</v>
      </c>
      <c r="P929" s="41" t="n">
        <f aca="false">IF(M929=0,0,O929/M929)</f>
        <v>0.144641176973741</v>
      </c>
      <c r="Q929" s="37" t="str">
        <f aca="false">IF(K929=0,"No discount",IF(K929&lt;=0.1,"1-10%",IF(K929&lt;=0.2,"11-20%",IF(K929&lt;=0.3,"21-30%","Above 30%"))))</f>
        <v>1-10%</v>
      </c>
      <c r="R929" s="39" t="n">
        <f aca="false">I929*J929*MAX(0,K929-DiscountCap)</f>
        <v>0</v>
      </c>
    </row>
    <row r="930" customFormat="false" ht="15" hidden="false" customHeight="false" outlineLevel="0" collapsed="false">
      <c r="A930" s="37" t="s">
        <v>1074</v>
      </c>
      <c r="B930" s="38" t="n">
        <v>46011</v>
      </c>
      <c r="C930" s="37" t="n">
        <f aca="false">MONTH(B930)</f>
        <v>12</v>
      </c>
      <c r="D930" s="37" t="s">
        <v>134</v>
      </c>
      <c r="E930" s="37" t="s">
        <v>45</v>
      </c>
      <c r="F930" s="37" t="s">
        <v>97</v>
      </c>
      <c r="G930" s="37" t="s">
        <v>92</v>
      </c>
      <c r="H930" s="37" t="s">
        <v>112</v>
      </c>
      <c r="I930" s="37" t="n">
        <v>3</v>
      </c>
      <c r="J930" s="39" t="n">
        <v>3299</v>
      </c>
      <c r="K930" s="40" t="n">
        <v>0.15</v>
      </c>
      <c r="L930" s="39" t="n">
        <f aca="false">VLOOKUP(H930,'Product List'!$A$3:$D$18,4,FALSE())</f>
        <v>2250</v>
      </c>
      <c r="M930" s="39" t="n">
        <f aca="false">I930*J930*(1-K930)</f>
        <v>8412.45</v>
      </c>
      <c r="N930" s="39" t="n">
        <f aca="false">I930*L930</f>
        <v>6750</v>
      </c>
      <c r="O930" s="39" t="n">
        <f aca="false">M930-N930</f>
        <v>1662.45</v>
      </c>
      <c r="P930" s="41" t="n">
        <f aca="false">IF(M930=0,0,O930/M930)</f>
        <v>0.197617816450618</v>
      </c>
      <c r="Q930" s="37" t="str">
        <f aca="false">IF(K930=0,"No discount",IF(K930&lt;=0.1,"1-10%",IF(K930&lt;=0.2,"11-20%",IF(K930&lt;=0.3,"21-30%","Above 30%"))))</f>
        <v>11-20%</v>
      </c>
      <c r="R930" s="39" t="n">
        <f aca="false">I930*J930*MAX(0,K930-DiscountCap)</f>
        <v>0</v>
      </c>
    </row>
    <row r="931" customFormat="false" ht="15" hidden="false" customHeight="false" outlineLevel="0" collapsed="false">
      <c r="A931" s="37" t="s">
        <v>1075</v>
      </c>
      <c r="B931" s="38" t="n">
        <v>45999</v>
      </c>
      <c r="C931" s="37" t="n">
        <f aca="false">MONTH(B931)</f>
        <v>12</v>
      </c>
      <c r="D931" s="37" t="s">
        <v>146</v>
      </c>
      <c r="E931" s="37" t="s">
        <v>45</v>
      </c>
      <c r="F931" s="37" t="s">
        <v>96</v>
      </c>
      <c r="G931" s="37" t="s">
        <v>91</v>
      </c>
      <c r="H931" s="37" t="s">
        <v>119</v>
      </c>
      <c r="I931" s="37" t="n">
        <v>1</v>
      </c>
      <c r="J931" s="39" t="n">
        <v>1099</v>
      </c>
      <c r="K931" s="40" t="n">
        <v>0.15</v>
      </c>
      <c r="L931" s="39" t="n">
        <f aca="false">VLOOKUP(H931,'Product List'!$A$3:$D$18,4,FALSE())</f>
        <v>560</v>
      </c>
      <c r="M931" s="39" t="n">
        <f aca="false">I931*J931*(1-K931)</f>
        <v>934.15</v>
      </c>
      <c r="N931" s="39" t="n">
        <f aca="false">I931*L931</f>
        <v>560</v>
      </c>
      <c r="O931" s="39" t="n">
        <f aca="false">M931-N931</f>
        <v>374.15</v>
      </c>
      <c r="P931" s="41" t="n">
        <f aca="false">IF(M931=0,0,O931/M931)</f>
        <v>0.400524541026602</v>
      </c>
      <c r="Q931" s="37" t="str">
        <f aca="false">IF(K931=0,"No discount",IF(K931&lt;=0.1,"1-10%",IF(K931&lt;=0.2,"11-20%",IF(K931&lt;=0.3,"21-30%","Above 30%"))))</f>
        <v>11-20%</v>
      </c>
      <c r="R931" s="39" t="n">
        <f aca="false">I931*J931*MAX(0,K931-DiscountCap)</f>
        <v>0</v>
      </c>
    </row>
    <row r="932" customFormat="false" ht="15" hidden="false" customHeight="false" outlineLevel="0" collapsed="false">
      <c r="A932" s="37" t="s">
        <v>1076</v>
      </c>
      <c r="B932" s="38" t="n">
        <v>46021</v>
      </c>
      <c r="C932" s="37" t="n">
        <f aca="false">MONTH(B932)</f>
        <v>12</v>
      </c>
      <c r="D932" s="37" t="s">
        <v>134</v>
      </c>
      <c r="E932" s="37" t="s">
        <v>45</v>
      </c>
      <c r="F932" s="37" t="s">
        <v>96</v>
      </c>
      <c r="G932" s="37" t="s">
        <v>91</v>
      </c>
      <c r="H932" s="37" t="s">
        <v>119</v>
      </c>
      <c r="I932" s="37" t="n">
        <v>3</v>
      </c>
      <c r="J932" s="39" t="n">
        <v>1099</v>
      </c>
      <c r="K932" s="40" t="n">
        <v>0</v>
      </c>
      <c r="L932" s="39" t="n">
        <f aca="false">VLOOKUP(H932,'Product List'!$A$3:$D$18,4,FALSE())</f>
        <v>560</v>
      </c>
      <c r="M932" s="39" t="n">
        <f aca="false">I932*J932*(1-K932)</f>
        <v>3297</v>
      </c>
      <c r="N932" s="39" t="n">
        <f aca="false">I932*L932</f>
        <v>1680</v>
      </c>
      <c r="O932" s="39" t="n">
        <f aca="false">M932-N932</f>
        <v>1617</v>
      </c>
      <c r="P932" s="41" t="n">
        <f aca="false">IF(M932=0,0,O932/M932)</f>
        <v>0.490445859872611</v>
      </c>
      <c r="Q932" s="37" t="str">
        <f aca="false">IF(K932=0,"No discount",IF(K932&lt;=0.1,"1-10%",IF(K932&lt;=0.2,"11-20%",IF(K932&lt;=0.3,"21-30%","Above 30%"))))</f>
        <v>No discount</v>
      </c>
      <c r="R932" s="39" t="n">
        <f aca="false">I932*J932*MAX(0,K932-DiscountCap)</f>
        <v>0</v>
      </c>
    </row>
    <row r="933" customFormat="false" ht="15" hidden="false" customHeight="false" outlineLevel="0" collapsed="false">
      <c r="A933" s="37" t="s">
        <v>1077</v>
      </c>
      <c r="B933" s="38" t="n">
        <v>45992</v>
      </c>
      <c r="C933" s="37" t="n">
        <f aca="false">MONTH(B933)</f>
        <v>12</v>
      </c>
      <c r="D933" s="37" t="s">
        <v>134</v>
      </c>
      <c r="E933" s="37" t="s">
        <v>45</v>
      </c>
      <c r="F933" s="37" t="s">
        <v>96</v>
      </c>
      <c r="G933" s="37" t="s">
        <v>92</v>
      </c>
      <c r="H933" s="37" t="s">
        <v>115</v>
      </c>
      <c r="I933" s="37" t="n">
        <v>3</v>
      </c>
      <c r="J933" s="39" t="n">
        <v>1799</v>
      </c>
      <c r="K933" s="40" t="n">
        <v>0.1</v>
      </c>
      <c r="L933" s="39" t="n">
        <f aca="false">VLOOKUP(H933,'Product List'!$A$3:$D$18,4,FALSE())</f>
        <v>1150</v>
      </c>
      <c r="M933" s="39" t="n">
        <f aca="false">I933*J933*(1-K933)</f>
        <v>4857.3</v>
      </c>
      <c r="N933" s="39" t="n">
        <f aca="false">I933*L933</f>
        <v>3450</v>
      </c>
      <c r="O933" s="39" t="n">
        <f aca="false">M933-N933</f>
        <v>1407.3</v>
      </c>
      <c r="P933" s="41" t="n">
        <f aca="false">IF(M933=0,0,O933/M933)</f>
        <v>0.289728861713298</v>
      </c>
      <c r="Q933" s="37" t="str">
        <f aca="false">IF(K933=0,"No discount",IF(K933&lt;=0.1,"1-10%",IF(K933&lt;=0.2,"11-20%",IF(K933&lt;=0.3,"21-30%","Above 30%"))))</f>
        <v>1-10%</v>
      </c>
      <c r="R933" s="39" t="n">
        <f aca="false">I933*J933*MAX(0,K933-DiscountCap)</f>
        <v>0</v>
      </c>
    </row>
    <row r="934" customFormat="false" ht="15" hidden="false" customHeight="false" outlineLevel="0" collapsed="false">
      <c r="A934" s="37" t="s">
        <v>1078</v>
      </c>
      <c r="B934" s="38" t="n">
        <v>46000</v>
      </c>
      <c r="C934" s="37" t="n">
        <f aca="false">MONTH(B934)</f>
        <v>12</v>
      </c>
      <c r="D934" s="37" t="s">
        <v>144</v>
      </c>
      <c r="E934" s="37" t="s">
        <v>45</v>
      </c>
      <c r="F934" s="37" t="s">
        <v>96</v>
      </c>
      <c r="G934" s="37" t="s">
        <v>93</v>
      </c>
      <c r="H934" s="37" t="s">
        <v>121</v>
      </c>
      <c r="I934" s="37" t="n">
        <v>1</v>
      </c>
      <c r="J934" s="39" t="n">
        <v>999</v>
      </c>
      <c r="K934" s="40" t="n">
        <v>0</v>
      </c>
      <c r="L934" s="39" t="n">
        <f aca="false">VLOOKUP(H934,'Product List'!$A$3:$D$18,4,FALSE())</f>
        <v>500</v>
      </c>
      <c r="M934" s="39" t="n">
        <f aca="false">I934*J934*(1-K934)</f>
        <v>999</v>
      </c>
      <c r="N934" s="39" t="n">
        <f aca="false">I934*L934</f>
        <v>500</v>
      </c>
      <c r="O934" s="39" t="n">
        <f aca="false">M934-N934</f>
        <v>499</v>
      </c>
      <c r="P934" s="41" t="n">
        <f aca="false">IF(M934=0,0,O934/M934)</f>
        <v>0.4994994994995</v>
      </c>
      <c r="Q934" s="37" t="str">
        <f aca="false">IF(K934=0,"No discount",IF(K934&lt;=0.1,"1-10%",IF(K934&lt;=0.2,"11-20%",IF(K934&lt;=0.3,"21-30%","Above 30%"))))</f>
        <v>No discount</v>
      </c>
      <c r="R934" s="39" t="n">
        <f aca="false">I934*J934*MAX(0,K934-DiscountCap)</f>
        <v>0</v>
      </c>
    </row>
    <row r="935" customFormat="false" ht="15" hidden="false" customHeight="false" outlineLevel="0" collapsed="false">
      <c r="A935" s="37" t="s">
        <v>1079</v>
      </c>
      <c r="B935" s="38" t="n">
        <v>46014</v>
      </c>
      <c r="C935" s="37" t="n">
        <f aca="false">MONTH(B935)</f>
        <v>12</v>
      </c>
      <c r="D935" s="37" t="s">
        <v>140</v>
      </c>
      <c r="E935" s="37" t="s">
        <v>44</v>
      </c>
      <c r="F935" s="37" t="s">
        <v>96</v>
      </c>
      <c r="G935" s="37" t="s">
        <v>90</v>
      </c>
      <c r="H935" s="37" t="s">
        <v>108</v>
      </c>
      <c r="I935" s="37" t="n">
        <v>1</v>
      </c>
      <c r="J935" s="39" t="n">
        <v>1999</v>
      </c>
      <c r="K935" s="40" t="n">
        <v>0.3</v>
      </c>
      <c r="L935" s="39" t="n">
        <f aca="false">VLOOKUP(H935,'Product List'!$A$3:$D$18,4,FALSE())</f>
        <v>1560</v>
      </c>
      <c r="M935" s="39" t="n">
        <f aca="false">I935*J935*(1-K935)</f>
        <v>1399.3</v>
      </c>
      <c r="N935" s="39" t="n">
        <f aca="false">I935*L935</f>
        <v>1560</v>
      </c>
      <c r="O935" s="39" t="n">
        <f aca="false">M935-N935</f>
        <v>-160.7</v>
      </c>
      <c r="P935" s="41" t="n">
        <f aca="false">IF(M935=0,0,O935/M935)</f>
        <v>-0.114843135853641</v>
      </c>
      <c r="Q935" s="37" t="str">
        <f aca="false">IF(K935=0,"No discount",IF(K935&lt;=0.1,"1-10%",IF(K935&lt;=0.2,"11-20%",IF(K935&lt;=0.3,"21-30%","Above 30%"))))</f>
        <v>21-30%</v>
      </c>
      <c r="R935" s="39" t="n">
        <f aca="false">I935*J935*MAX(0,K935-DiscountCap)</f>
        <v>199.9</v>
      </c>
    </row>
    <row r="936" customFormat="false" ht="15" hidden="false" customHeight="false" outlineLevel="0" collapsed="false">
      <c r="A936" s="37" t="s">
        <v>1080</v>
      </c>
      <c r="B936" s="38" t="n">
        <v>46013</v>
      </c>
      <c r="C936" s="37" t="n">
        <f aca="false">MONTH(B936)</f>
        <v>12</v>
      </c>
      <c r="D936" s="37" t="s">
        <v>144</v>
      </c>
      <c r="E936" s="37" t="s">
        <v>45</v>
      </c>
      <c r="F936" s="37" t="s">
        <v>97</v>
      </c>
      <c r="G936" s="37" t="s">
        <v>92</v>
      </c>
      <c r="H936" s="37" t="s">
        <v>113</v>
      </c>
      <c r="I936" s="37" t="n">
        <v>1</v>
      </c>
      <c r="J936" s="39" t="n">
        <v>2199</v>
      </c>
      <c r="K936" s="40" t="n">
        <v>0.1</v>
      </c>
      <c r="L936" s="39" t="n">
        <f aca="false">VLOOKUP(H936,'Product List'!$A$3:$D$18,4,FALSE())</f>
        <v>1400</v>
      </c>
      <c r="M936" s="39" t="n">
        <f aca="false">I936*J936*(1-K936)</f>
        <v>1979.1</v>
      </c>
      <c r="N936" s="39" t="n">
        <f aca="false">I936*L936</f>
        <v>1400</v>
      </c>
      <c r="O936" s="39" t="n">
        <f aca="false">M936-N936</f>
        <v>579.1</v>
      </c>
      <c r="P936" s="41" t="n">
        <f aca="false">IF(M936=0,0,O936/M936)</f>
        <v>0.292607750997928</v>
      </c>
      <c r="Q936" s="37" t="str">
        <f aca="false">IF(K936=0,"No discount",IF(K936&lt;=0.1,"1-10%",IF(K936&lt;=0.2,"11-20%",IF(K936&lt;=0.3,"21-30%","Above 30%"))))</f>
        <v>1-10%</v>
      </c>
      <c r="R936" s="39" t="n">
        <f aca="false">I936*J936*MAX(0,K936-DiscountCap)</f>
        <v>0</v>
      </c>
    </row>
    <row r="937" customFormat="false" ht="15" hidden="false" customHeight="false" outlineLevel="0" collapsed="false">
      <c r="A937" s="37" t="s">
        <v>1081</v>
      </c>
      <c r="B937" s="38" t="n">
        <v>46016</v>
      </c>
      <c r="C937" s="37" t="n">
        <f aca="false">MONTH(B937)</f>
        <v>12</v>
      </c>
      <c r="D937" s="37" t="s">
        <v>144</v>
      </c>
      <c r="E937" s="37" t="s">
        <v>45</v>
      </c>
      <c r="F937" s="37" t="s">
        <v>97</v>
      </c>
      <c r="G937" s="37" t="s">
        <v>91</v>
      </c>
      <c r="H937" s="37" t="s">
        <v>118</v>
      </c>
      <c r="I937" s="37" t="n">
        <v>1</v>
      </c>
      <c r="J937" s="39" t="n">
        <v>2299</v>
      </c>
      <c r="K937" s="40" t="n">
        <v>0</v>
      </c>
      <c r="L937" s="39" t="n">
        <f aca="false">VLOOKUP(H937,'Product List'!$A$3:$D$18,4,FALSE())</f>
        <v>1300</v>
      </c>
      <c r="M937" s="39" t="n">
        <f aca="false">I937*J937*(1-K937)</f>
        <v>2299</v>
      </c>
      <c r="N937" s="39" t="n">
        <f aca="false">I937*L937</f>
        <v>1300</v>
      </c>
      <c r="O937" s="39" t="n">
        <f aca="false">M937-N937</f>
        <v>999</v>
      </c>
      <c r="P937" s="41" t="n">
        <f aca="false">IF(M937=0,0,O937/M937)</f>
        <v>0.434536755110918</v>
      </c>
      <c r="Q937" s="37" t="str">
        <f aca="false">IF(K937=0,"No discount",IF(K937&lt;=0.1,"1-10%",IF(K937&lt;=0.2,"11-20%",IF(K937&lt;=0.3,"21-30%","Above 30%"))))</f>
        <v>No discount</v>
      </c>
      <c r="R937" s="39" t="n">
        <f aca="false">I937*J937*MAX(0,K937-DiscountCap)</f>
        <v>0</v>
      </c>
    </row>
    <row r="938" customFormat="false" ht="15" hidden="false" customHeight="false" outlineLevel="0" collapsed="false">
      <c r="A938" s="37" t="s">
        <v>1082</v>
      </c>
      <c r="B938" s="38" t="n">
        <v>46017</v>
      </c>
      <c r="C938" s="37" t="n">
        <f aca="false">MONTH(B938)</f>
        <v>12</v>
      </c>
      <c r="D938" s="37" t="s">
        <v>166</v>
      </c>
      <c r="E938" s="37" t="s">
        <v>44</v>
      </c>
      <c r="F938" s="37" t="s">
        <v>96</v>
      </c>
      <c r="G938" s="37" t="s">
        <v>92</v>
      </c>
      <c r="H938" s="37" t="s">
        <v>112</v>
      </c>
      <c r="I938" s="37" t="n">
        <v>2</v>
      </c>
      <c r="J938" s="39" t="n">
        <v>3299</v>
      </c>
      <c r="K938" s="40" t="n">
        <v>0.1</v>
      </c>
      <c r="L938" s="39" t="n">
        <f aca="false">VLOOKUP(H938,'Product List'!$A$3:$D$18,4,FALSE())</f>
        <v>2250</v>
      </c>
      <c r="M938" s="39" t="n">
        <f aca="false">I938*J938*(1-K938)</f>
        <v>5938.2</v>
      </c>
      <c r="N938" s="39" t="n">
        <f aca="false">I938*L938</f>
        <v>4500</v>
      </c>
      <c r="O938" s="39" t="n">
        <f aca="false">M938-N938</f>
        <v>1438.2</v>
      </c>
      <c r="P938" s="41" t="n">
        <f aca="false">IF(M938=0,0,O938/M938)</f>
        <v>0.242194604425584</v>
      </c>
      <c r="Q938" s="37" t="str">
        <f aca="false">IF(K938=0,"No discount",IF(K938&lt;=0.1,"1-10%",IF(K938&lt;=0.2,"11-20%",IF(K938&lt;=0.3,"21-30%","Above 30%"))))</f>
        <v>1-10%</v>
      </c>
      <c r="R938" s="39" t="n">
        <f aca="false">I938*J938*MAX(0,K938-DiscountCap)</f>
        <v>0</v>
      </c>
    </row>
    <row r="939" customFormat="false" ht="15" hidden="false" customHeight="false" outlineLevel="0" collapsed="false">
      <c r="A939" s="37" t="s">
        <v>1083</v>
      </c>
      <c r="B939" s="38" t="n">
        <v>46005</v>
      </c>
      <c r="C939" s="37" t="n">
        <f aca="false">MONTH(B939)</f>
        <v>12</v>
      </c>
      <c r="D939" s="37" t="s">
        <v>154</v>
      </c>
      <c r="E939" s="37" t="s">
        <v>47</v>
      </c>
      <c r="F939" s="37" t="s">
        <v>96</v>
      </c>
      <c r="G939" s="37" t="s">
        <v>92</v>
      </c>
      <c r="H939" s="37" t="s">
        <v>114</v>
      </c>
      <c r="I939" s="37" t="n">
        <v>1</v>
      </c>
      <c r="J939" s="39" t="n">
        <v>1199</v>
      </c>
      <c r="K939" s="40" t="n">
        <v>0.2</v>
      </c>
      <c r="L939" s="39" t="n">
        <f aca="false">VLOOKUP(H939,'Product List'!$A$3:$D$18,4,FALSE())</f>
        <v>780</v>
      </c>
      <c r="M939" s="39" t="n">
        <f aca="false">I939*J939*(1-K939)</f>
        <v>959.2</v>
      </c>
      <c r="N939" s="39" t="n">
        <f aca="false">I939*L939</f>
        <v>780</v>
      </c>
      <c r="O939" s="39" t="n">
        <f aca="false">M939-N939</f>
        <v>179.2</v>
      </c>
      <c r="P939" s="41" t="n">
        <f aca="false">IF(M939=0,0,O939/M939)</f>
        <v>0.186822351959967</v>
      </c>
      <c r="Q939" s="37" t="str">
        <f aca="false">IF(K939=0,"No discount",IF(K939&lt;=0.1,"1-10%",IF(K939&lt;=0.2,"11-20%",IF(K939&lt;=0.3,"21-30%","Above 30%"))))</f>
        <v>11-20%</v>
      </c>
      <c r="R939" s="39" t="n">
        <f aca="false">I939*J939*MAX(0,K939-DiscountCap)</f>
        <v>0</v>
      </c>
    </row>
    <row r="940" customFormat="false" ht="15" hidden="false" customHeight="false" outlineLevel="0" collapsed="false">
      <c r="A940" s="37" t="s">
        <v>1084</v>
      </c>
      <c r="B940" s="38" t="n">
        <v>46004</v>
      </c>
      <c r="C940" s="37" t="n">
        <f aca="false">MONTH(B940)</f>
        <v>12</v>
      </c>
      <c r="D940" s="37" t="s">
        <v>144</v>
      </c>
      <c r="E940" s="37" t="s">
        <v>45</v>
      </c>
      <c r="F940" s="37" t="s">
        <v>97</v>
      </c>
      <c r="G940" s="37" t="s">
        <v>90</v>
      </c>
      <c r="H940" s="37" t="s">
        <v>111</v>
      </c>
      <c r="I940" s="37" t="n">
        <v>5</v>
      </c>
      <c r="J940" s="39" t="n">
        <v>2499</v>
      </c>
      <c r="K940" s="40" t="n">
        <v>0</v>
      </c>
      <c r="L940" s="39" t="n">
        <f aca="false">VLOOKUP(H940,'Product List'!$A$3:$D$18,4,FALSE())</f>
        <v>1950</v>
      </c>
      <c r="M940" s="39" t="n">
        <f aca="false">I940*J940*(1-K940)</f>
        <v>12495</v>
      </c>
      <c r="N940" s="39" t="n">
        <f aca="false">I940*L940</f>
        <v>9750</v>
      </c>
      <c r="O940" s="39" t="n">
        <f aca="false">M940-N940</f>
        <v>2745</v>
      </c>
      <c r="P940" s="41" t="n">
        <f aca="false">IF(M940=0,0,O940/M940)</f>
        <v>0.21968787515006</v>
      </c>
      <c r="Q940" s="37" t="str">
        <f aca="false">IF(K940=0,"No discount",IF(K940&lt;=0.1,"1-10%",IF(K940&lt;=0.2,"11-20%",IF(K940&lt;=0.3,"21-30%","Above 30%"))))</f>
        <v>No discount</v>
      </c>
      <c r="R940" s="39" t="n">
        <f aca="false">I940*J940*MAX(0,K940-DiscountCap)</f>
        <v>0</v>
      </c>
    </row>
    <row r="941" customFormat="false" ht="15" hidden="false" customHeight="false" outlineLevel="0" collapsed="false">
      <c r="A941" s="37" t="s">
        <v>1085</v>
      </c>
      <c r="B941" s="38" t="n">
        <v>46022</v>
      </c>
      <c r="C941" s="37" t="n">
        <f aca="false">MONTH(B941)</f>
        <v>12</v>
      </c>
      <c r="D941" s="37" t="s">
        <v>140</v>
      </c>
      <c r="E941" s="37" t="s">
        <v>44</v>
      </c>
      <c r="F941" s="37" t="s">
        <v>96</v>
      </c>
      <c r="G941" s="37" t="s">
        <v>90</v>
      </c>
      <c r="H941" s="37" t="s">
        <v>108</v>
      </c>
      <c r="I941" s="37" t="n">
        <v>1</v>
      </c>
      <c r="J941" s="39" t="n">
        <v>1999</v>
      </c>
      <c r="K941" s="40" t="n">
        <v>0.3</v>
      </c>
      <c r="L941" s="39" t="n">
        <f aca="false">VLOOKUP(H941,'Product List'!$A$3:$D$18,4,FALSE())</f>
        <v>1560</v>
      </c>
      <c r="M941" s="39" t="n">
        <f aca="false">I941*J941*(1-K941)</f>
        <v>1399.3</v>
      </c>
      <c r="N941" s="39" t="n">
        <f aca="false">I941*L941</f>
        <v>1560</v>
      </c>
      <c r="O941" s="39" t="n">
        <f aca="false">M941-N941</f>
        <v>-160.7</v>
      </c>
      <c r="P941" s="41" t="n">
        <f aca="false">IF(M941=0,0,O941/M941)</f>
        <v>-0.114843135853641</v>
      </c>
      <c r="Q941" s="37" t="str">
        <f aca="false">IF(K941=0,"No discount",IF(K941&lt;=0.1,"1-10%",IF(K941&lt;=0.2,"11-20%",IF(K941&lt;=0.3,"21-30%","Above 30%"))))</f>
        <v>21-30%</v>
      </c>
      <c r="R941" s="39" t="n">
        <f aca="false">I941*J941*MAX(0,K941-DiscountCap)</f>
        <v>199.9</v>
      </c>
    </row>
    <row r="942" customFormat="false" ht="15" hidden="false" customHeight="false" outlineLevel="0" collapsed="false">
      <c r="A942" s="37" t="s">
        <v>1086</v>
      </c>
      <c r="B942" s="38" t="n">
        <v>46001</v>
      </c>
      <c r="C942" s="37" t="n">
        <f aca="false">MONTH(B942)</f>
        <v>12</v>
      </c>
      <c r="D942" s="37" t="s">
        <v>169</v>
      </c>
      <c r="E942" s="37" t="s">
        <v>44</v>
      </c>
      <c r="F942" s="37" t="s">
        <v>96</v>
      </c>
      <c r="G942" s="37" t="s">
        <v>91</v>
      </c>
      <c r="H942" s="37" t="s">
        <v>119</v>
      </c>
      <c r="I942" s="37" t="n">
        <v>1</v>
      </c>
      <c r="J942" s="39" t="n">
        <v>1099</v>
      </c>
      <c r="K942" s="40" t="n">
        <v>0.15</v>
      </c>
      <c r="L942" s="39" t="n">
        <f aca="false">VLOOKUP(H942,'Product List'!$A$3:$D$18,4,FALSE())</f>
        <v>560</v>
      </c>
      <c r="M942" s="39" t="n">
        <f aca="false">I942*J942*(1-K942)</f>
        <v>934.15</v>
      </c>
      <c r="N942" s="39" t="n">
        <f aca="false">I942*L942</f>
        <v>560</v>
      </c>
      <c r="O942" s="39" t="n">
        <f aca="false">M942-N942</f>
        <v>374.15</v>
      </c>
      <c r="P942" s="41" t="n">
        <f aca="false">IF(M942=0,0,O942/M942)</f>
        <v>0.400524541026602</v>
      </c>
      <c r="Q942" s="37" t="str">
        <f aca="false">IF(K942=0,"No discount",IF(K942&lt;=0.1,"1-10%",IF(K942&lt;=0.2,"11-20%",IF(K942&lt;=0.3,"21-30%","Above 30%"))))</f>
        <v>11-20%</v>
      </c>
      <c r="R942" s="39" t="n">
        <f aca="false">I942*J942*MAX(0,K942-DiscountCap)</f>
        <v>0</v>
      </c>
    </row>
    <row r="943" customFormat="false" ht="15" hidden="false" customHeight="false" outlineLevel="0" collapsed="false">
      <c r="A943" s="37" t="s">
        <v>1087</v>
      </c>
      <c r="B943" s="38" t="n">
        <v>45996</v>
      </c>
      <c r="C943" s="37" t="n">
        <f aca="false">MONTH(B943)</f>
        <v>12</v>
      </c>
      <c r="D943" s="37" t="s">
        <v>146</v>
      </c>
      <c r="E943" s="37" t="s">
        <v>45</v>
      </c>
      <c r="F943" s="37" t="s">
        <v>97</v>
      </c>
      <c r="G943" s="37" t="s">
        <v>91</v>
      </c>
      <c r="H943" s="37" t="s">
        <v>119</v>
      </c>
      <c r="I943" s="37" t="n">
        <v>1</v>
      </c>
      <c r="J943" s="39" t="n">
        <v>1099</v>
      </c>
      <c r="K943" s="40" t="n">
        <v>0.15</v>
      </c>
      <c r="L943" s="39" t="n">
        <f aca="false">VLOOKUP(H943,'Product List'!$A$3:$D$18,4,FALSE())</f>
        <v>560</v>
      </c>
      <c r="M943" s="39" t="n">
        <f aca="false">I943*J943*(1-K943)</f>
        <v>934.15</v>
      </c>
      <c r="N943" s="39" t="n">
        <f aca="false">I943*L943</f>
        <v>560</v>
      </c>
      <c r="O943" s="39" t="n">
        <f aca="false">M943-N943</f>
        <v>374.15</v>
      </c>
      <c r="P943" s="41" t="n">
        <f aca="false">IF(M943=0,0,O943/M943)</f>
        <v>0.400524541026602</v>
      </c>
      <c r="Q943" s="37" t="str">
        <f aca="false">IF(K943=0,"No discount",IF(K943&lt;=0.1,"1-10%",IF(K943&lt;=0.2,"11-20%",IF(K943&lt;=0.3,"21-30%","Above 30%"))))</f>
        <v>11-20%</v>
      </c>
      <c r="R943" s="39" t="n">
        <f aca="false">I943*J943*MAX(0,K943-DiscountCap)</f>
        <v>0</v>
      </c>
    </row>
    <row r="944" customFormat="false" ht="15" hidden="false" customHeight="false" outlineLevel="0" collapsed="false">
      <c r="A944" s="37" t="s">
        <v>1088</v>
      </c>
      <c r="B944" s="38" t="n">
        <v>46019</v>
      </c>
      <c r="C944" s="37" t="n">
        <f aca="false">MONTH(B944)</f>
        <v>12</v>
      </c>
      <c r="D944" s="37" t="s">
        <v>166</v>
      </c>
      <c r="E944" s="37" t="s">
        <v>44</v>
      </c>
      <c r="F944" s="37" t="s">
        <v>96</v>
      </c>
      <c r="G944" s="37" t="s">
        <v>91</v>
      </c>
      <c r="H944" s="37" t="s">
        <v>119</v>
      </c>
      <c r="I944" s="37" t="n">
        <v>1</v>
      </c>
      <c r="J944" s="39" t="n">
        <v>1099</v>
      </c>
      <c r="K944" s="40" t="n">
        <v>0</v>
      </c>
      <c r="L944" s="39" t="n">
        <f aca="false">VLOOKUP(H944,'Product List'!$A$3:$D$18,4,FALSE())</f>
        <v>560</v>
      </c>
      <c r="M944" s="39" t="n">
        <f aca="false">I944*J944*(1-K944)</f>
        <v>1099</v>
      </c>
      <c r="N944" s="39" t="n">
        <f aca="false">I944*L944</f>
        <v>560</v>
      </c>
      <c r="O944" s="39" t="n">
        <f aca="false">M944-N944</f>
        <v>539</v>
      </c>
      <c r="P944" s="41" t="n">
        <f aca="false">IF(M944=0,0,O944/M944)</f>
        <v>0.490445859872611</v>
      </c>
      <c r="Q944" s="37" t="str">
        <f aca="false">IF(K944=0,"No discount",IF(K944&lt;=0.1,"1-10%",IF(K944&lt;=0.2,"11-20%",IF(K944&lt;=0.3,"21-30%","Above 30%"))))</f>
        <v>No discount</v>
      </c>
      <c r="R944" s="39" t="n">
        <f aca="false">I944*J944*MAX(0,K944-DiscountCap)</f>
        <v>0</v>
      </c>
    </row>
    <row r="945" customFormat="false" ht="15" hidden="false" customHeight="false" outlineLevel="0" collapsed="false">
      <c r="A945" s="37" t="s">
        <v>1089</v>
      </c>
      <c r="B945" s="38" t="n">
        <v>46003</v>
      </c>
      <c r="C945" s="37" t="n">
        <f aca="false">MONTH(B945)</f>
        <v>12</v>
      </c>
      <c r="D945" s="37" t="s">
        <v>146</v>
      </c>
      <c r="E945" s="37" t="s">
        <v>45</v>
      </c>
      <c r="F945" s="37" t="s">
        <v>97</v>
      </c>
      <c r="G945" s="37" t="s">
        <v>93</v>
      </c>
      <c r="H945" s="37" t="s">
        <v>123</v>
      </c>
      <c r="I945" s="37" t="n">
        <v>1</v>
      </c>
      <c r="J945" s="39" t="n">
        <v>1299</v>
      </c>
      <c r="K945" s="40" t="n">
        <v>0.2</v>
      </c>
      <c r="L945" s="39" t="n">
        <f aca="false">VLOOKUP(H945,'Product List'!$A$3:$D$18,4,FALSE())</f>
        <v>700</v>
      </c>
      <c r="M945" s="39" t="n">
        <f aca="false">I945*J945*(1-K945)</f>
        <v>1039.2</v>
      </c>
      <c r="N945" s="39" t="n">
        <f aca="false">I945*L945</f>
        <v>700</v>
      </c>
      <c r="O945" s="39" t="n">
        <f aca="false">M945-N945</f>
        <v>339.2</v>
      </c>
      <c r="P945" s="41" t="n">
        <f aca="false">IF(M945=0,0,O945/M945)</f>
        <v>0.326404926866821</v>
      </c>
      <c r="Q945" s="37" t="str">
        <f aca="false">IF(K945=0,"No discount",IF(K945&lt;=0.1,"1-10%",IF(K945&lt;=0.2,"11-20%",IF(K945&lt;=0.3,"21-30%","Above 30%"))))</f>
        <v>11-20%</v>
      </c>
      <c r="R945" s="39" t="n">
        <f aca="false">I945*J945*MAX(0,K945-DiscountCap)</f>
        <v>0</v>
      </c>
    </row>
    <row r="946" customFormat="false" ht="15" hidden="false" customHeight="false" outlineLevel="0" collapsed="false">
      <c r="A946" s="37" t="s">
        <v>1090</v>
      </c>
      <c r="B946" s="38" t="n">
        <v>45995</v>
      </c>
      <c r="C946" s="37" t="n">
        <f aca="false">MONTH(B946)</f>
        <v>12</v>
      </c>
      <c r="D946" s="37" t="s">
        <v>138</v>
      </c>
      <c r="E946" s="37" t="s">
        <v>46</v>
      </c>
      <c r="F946" s="37" t="s">
        <v>97</v>
      </c>
      <c r="G946" s="37" t="s">
        <v>91</v>
      </c>
      <c r="H946" s="37" t="s">
        <v>117</v>
      </c>
      <c r="I946" s="37" t="n">
        <v>1</v>
      </c>
      <c r="J946" s="39" t="n">
        <v>1499</v>
      </c>
      <c r="K946" s="40" t="n">
        <v>0.15</v>
      </c>
      <c r="L946" s="39" t="n">
        <f aca="false">VLOOKUP(H946,'Product List'!$A$3:$D$18,4,FALSE())</f>
        <v>780</v>
      </c>
      <c r="M946" s="39" t="n">
        <f aca="false">I946*J946*(1-K946)</f>
        <v>1274.15</v>
      </c>
      <c r="N946" s="39" t="n">
        <f aca="false">I946*L946</f>
        <v>780</v>
      </c>
      <c r="O946" s="39" t="n">
        <f aca="false">M946-N946</f>
        <v>494.15</v>
      </c>
      <c r="P946" s="41" t="n">
        <f aca="false">IF(M946=0,0,O946/M946)</f>
        <v>0.387827178903583</v>
      </c>
      <c r="Q946" s="37" t="str">
        <f aca="false">IF(K946=0,"No discount",IF(K946&lt;=0.1,"1-10%",IF(K946&lt;=0.2,"11-20%",IF(K946&lt;=0.3,"21-30%","Above 30%"))))</f>
        <v>11-20%</v>
      </c>
      <c r="R946" s="39" t="n">
        <f aca="false">I946*J946*MAX(0,K946-DiscountCap)</f>
        <v>0</v>
      </c>
    </row>
    <row r="947" customFormat="false" ht="15" hidden="false" customHeight="false" outlineLevel="0" collapsed="false">
      <c r="A947" s="37" t="s">
        <v>1091</v>
      </c>
      <c r="B947" s="38" t="n">
        <v>46002</v>
      </c>
      <c r="C947" s="37" t="n">
        <f aca="false">MONTH(B947)</f>
        <v>12</v>
      </c>
      <c r="D947" s="37" t="s">
        <v>160</v>
      </c>
      <c r="E947" s="37" t="s">
        <v>46</v>
      </c>
      <c r="F947" s="37" t="s">
        <v>97</v>
      </c>
      <c r="G947" s="37" t="s">
        <v>90</v>
      </c>
      <c r="H947" s="37" t="s">
        <v>109</v>
      </c>
      <c r="I947" s="37" t="n">
        <v>1</v>
      </c>
      <c r="J947" s="39" t="n">
        <v>3499</v>
      </c>
      <c r="K947" s="40" t="n">
        <v>0.15</v>
      </c>
      <c r="L947" s="39" t="n">
        <f aca="false">VLOOKUP(H947,'Product List'!$A$3:$D$18,4,FALSE())</f>
        <v>2750</v>
      </c>
      <c r="M947" s="39" t="n">
        <f aca="false">I947*J947*(1-K947)</f>
        <v>2974.15</v>
      </c>
      <c r="N947" s="39" t="n">
        <f aca="false">I947*L947</f>
        <v>2750</v>
      </c>
      <c r="O947" s="39" t="n">
        <f aca="false">M947-N947</f>
        <v>224.15</v>
      </c>
      <c r="P947" s="41" t="n">
        <f aca="false">IF(M947=0,0,O947/M947)</f>
        <v>0.0753660709782627</v>
      </c>
      <c r="Q947" s="37" t="str">
        <f aca="false">IF(K947=0,"No discount",IF(K947&lt;=0.1,"1-10%",IF(K947&lt;=0.2,"11-20%",IF(K947&lt;=0.3,"21-30%","Above 30%"))))</f>
        <v>11-20%</v>
      </c>
      <c r="R947" s="39" t="n">
        <f aca="false">I947*J947*MAX(0,K947-DiscountCap)</f>
        <v>0</v>
      </c>
    </row>
    <row r="948" customFormat="false" ht="15" hidden="false" customHeight="false" outlineLevel="0" collapsed="false">
      <c r="A948" s="37" t="s">
        <v>1092</v>
      </c>
      <c r="B948" s="38" t="n">
        <v>46003</v>
      </c>
      <c r="C948" s="37" t="n">
        <f aca="false">MONTH(B948)</f>
        <v>12</v>
      </c>
      <c r="D948" s="37" t="s">
        <v>134</v>
      </c>
      <c r="E948" s="37" t="s">
        <v>45</v>
      </c>
      <c r="F948" s="37" t="s">
        <v>96</v>
      </c>
      <c r="G948" s="37" t="s">
        <v>91</v>
      </c>
      <c r="H948" s="37" t="s">
        <v>119</v>
      </c>
      <c r="I948" s="37" t="n">
        <v>1</v>
      </c>
      <c r="J948" s="39" t="n">
        <v>1099</v>
      </c>
      <c r="K948" s="40" t="n">
        <v>0.15</v>
      </c>
      <c r="L948" s="39" t="n">
        <f aca="false">VLOOKUP(H948,'Product List'!$A$3:$D$18,4,FALSE())</f>
        <v>560</v>
      </c>
      <c r="M948" s="39" t="n">
        <f aca="false">I948*J948*(1-K948)</f>
        <v>934.15</v>
      </c>
      <c r="N948" s="39" t="n">
        <f aca="false">I948*L948</f>
        <v>560</v>
      </c>
      <c r="O948" s="39" t="n">
        <f aca="false">M948-N948</f>
        <v>374.15</v>
      </c>
      <c r="P948" s="41" t="n">
        <f aca="false">IF(M948=0,0,O948/M948)</f>
        <v>0.400524541026602</v>
      </c>
      <c r="Q948" s="37" t="str">
        <f aca="false">IF(K948=0,"No discount",IF(K948&lt;=0.1,"1-10%",IF(K948&lt;=0.2,"11-20%",IF(K948&lt;=0.3,"21-30%","Above 30%"))))</f>
        <v>11-20%</v>
      </c>
      <c r="R948" s="39" t="n">
        <f aca="false">I948*J948*MAX(0,K948-DiscountCap)</f>
        <v>0</v>
      </c>
    </row>
    <row r="949" customFormat="false" ht="15" hidden="false" customHeight="false" outlineLevel="0" collapsed="false">
      <c r="A949" s="37" t="s">
        <v>1093</v>
      </c>
      <c r="B949" s="38" t="n">
        <v>46014</v>
      </c>
      <c r="C949" s="37" t="n">
        <f aca="false">MONTH(B949)</f>
        <v>12</v>
      </c>
      <c r="D949" s="37" t="s">
        <v>144</v>
      </c>
      <c r="E949" s="37" t="s">
        <v>45</v>
      </c>
      <c r="F949" s="37" t="s">
        <v>96</v>
      </c>
      <c r="G949" s="37" t="s">
        <v>91</v>
      </c>
      <c r="H949" s="37" t="s">
        <v>117</v>
      </c>
      <c r="I949" s="37" t="n">
        <v>2</v>
      </c>
      <c r="J949" s="39" t="n">
        <v>1499</v>
      </c>
      <c r="K949" s="40" t="n">
        <v>0.1</v>
      </c>
      <c r="L949" s="39" t="n">
        <f aca="false">VLOOKUP(H949,'Product List'!$A$3:$D$18,4,FALSE())</f>
        <v>780</v>
      </c>
      <c r="M949" s="39" t="n">
        <f aca="false">I949*J949*(1-K949)</f>
        <v>2698.2</v>
      </c>
      <c r="N949" s="39" t="n">
        <f aca="false">I949*L949</f>
        <v>1560</v>
      </c>
      <c r="O949" s="39" t="n">
        <f aca="false">M949-N949</f>
        <v>1138.2</v>
      </c>
      <c r="P949" s="41" t="n">
        <f aca="false">IF(M949=0,0,O949/M949)</f>
        <v>0.421836780075606</v>
      </c>
      <c r="Q949" s="37" t="str">
        <f aca="false">IF(K949=0,"No discount",IF(K949&lt;=0.1,"1-10%",IF(K949&lt;=0.2,"11-20%",IF(K949&lt;=0.3,"21-30%","Above 30%"))))</f>
        <v>1-10%</v>
      </c>
      <c r="R949" s="39" t="n">
        <f aca="false">I949*J949*MAX(0,K949-DiscountCap)</f>
        <v>0</v>
      </c>
    </row>
    <row r="950" customFormat="false" ht="15" hidden="false" customHeight="false" outlineLevel="0" collapsed="false">
      <c r="A950" s="37" t="s">
        <v>1094</v>
      </c>
      <c r="B950" s="38" t="n">
        <v>46011</v>
      </c>
      <c r="C950" s="37" t="n">
        <f aca="false">MONTH(B950)</f>
        <v>12</v>
      </c>
      <c r="D950" s="37" t="s">
        <v>169</v>
      </c>
      <c r="E950" s="37" t="s">
        <v>44</v>
      </c>
      <c r="F950" s="37" t="s">
        <v>97</v>
      </c>
      <c r="G950" s="37" t="s">
        <v>93</v>
      </c>
      <c r="H950" s="37" t="s">
        <v>120</v>
      </c>
      <c r="I950" s="37" t="n">
        <v>1</v>
      </c>
      <c r="J950" s="39" t="n">
        <v>449</v>
      </c>
      <c r="K950" s="40" t="n">
        <v>0.05</v>
      </c>
      <c r="L950" s="39" t="n">
        <f aca="false">VLOOKUP(H950,'Product List'!$A$3:$D$18,4,FALSE())</f>
        <v>240</v>
      </c>
      <c r="M950" s="39" t="n">
        <f aca="false">I950*J950*(1-K950)</f>
        <v>426.55</v>
      </c>
      <c r="N950" s="39" t="n">
        <f aca="false">I950*L950</f>
        <v>240</v>
      </c>
      <c r="O950" s="39" t="n">
        <f aca="false">M950-N950</f>
        <v>186.55</v>
      </c>
      <c r="P950" s="41" t="n">
        <f aca="false">IF(M950=0,0,O950/M950)</f>
        <v>0.43734614933771</v>
      </c>
      <c r="Q950" s="37" t="str">
        <f aca="false">IF(K950=0,"No discount",IF(K950&lt;=0.1,"1-10%",IF(K950&lt;=0.2,"11-20%",IF(K950&lt;=0.3,"21-30%","Above 30%"))))</f>
        <v>1-10%</v>
      </c>
      <c r="R950" s="39" t="n">
        <f aca="false">I950*J950*MAX(0,K950-DiscountCap)</f>
        <v>0</v>
      </c>
    </row>
    <row r="951" customFormat="false" ht="15" hidden="false" customHeight="false" outlineLevel="0" collapsed="false">
      <c r="A951" s="37" t="s">
        <v>1095</v>
      </c>
      <c r="B951" s="38" t="n">
        <v>45998</v>
      </c>
      <c r="C951" s="37" t="n">
        <f aca="false">MONTH(B951)</f>
        <v>12</v>
      </c>
      <c r="D951" s="37" t="s">
        <v>169</v>
      </c>
      <c r="E951" s="37" t="s">
        <v>44</v>
      </c>
      <c r="F951" s="37" t="s">
        <v>96</v>
      </c>
      <c r="G951" s="37" t="s">
        <v>90</v>
      </c>
      <c r="H951" s="37" t="s">
        <v>109</v>
      </c>
      <c r="I951" s="37" t="n">
        <v>1</v>
      </c>
      <c r="J951" s="39" t="n">
        <v>3499</v>
      </c>
      <c r="K951" s="40" t="n">
        <v>0.3</v>
      </c>
      <c r="L951" s="39" t="n">
        <f aca="false">VLOOKUP(H951,'Product List'!$A$3:$D$18,4,FALSE())</f>
        <v>2750</v>
      </c>
      <c r="M951" s="39" t="n">
        <f aca="false">I951*J951*(1-K951)</f>
        <v>2449.3</v>
      </c>
      <c r="N951" s="39" t="n">
        <f aca="false">I951*L951</f>
        <v>2750</v>
      </c>
      <c r="O951" s="39" t="n">
        <f aca="false">M951-N951</f>
        <v>-300.7</v>
      </c>
      <c r="P951" s="41" t="n">
        <f aca="false">IF(M951=0,0,O951/M951)</f>
        <v>-0.122769770954967</v>
      </c>
      <c r="Q951" s="37" t="str">
        <f aca="false">IF(K951=0,"No discount",IF(K951&lt;=0.1,"1-10%",IF(K951&lt;=0.2,"11-20%",IF(K951&lt;=0.3,"21-30%","Above 30%"))))</f>
        <v>21-30%</v>
      </c>
      <c r="R951" s="39" t="n">
        <f aca="false">I951*J951*MAX(0,K951-DiscountCap)</f>
        <v>349.9</v>
      </c>
    </row>
    <row r="952" customFormat="false" ht="15" hidden="false" customHeight="false" outlineLevel="0" collapsed="false">
      <c r="A952" s="37" t="s">
        <v>1096</v>
      </c>
      <c r="B952" s="38" t="n">
        <v>46012</v>
      </c>
      <c r="C952" s="37" t="n">
        <f aca="false">MONTH(B952)</f>
        <v>12</v>
      </c>
      <c r="D952" s="37" t="s">
        <v>144</v>
      </c>
      <c r="E952" s="37" t="s">
        <v>45</v>
      </c>
      <c r="F952" s="37" t="s">
        <v>97</v>
      </c>
      <c r="G952" s="37" t="s">
        <v>91</v>
      </c>
      <c r="H952" s="37" t="s">
        <v>117</v>
      </c>
      <c r="I952" s="37" t="n">
        <v>2</v>
      </c>
      <c r="J952" s="39" t="n">
        <v>1499</v>
      </c>
      <c r="K952" s="40" t="n">
        <v>0.05</v>
      </c>
      <c r="L952" s="39" t="n">
        <f aca="false">VLOOKUP(H952,'Product List'!$A$3:$D$18,4,FALSE())</f>
        <v>780</v>
      </c>
      <c r="M952" s="39" t="n">
        <f aca="false">I952*J952*(1-K952)</f>
        <v>2848.1</v>
      </c>
      <c r="N952" s="39" t="n">
        <f aca="false">I952*L952</f>
        <v>1560</v>
      </c>
      <c r="O952" s="39" t="n">
        <f aca="false">M952-N952</f>
        <v>1288.1</v>
      </c>
      <c r="P952" s="41" t="n">
        <f aca="false">IF(M952=0,0,O952/M952)</f>
        <v>0.452266423229521</v>
      </c>
      <c r="Q952" s="37" t="str">
        <f aca="false">IF(K952=0,"No discount",IF(K952&lt;=0.1,"1-10%",IF(K952&lt;=0.2,"11-20%",IF(K952&lt;=0.3,"21-30%","Above 30%"))))</f>
        <v>1-10%</v>
      </c>
      <c r="R952" s="39" t="n">
        <f aca="false">I952*J952*MAX(0,K952-DiscountCap)</f>
        <v>0</v>
      </c>
    </row>
    <row r="953" customFormat="false" ht="15" hidden="false" customHeight="false" outlineLevel="0" collapsed="false">
      <c r="A953" s="37" t="s">
        <v>1097</v>
      </c>
      <c r="B953" s="38" t="n">
        <v>46018</v>
      </c>
      <c r="C953" s="37" t="n">
        <f aca="false">MONTH(B953)</f>
        <v>12</v>
      </c>
      <c r="D953" s="37" t="s">
        <v>134</v>
      </c>
      <c r="E953" s="37" t="s">
        <v>45</v>
      </c>
      <c r="F953" s="37" t="s">
        <v>97</v>
      </c>
      <c r="G953" s="37" t="s">
        <v>91</v>
      </c>
      <c r="H953" s="37" t="s">
        <v>119</v>
      </c>
      <c r="I953" s="37" t="n">
        <v>1</v>
      </c>
      <c r="J953" s="39" t="n">
        <v>1099</v>
      </c>
      <c r="K953" s="40" t="n">
        <v>0.05</v>
      </c>
      <c r="L953" s="39" t="n">
        <f aca="false">VLOOKUP(H953,'Product List'!$A$3:$D$18,4,FALSE())</f>
        <v>560</v>
      </c>
      <c r="M953" s="39" t="n">
        <f aca="false">I953*J953*(1-K953)</f>
        <v>1044.05</v>
      </c>
      <c r="N953" s="39" t="n">
        <f aca="false">I953*L953</f>
        <v>560</v>
      </c>
      <c r="O953" s="39" t="n">
        <f aca="false">M953-N953</f>
        <v>484.05</v>
      </c>
      <c r="P953" s="41" t="n">
        <f aca="false">IF(M953=0,0,O953/M953)</f>
        <v>0.463627220918538</v>
      </c>
      <c r="Q953" s="37" t="str">
        <f aca="false">IF(K953=0,"No discount",IF(K953&lt;=0.1,"1-10%",IF(K953&lt;=0.2,"11-20%",IF(K953&lt;=0.3,"21-30%","Above 30%"))))</f>
        <v>1-10%</v>
      </c>
      <c r="R953" s="39" t="n">
        <f aca="false">I953*J953*MAX(0,K953-DiscountCap)</f>
        <v>0</v>
      </c>
    </row>
    <row r="954" customFormat="false" ht="15" hidden="false" customHeight="false" outlineLevel="0" collapsed="false">
      <c r="A954" s="37" t="s">
        <v>1098</v>
      </c>
      <c r="B954" s="38" t="n">
        <v>46014</v>
      </c>
      <c r="C954" s="37" t="n">
        <f aca="false">MONTH(B954)</f>
        <v>12</v>
      </c>
      <c r="D954" s="37" t="s">
        <v>154</v>
      </c>
      <c r="E954" s="37" t="s">
        <v>47</v>
      </c>
      <c r="F954" s="37" t="s">
        <v>96</v>
      </c>
      <c r="G954" s="37" t="s">
        <v>92</v>
      </c>
      <c r="H954" s="37" t="s">
        <v>114</v>
      </c>
      <c r="I954" s="37" t="n">
        <v>3</v>
      </c>
      <c r="J954" s="39" t="n">
        <v>1199</v>
      </c>
      <c r="K954" s="40" t="n">
        <v>0.1</v>
      </c>
      <c r="L954" s="39" t="n">
        <f aca="false">VLOOKUP(H954,'Product List'!$A$3:$D$18,4,FALSE())</f>
        <v>780</v>
      </c>
      <c r="M954" s="39" t="n">
        <f aca="false">I954*J954*(1-K954)</f>
        <v>3237.3</v>
      </c>
      <c r="N954" s="39" t="n">
        <f aca="false">I954*L954</f>
        <v>2340</v>
      </c>
      <c r="O954" s="39" t="n">
        <f aca="false">M954-N954</f>
        <v>897.3</v>
      </c>
      <c r="P954" s="41" t="n">
        <f aca="false">IF(M954=0,0,O954/M954)</f>
        <v>0.277175423964415</v>
      </c>
      <c r="Q954" s="37" t="str">
        <f aca="false">IF(K954=0,"No discount",IF(K954&lt;=0.1,"1-10%",IF(K954&lt;=0.2,"11-20%",IF(K954&lt;=0.3,"21-30%","Above 30%"))))</f>
        <v>1-10%</v>
      </c>
      <c r="R954" s="39" t="n">
        <f aca="false">I954*J954*MAX(0,K954-DiscountCap)</f>
        <v>0</v>
      </c>
    </row>
    <row r="955" customFormat="false" ht="15" hidden="false" customHeight="false" outlineLevel="0" collapsed="false">
      <c r="A955" s="37" t="s">
        <v>1099</v>
      </c>
      <c r="B955" s="38" t="n">
        <v>46002</v>
      </c>
      <c r="C955" s="37" t="n">
        <f aca="false">MONTH(B955)</f>
        <v>12</v>
      </c>
      <c r="D955" s="37" t="s">
        <v>146</v>
      </c>
      <c r="E955" s="37" t="s">
        <v>45</v>
      </c>
      <c r="F955" s="37" t="s">
        <v>96</v>
      </c>
      <c r="G955" s="37" t="s">
        <v>92</v>
      </c>
      <c r="H955" s="37" t="s">
        <v>114</v>
      </c>
      <c r="I955" s="37" t="n">
        <v>1</v>
      </c>
      <c r="J955" s="39" t="n">
        <v>1199</v>
      </c>
      <c r="K955" s="40" t="n">
        <v>0.05</v>
      </c>
      <c r="L955" s="39" t="n">
        <f aca="false">VLOOKUP(H955,'Product List'!$A$3:$D$18,4,FALSE())</f>
        <v>780</v>
      </c>
      <c r="M955" s="39" t="n">
        <f aca="false">I955*J955*(1-K955)</f>
        <v>1139.05</v>
      </c>
      <c r="N955" s="39" t="n">
        <f aca="false">I955*L955</f>
        <v>780</v>
      </c>
      <c r="O955" s="39" t="n">
        <f aca="false">M955-N955</f>
        <v>359.05</v>
      </c>
      <c r="P955" s="41" t="n">
        <f aca="false">IF(M955=0,0,O955/M955)</f>
        <v>0.31521882270313</v>
      </c>
      <c r="Q955" s="37" t="str">
        <f aca="false">IF(K955=0,"No discount",IF(K955&lt;=0.1,"1-10%",IF(K955&lt;=0.2,"11-20%",IF(K955&lt;=0.3,"21-30%","Above 30%"))))</f>
        <v>1-10%</v>
      </c>
      <c r="R955" s="39" t="n">
        <f aca="false">I955*J955*MAX(0,K955-DiscountCap)</f>
        <v>0</v>
      </c>
    </row>
    <row r="956" customFormat="false" ht="15" hidden="false" customHeight="false" outlineLevel="0" collapsed="false">
      <c r="A956" s="37" t="s">
        <v>1100</v>
      </c>
      <c r="B956" s="38" t="n">
        <v>46022</v>
      </c>
      <c r="C956" s="37" t="n">
        <f aca="false">MONTH(B956)</f>
        <v>12</v>
      </c>
      <c r="D956" s="37" t="s">
        <v>142</v>
      </c>
      <c r="E956" s="37" t="s">
        <v>47</v>
      </c>
      <c r="F956" s="37" t="s">
        <v>97</v>
      </c>
      <c r="G956" s="37" t="s">
        <v>90</v>
      </c>
      <c r="H956" s="37" t="s">
        <v>109</v>
      </c>
      <c r="I956" s="37" t="n">
        <v>1</v>
      </c>
      <c r="J956" s="39" t="n">
        <v>3499</v>
      </c>
      <c r="K956" s="40" t="n">
        <v>0.1</v>
      </c>
      <c r="L956" s="39" t="n">
        <f aca="false">VLOOKUP(H956,'Product List'!$A$3:$D$18,4,FALSE())</f>
        <v>2750</v>
      </c>
      <c r="M956" s="39" t="n">
        <f aca="false">I956*J956*(1-K956)</f>
        <v>3149.1</v>
      </c>
      <c r="N956" s="39" t="n">
        <f aca="false">I956*L956</f>
        <v>2750</v>
      </c>
      <c r="O956" s="39" t="n">
        <f aca="false">M956-N956</f>
        <v>399.1</v>
      </c>
      <c r="P956" s="41" t="n">
        <f aca="false">IF(M956=0,0,O956/M956)</f>
        <v>0.126734622590581</v>
      </c>
      <c r="Q956" s="37" t="str">
        <f aca="false">IF(K956=0,"No discount",IF(K956&lt;=0.1,"1-10%",IF(K956&lt;=0.2,"11-20%",IF(K956&lt;=0.3,"21-30%","Above 30%"))))</f>
        <v>1-10%</v>
      </c>
      <c r="R956" s="39" t="n">
        <f aca="false">I956*J956*MAX(0,K956-DiscountCap)</f>
        <v>0</v>
      </c>
    </row>
    <row r="957" customFormat="false" ht="15" hidden="false" customHeight="false" outlineLevel="0" collapsed="false">
      <c r="A957" s="37" t="s">
        <v>1101</v>
      </c>
      <c r="B957" s="38" t="n">
        <v>46010</v>
      </c>
      <c r="C957" s="37" t="n">
        <f aca="false">MONTH(B957)</f>
        <v>12</v>
      </c>
      <c r="D957" s="37" t="s">
        <v>136</v>
      </c>
      <c r="E957" s="37" t="s">
        <v>47</v>
      </c>
      <c r="F957" s="37" t="s">
        <v>96</v>
      </c>
      <c r="G957" s="37" t="s">
        <v>92</v>
      </c>
      <c r="H957" s="37" t="s">
        <v>113</v>
      </c>
      <c r="I957" s="37" t="n">
        <v>1</v>
      </c>
      <c r="J957" s="39" t="n">
        <v>2199</v>
      </c>
      <c r="K957" s="40" t="n">
        <v>0.15</v>
      </c>
      <c r="L957" s="39" t="n">
        <f aca="false">VLOOKUP(H957,'Product List'!$A$3:$D$18,4,FALSE())</f>
        <v>1400</v>
      </c>
      <c r="M957" s="39" t="n">
        <f aca="false">I957*J957*(1-K957)</f>
        <v>1869.15</v>
      </c>
      <c r="N957" s="39" t="n">
        <f aca="false">I957*L957</f>
        <v>1400</v>
      </c>
      <c r="O957" s="39" t="n">
        <f aca="false">M957-N957</f>
        <v>469.15</v>
      </c>
      <c r="P957" s="41" t="n">
        <f aca="false">IF(M957=0,0,O957/M957)</f>
        <v>0.250996442233101</v>
      </c>
      <c r="Q957" s="37" t="str">
        <f aca="false">IF(K957=0,"No discount",IF(K957&lt;=0.1,"1-10%",IF(K957&lt;=0.2,"11-20%",IF(K957&lt;=0.3,"21-30%","Above 30%"))))</f>
        <v>11-20%</v>
      </c>
      <c r="R957" s="39" t="n">
        <f aca="false">I957*J957*MAX(0,K957-DiscountCap)</f>
        <v>0</v>
      </c>
    </row>
    <row r="958" customFormat="false" ht="15" hidden="false" customHeight="false" outlineLevel="0" collapsed="false">
      <c r="A958" s="37" t="s">
        <v>1102</v>
      </c>
      <c r="B958" s="38" t="n">
        <v>46001</v>
      </c>
      <c r="C958" s="37" t="n">
        <f aca="false">MONTH(B958)</f>
        <v>12</v>
      </c>
      <c r="D958" s="37" t="s">
        <v>144</v>
      </c>
      <c r="E958" s="37" t="s">
        <v>45</v>
      </c>
      <c r="F958" s="37" t="s">
        <v>96</v>
      </c>
      <c r="G958" s="37" t="s">
        <v>91</v>
      </c>
      <c r="H958" s="37" t="s">
        <v>119</v>
      </c>
      <c r="I958" s="37" t="n">
        <v>1</v>
      </c>
      <c r="J958" s="39" t="n">
        <v>1099</v>
      </c>
      <c r="K958" s="40" t="n">
        <v>0.1</v>
      </c>
      <c r="L958" s="39" t="n">
        <f aca="false">VLOOKUP(H958,'Product List'!$A$3:$D$18,4,FALSE())</f>
        <v>560</v>
      </c>
      <c r="M958" s="39" t="n">
        <f aca="false">I958*J958*(1-K958)</f>
        <v>989.1</v>
      </c>
      <c r="N958" s="39" t="n">
        <f aca="false">I958*L958</f>
        <v>560</v>
      </c>
      <c r="O958" s="39" t="n">
        <f aca="false">M958-N958</f>
        <v>429.1</v>
      </c>
      <c r="P958" s="41" t="n">
        <f aca="false">IF(M958=0,0,O958/M958)</f>
        <v>0.433828733191791</v>
      </c>
      <c r="Q958" s="37" t="str">
        <f aca="false">IF(K958=0,"No discount",IF(K958&lt;=0.1,"1-10%",IF(K958&lt;=0.2,"11-20%",IF(K958&lt;=0.3,"21-30%","Above 30%"))))</f>
        <v>1-10%</v>
      </c>
      <c r="R958" s="39" t="n">
        <f aca="false">I958*J958*MAX(0,K958-DiscountCap)</f>
        <v>0</v>
      </c>
    </row>
    <row r="959" customFormat="false" ht="15" hidden="false" customHeight="false" outlineLevel="0" collapsed="false">
      <c r="A959" s="37" t="s">
        <v>1103</v>
      </c>
      <c r="B959" s="38" t="n">
        <v>46018</v>
      </c>
      <c r="C959" s="37" t="n">
        <f aca="false">MONTH(B959)</f>
        <v>12</v>
      </c>
      <c r="D959" s="37" t="s">
        <v>146</v>
      </c>
      <c r="E959" s="37" t="s">
        <v>45</v>
      </c>
      <c r="F959" s="37" t="s">
        <v>96</v>
      </c>
      <c r="G959" s="37" t="s">
        <v>90</v>
      </c>
      <c r="H959" s="37" t="s">
        <v>108</v>
      </c>
      <c r="I959" s="37" t="n">
        <v>3</v>
      </c>
      <c r="J959" s="39" t="n">
        <v>1999</v>
      </c>
      <c r="K959" s="40" t="n">
        <v>0.15</v>
      </c>
      <c r="L959" s="39" t="n">
        <f aca="false">VLOOKUP(H959,'Product List'!$A$3:$D$18,4,FALSE())</f>
        <v>1560</v>
      </c>
      <c r="M959" s="39" t="n">
        <f aca="false">I959*J959*(1-K959)</f>
        <v>5097.45</v>
      </c>
      <c r="N959" s="39" t="n">
        <f aca="false">I959*L959</f>
        <v>4680</v>
      </c>
      <c r="O959" s="39" t="n">
        <f aca="false">M959-N959</f>
        <v>417.45</v>
      </c>
      <c r="P959" s="41" t="n">
        <f aca="false">IF(M959=0,0,O959/M959)</f>
        <v>0.0818938881205308</v>
      </c>
      <c r="Q959" s="37" t="str">
        <f aca="false">IF(K959=0,"No discount",IF(K959&lt;=0.1,"1-10%",IF(K959&lt;=0.2,"11-20%",IF(K959&lt;=0.3,"21-30%","Above 30%"))))</f>
        <v>11-20%</v>
      </c>
      <c r="R959" s="39" t="n">
        <f aca="false">I959*J959*MAX(0,K959-DiscountCap)</f>
        <v>0</v>
      </c>
    </row>
    <row r="960" customFormat="false" ht="15" hidden="false" customHeight="false" outlineLevel="0" collapsed="false">
      <c r="A960" s="37" t="s">
        <v>1104</v>
      </c>
      <c r="B960" s="38" t="n">
        <v>46001</v>
      </c>
      <c r="C960" s="37" t="n">
        <f aca="false">MONTH(B960)</f>
        <v>12</v>
      </c>
      <c r="D960" s="37" t="s">
        <v>169</v>
      </c>
      <c r="E960" s="37" t="s">
        <v>44</v>
      </c>
      <c r="F960" s="37" t="s">
        <v>96</v>
      </c>
      <c r="G960" s="37" t="s">
        <v>90</v>
      </c>
      <c r="H960" s="37" t="s">
        <v>108</v>
      </c>
      <c r="I960" s="37" t="n">
        <v>2</v>
      </c>
      <c r="J960" s="39" t="n">
        <v>1999</v>
      </c>
      <c r="K960" s="40" t="n">
        <v>0.15</v>
      </c>
      <c r="L960" s="39" t="n">
        <f aca="false">VLOOKUP(H960,'Product List'!$A$3:$D$18,4,FALSE())</f>
        <v>1560</v>
      </c>
      <c r="M960" s="39" t="n">
        <f aca="false">I960*J960*(1-K960)</f>
        <v>3398.3</v>
      </c>
      <c r="N960" s="39" t="n">
        <f aca="false">I960*L960</f>
        <v>3120</v>
      </c>
      <c r="O960" s="39" t="n">
        <f aca="false">M960-N960</f>
        <v>278.3</v>
      </c>
      <c r="P960" s="41" t="n">
        <f aca="false">IF(M960=0,0,O960/M960)</f>
        <v>0.0818938881205308</v>
      </c>
      <c r="Q960" s="37" t="str">
        <f aca="false">IF(K960=0,"No discount",IF(K960&lt;=0.1,"1-10%",IF(K960&lt;=0.2,"11-20%",IF(K960&lt;=0.3,"21-30%","Above 30%"))))</f>
        <v>11-20%</v>
      </c>
      <c r="R960" s="39" t="n">
        <f aca="false">I960*J960*MAX(0,K960-DiscountCap)</f>
        <v>0</v>
      </c>
    </row>
    <row r="961" customFormat="false" ht="15" hidden="false" customHeight="false" outlineLevel="0" collapsed="false">
      <c r="A961" s="37" t="s">
        <v>1105</v>
      </c>
      <c r="B961" s="38" t="n">
        <v>46017</v>
      </c>
      <c r="C961" s="37" t="n">
        <f aca="false">MONTH(B961)</f>
        <v>12</v>
      </c>
      <c r="D961" s="37" t="s">
        <v>140</v>
      </c>
      <c r="E961" s="37" t="s">
        <v>44</v>
      </c>
      <c r="F961" s="37" t="s">
        <v>97</v>
      </c>
      <c r="G961" s="37" t="s">
        <v>91</v>
      </c>
      <c r="H961" s="37" t="s">
        <v>116</v>
      </c>
      <c r="I961" s="37" t="n">
        <v>2</v>
      </c>
      <c r="J961" s="39" t="n">
        <v>899</v>
      </c>
      <c r="K961" s="40" t="n">
        <v>0.2</v>
      </c>
      <c r="L961" s="39" t="n">
        <f aca="false">VLOOKUP(H961,'Product List'!$A$3:$D$18,4,FALSE())</f>
        <v>430</v>
      </c>
      <c r="M961" s="39" t="n">
        <f aca="false">I961*J961*(1-K961)</f>
        <v>1438.4</v>
      </c>
      <c r="N961" s="39" t="n">
        <f aca="false">I961*L961</f>
        <v>860</v>
      </c>
      <c r="O961" s="39" t="n">
        <f aca="false">M961-N961</f>
        <v>578.4</v>
      </c>
      <c r="P961" s="41" t="n">
        <f aca="false">IF(M961=0,0,O961/M961)</f>
        <v>0.402113459399333</v>
      </c>
      <c r="Q961" s="37" t="str">
        <f aca="false">IF(K961=0,"No discount",IF(K961&lt;=0.1,"1-10%",IF(K961&lt;=0.2,"11-20%",IF(K961&lt;=0.3,"21-30%","Above 30%"))))</f>
        <v>11-20%</v>
      </c>
      <c r="R961" s="39" t="n">
        <f aca="false">I961*J961*MAX(0,K961-DiscountCap)</f>
        <v>0</v>
      </c>
    </row>
    <row r="962" customFormat="false" ht="15" hidden="false" customHeight="false" outlineLevel="0" collapsed="false">
      <c r="A962" s="37" t="s">
        <v>1106</v>
      </c>
      <c r="B962" s="38" t="n">
        <v>45994</v>
      </c>
      <c r="C962" s="37" t="n">
        <f aca="false">MONTH(B962)</f>
        <v>12</v>
      </c>
      <c r="D962" s="37" t="s">
        <v>136</v>
      </c>
      <c r="E962" s="37" t="s">
        <v>47</v>
      </c>
      <c r="F962" s="37" t="s">
        <v>97</v>
      </c>
      <c r="G962" s="37" t="s">
        <v>91</v>
      </c>
      <c r="H962" s="37" t="s">
        <v>118</v>
      </c>
      <c r="I962" s="37" t="n">
        <v>1</v>
      </c>
      <c r="J962" s="39" t="n">
        <v>2299</v>
      </c>
      <c r="K962" s="40" t="n">
        <v>0.05</v>
      </c>
      <c r="L962" s="39" t="n">
        <f aca="false">VLOOKUP(H962,'Product List'!$A$3:$D$18,4,FALSE())</f>
        <v>1300</v>
      </c>
      <c r="M962" s="39" t="n">
        <f aca="false">I962*J962*(1-K962)</f>
        <v>2184.05</v>
      </c>
      <c r="N962" s="39" t="n">
        <f aca="false">I962*L962</f>
        <v>1300</v>
      </c>
      <c r="O962" s="39" t="n">
        <f aca="false">M962-N962</f>
        <v>884.05</v>
      </c>
      <c r="P962" s="41" t="n">
        <f aca="false">IF(M962=0,0,O962/M962)</f>
        <v>0.404775531695703</v>
      </c>
      <c r="Q962" s="37" t="str">
        <f aca="false">IF(K962=0,"No discount",IF(K962&lt;=0.1,"1-10%",IF(K962&lt;=0.2,"11-20%",IF(K962&lt;=0.3,"21-30%","Above 30%"))))</f>
        <v>1-10%</v>
      </c>
      <c r="R962" s="39" t="n">
        <f aca="false">I962*J962*MAX(0,K962-DiscountCap)</f>
        <v>0</v>
      </c>
    </row>
    <row r="963" customFormat="false" ht="15" hidden="false" customHeight="false" outlineLevel="0" collapsed="false">
      <c r="A963" s="37" t="s">
        <v>1107</v>
      </c>
      <c r="B963" s="38" t="n">
        <v>46021</v>
      </c>
      <c r="C963" s="37" t="n">
        <f aca="false">MONTH(B963)</f>
        <v>12</v>
      </c>
      <c r="D963" s="37" t="s">
        <v>146</v>
      </c>
      <c r="E963" s="37" t="s">
        <v>45</v>
      </c>
      <c r="F963" s="37" t="s">
        <v>97</v>
      </c>
      <c r="G963" s="37" t="s">
        <v>91</v>
      </c>
      <c r="H963" s="37" t="s">
        <v>119</v>
      </c>
      <c r="I963" s="37" t="n">
        <v>1</v>
      </c>
      <c r="J963" s="39" t="n">
        <v>1099</v>
      </c>
      <c r="K963" s="40" t="n">
        <v>0</v>
      </c>
      <c r="L963" s="39" t="n">
        <f aca="false">VLOOKUP(H963,'Product List'!$A$3:$D$18,4,FALSE())</f>
        <v>560</v>
      </c>
      <c r="M963" s="39" t="n">
        <f aca="false">I963*J963*(1-K963)</f>
        <v>1099</v>
      </c>
      <c r="N963" s="39" t="n">
        <f aca="false">I963*L963</f>
        <v>560</v>
      </c>
      <c r="O963" s="39" t="n">
        <f aca="false">M963-N963</f>
        <v>539</v>
      </c>
      <c r="P963" s="41" t="n">
        <f aca="false">IF(M963=0,0,O963/M963)</f>
        <v>0.490445859872611</v>
      </c>
      <c r="Q963" s="37" t="str">
        <f aca="false">IF(K963=0,"No discount",IF(K963&lt;=0.1,"1-10%",IF(K963&lt;=0.2,"11-20%",IF(K963&lt;=0.3,"21-30%","Above 30%"))))</f>
        <v>No discount</v>
      </c>
      <c r="R963" s="39" t="n">
        <f aca="false">I963*J963*MAX(0,K963-DiscountCap)</f>
        <v>0</v>
      </c>
    </row>
    <row r="964" customFormat="false" ht="15" hidden="false" customHeight="false" outlineLevel="0" collapsed="false">
      <c r="A964" s="37" t="s">
        <v>1108</v>
      </c>
      <c r="B964" s="38" t="n">
        <v>46022</v>
      </c>
      <c r="C964" s="37" t="n">
        <f aca="false">MONTH(B964)</f>
        <v>12</v>
      </c>
      <c r="D964" s="37" t="s">
        <v>169</v>
      </c>
      <c r="E964" s="37" t="s">
        <v>44</v>
      </c>
      <c r="F964" s="37" t="s">
        <v>97</v>
      </c>
      <c r="G964" s="37" t="s">
        <v>91</v>
      </c>
      <c r="H964" s="37" t="s">
        <v>118</v>
      </c>
      <c r="I964" s="37" t="n">
        <v>1</v>
      </c>
      <c r="J964" s="39" t="n">
        <v>2299</v>
      </c>
      <c r="K964" s="40" t="n">
        <v>0.05</v>
      </c>
      <c r="L964" s="39" t="n">
        <f aca="false">VLOOKUP(H964,'Product List'!$A$3:$D$18,4,FALSE())</f>
        <v>1300</v>
      </c>
      <c r="M964" s="39" t="n">
        <f aca="false">I964*J964*(1-K964)</f>
        <v>2184.05</v>
      </c>
      <c r="N964" s="39" t="n">
        <f aca="false">I964*L964</f>
        <v>1300</v>
      </c>
      <c r="O964" s="39" t="n">
        <f aca="false">M964-N964</f>
        <v>884.05</v>
      </c>
      <c r="P964" s="41" t="n">
        <f aca="false">IF(M964=0,0,O964/M964)</f>
        <v>0.404775531695703</v>
      </c>
      <c r="Q964" s="37" t="str">
        <f aca="false">IF(K964=0,"No discount",IF(K964&lt;=0.1,"1-10%",IF(K964&lt;=0.2,"11-20%",IF(K964&lt;=0.3,"21-30%","Above 30%"))))</f>
        <v>1-10%</v>
      </c>
      <c r="R964" s="39" t="n">
        <f aca="false">I964*J964*MAX(0,K964-DiscountCap)</f>
        <v>0</v>
      </c>
    </row>
    <row r="965" customFormat="false" ht="15" hidden="false" customHeight="false" outlineLevel="0" collapsed="false">
      <c r="A965" s="37" t="s">
        <v>1109</v>
      </c>
      <c r="B965" s="38" t="n">
        <v>46006</v>
      </c>
      <c r="C965" s="37" t="n">
        <f aca="false">MONTH(B965)</f>
        <v>12</v>
      </c>
      <c r="D965" s="37" t="s">
        <v>166</v>
      </c>
      <c r="E965" s="37" t="s">
        <v>44</v>
      </c>
      <c r="F965" s="37" t="s">
        <v>96</v>
      </c>
      <c r="G965" s="37" t="s">
        <v>90</v>
      </c>
      <c r="H965" s="37" t="s">
        <v>111</v>
      </c>
      <c r="I965" s="37" t="n">
        <v>1</v>
      </c>
      <c r="J965" s="39" t="n">
        <v>2499</v>
      </c>
      <c r="K965" s="40" t="n">
        <v>0.05</v>
      </c>
      <c r="L965" s="39" t="n">
        <f aca="false">VLOOKUP(H965,'Product List'!$A$3:$D$18,4,FALSE())</f>
        <v>1950</v>
      </c>
      <c r="M965" s="39" t="n">
        <f aca="false">I965*J965*(1-K965)</f>
        <v>2374.05</v>
      </c>
      <c r="N965" s="39" t="n">
        <f aca="false">I965*L965</f>
        <v>1950</v>
      </c>
      <c r="O965" s="39" t="n">
        <f aca="false">M965-N965</f>
        <v>424.05</v>
      </c>
      <c r="P965" s="41" t="n">
        <f aca="false">IF(M965=0,0,O965/M965)</f>
        <v>0.178618815947432</v>
      </c>
      <c r="Q965" s="37" t="str">
        <f aca="false">IF(K965=0,"No discount",IF(K965&lt;=0.1,"1-10%",IF(K965&lt;=0.2,"11-20%",IF(K965&lt;=0.3,"21-30%","Above 30%"))))</f>
        <v>1-10%</v>
      </c>
      <c r="R965" s="39" t="n">
        <f aca="false">I965*J965*MAX(0,K965-DiscountCap)</f>
        <v>0</v>
      </c>
    </row>
    <row r="966" customFormat="false" ht="15" hidden="false" customHeight="false" outlineLevel="0" collapsed="false">
      <c r="A966" s="37" t="s">
        <v>1110</v>
      </c>
      <c r="B966" s="38" t="n">
        <v>46004</v>
      </c>
      <c r="C966" s="37" t="n">
        <f aca="false">MONTH(B966)</f>
        <v>12</v>
      </c>
      <c r="D966" s="37" t="s">
        <v>134</v>
      </c>
      <c r="E966" s="37" t="s">
        <v>45</v>
      </c>
      <c r="F966" s="37" t="s">
        <v>97</v>
      </c>
      <c r="G966" s="37" t="s">
        <v>90</v>
      </c>
      <c r="H966" s="37" t="s">
        <v>110</v>
      </c>
      <c r="I966" s="37" t="n">
        <v>1</v>
      </c>
      <c r="J966" s="39" t="n">
        <v>1299</v>
      </c>
      <c r="K966" s="40" t="n">
        <v>0</v>
      </c>
      <c r="L966" s="39" t="n">
        <f aca="false">VLOOKUP(H966,'Product List'!$A$3:$D$18,4,FALSE())</f>
        <v>1000</v>
      </c>
      <c r="M966" s="39" t="n">
        <f aca="false">I966*J966*(1-K966)</f>
        <v>1299</v>
      </c>
      <c r="N966" s="39" t="n">
        <f aca="false">I966*L966</f>
        <v>1000</v>
      </c>
      <c r="O966" s="39" t="n">
        <f aca="false">M966-N966</f>
        <v>299</v>
      </c>
      <c r="P966" s="41" t="n">
        <f aca="false">IF(M966=0,0,O966/M966)</f>
        <v>0.230177059276366</v>
      </c>
      <c r="Q966" s="37" t="str">
        <f aca="false">IF(K966=0,"No discount",IF(K966&lt;=0.1,"1-10%",IF(K966&lt;=0.2,"11-20%",IF(K966&lt;=0.3,"21-30%","Above 30%"))))</f>
        <v>No discount</v>
      </c>
      <c r="R966" s="39" t="n">
        <f aca="false">I966*J966*MAX(0,K966-DiscountCap)</f>
        <v>0</v>
      </c>
    </row>
    <row r="967" customFormat="false" ht="15" hidden="false" customHeight="false" outlineLevel="0" collapsed="false">
      <c r="A967" s="37" t="s">
        <v>1111</v>
      </c>
      <c r="B967" s="38" t="n">
        <v>46011</v>
      </c>
      <c r="C967" s="37" t="n">
        <f aca="false">MONTH(B967)</f>
        <v>12</v>
      </c>
      <c r="D967" s="37" t="s">
        <v>134</v>
      </c>
      <c r="E967" s="37" t="s">
        <v>45</v>
      </c>
      <c r="F967" s="37" t="s">
        <v>96</v>
      </c>
      <c r="G967" s="37" t="s">
        <v>92</v>
      </c>
      <c r="H967" s="37" t="s">
        <v>112</v>
      </c>
      <c r="I967" s="37" t="n">
        <v>2</v>
      </c>
      <c r="J967" s="39" t="n">
        <v>3299</v>
      </c>
      <c r="K967" s="40" t="n">
        <v>0.15</v>
      </c>
      <c r="L967" s="39" t="n">
        <f aca="false">VLOOKUP(H967,'Product List'!$A$3:$D$18,4,FALSE())</f>
        <v>2250</v>
      </c>
      <c r="M967" s="39" t="n">
        <f aca="false">I967*J967*(1-K967)</f>
        <v>5608.3</v>
      </c>
      <c r="N967" s="39" t="n">
        <f aca="false">I967*L967</f>
        <v>4500</v>
      </c>
      <c r="O967" s="39" t="n">
        <f aca="false">M967-N967</f>
        <v>1108.3</v>
      </c>
      <c r="P967" s="41" t="n">
        <f aca="false">IF(M967=0,0,O967/M967)</f>
        <v>0.197617816450618</v>
      </c>
      <c r="Q967" s="37" t="str">
        <f aca="false">IF(K967=0,"No discount",IF(K967&lt;=0.1,"1-10%",IF(K967&lt;=0.2,"11-20%",IF(K967&lt;=0.3,"21-30%","Above 30%"))))</f>
        <v>11-20%</v>
      </c>
      <c r="R967" s="39" t="n">
        <f aca="false">I967*J967*MAX(0,K967-DiscountCap)</f>
        <v>0</v>
      </c>
    </row>
    <row r="968" customFormat="false" ht="15" hidden="false" customHeight="false" outlineLevel="0" collapsed="false">
      <c r="A968" s="37" t="s">
        <v>1112</v>
      </c>
      <c r="B968" s="38" t="n">
        <v>45994</v>
      </c>
      <c r="C968" s="37" t="n">
        <f aca="false">MONTH(B968)</f>
        <v>12</v>
      </c>
      <c r="D968" s="37" t="s">
        <v>154</v>
      </c>
      <c r="E968" s="37" t="s">
        <v>47</v>
      </c>
      <c r="F968" s="37" t="s">
        <v>96</v>
      </c>
      <c r="G968" s="37" t="s">
        <v>90</v>
      </c>
      <c r="H968" s="37" t="s">
        <v>109</v>
      </c>
      <c r="I968" s="37" t="n">
        <v>2</v>
      </c>
      <c r="J968" s="39" t="n">
        <v>3499</v>
      </c>
      <c r="K968" s="40" t="n">
        <v>0.2</v>
      </c>
      <c r="L968" s="39" t="n">
        <f aca="false">VLOOKUP(H968,'Product List'!$A$3:$D$18,4,FALSE())</f>
        <v>2750</v>
      </c>
      <c r="M968" s="39" t="n">
        <f aca="false">I968*J968*(1-K968)</f>
        <v>5598.4</v>
      </c>
      <c r="N968" s="39" t="n">
        <f aca="false">I968*L968</f>
        <v>5500</v>
      </c>
      <c r="O968" s="39" t="n">
        <f aca="false">M968-N968</f>
        <v>98.4000000000006</v>
      </c>
      <c r="P968" s="41" t="n">
        <f aca="false">IF(M968=0,0,O968/M968)</f>
        <v>0.0175764504144042</v>
      </c>
      <c r="Q968" s="37" t="str">
        <f aca="false">IF(K968=0,"No discount",IF(K968&lt;=0.1,"1-10%",IF(K968&lt;=0.2,"11-20%",IF(K968&lt;=0.3,"21-30%","Above 30%"))))</f>
        <v>11-20%</v>
      </c>
      <c r="R968" s="39" t="n">
        <f aca="false">I968*J968*MAX(0,K968-DiscountCap)</f>
        <v>0</v>
      </c>
    </row>
    <row r="969" customFormat="false" ht="15" hidden="false" customHeight="false" outlineLevel="0" collapsed="false">
      <c r="A969" s="37" t="s">
        <v>1113</v>
      </c>
      <c r="B969" s="38" t="n">
        <v>46014</v>
      </c>
      <c r="C969" s="37" t="n">
        <f aca="false">MONTH(B969)</f>
        <v>12</v>
      </c>
      <c r="D969" s="37" t="s">
        <v>144</v>
      </c>
      <c r="E969" s="37" t="s">
        <v>45</v>
      </c>
      <c r="F969" s="37" t="s">
        <v>96</v>
      </c>
      <c r="G969" s="37" t="s">
        <v>93</v>
      </c>
      <c r="H969" s="37" t="s">
        <v>122</v>
      </c>
      <c r="I969" s="37" t="n">
        <v>1</v>
      </c>
      <c r="J969" s="39" t="n">
        <v>1799</v>
      </c>
      <c r="K969" s="40" t="n">
        <v>0.05</v>
      </c>
      <c r="L969" s="39" t="n">
        <f aca="false">VLOOKUP(H969,'Product List'!$A$3:$D$18,4,FALSE())</f>
        <v>1250</v>
      </c>
      <c r="M969" s="39" t="n">
        <f aca="false">I969*J969*(1-K969)</f>
        <v>1709.05</v>
      </c>
      <c r="N969" s="39" t="n">
        <f aca="false">I969*L969</f>
        <v>1250</v>
      </c>
      <c r="O969" s="39" t="n">
        <f aca="false">M969-N969</f>
        <v>459.05</v>
      </c>
      <c r="P969" s="41" t="n">
        <f aca="false">IF(M969=0,0,O969/M969)</f>
        <v>0.268599514350078</v>
      </c>
      <c r="Q969" s="37" t="str">
        <f aca="false">IF(K969=0,"No discount",IF(K969&lt;=0.1,"1-10%",IF(K969&lt;=0.2,"11-20%",IF(K969&lt;=0.3,"21-30%","Above 30%"))))</f>
        <v>1-10%</v>
      </c>
      <c r="R969" s="39" t="n">
        <f aca="false">I969*J969*MAX(0,K969-DiscountCap)</f>
        <v>0</v>
      </c>
    </row>
    <row r="970" customFormat="false" ht="15" hidden="false" customHeight="false" outlineLevel="0" collapsed="false">
      <c r="A970" s="37" t="s">
        <v>1114</v>
      </c>
      <c r="B970" s="38" t="n">
        <v>46010</v>
      </c>
      <c r="C970" s="37" t="n">
        <f aca="false">MONTH(B970)</f>
        <v>12</v>
      </c>
      <c r="D970" s="37" t="s">
        <v>169</v>
      </c>
      <c r="E970" s="37" t="s">
        <v>44</v>
      </c>
      <c r="F970" s="37" t="s">
        <v>96</v>
      </c>
      <c r="G970" s="37" t="s">
        <v>90</v>
      </c>
      <c r="H970" s="37" t="s">
        <v>111</v>
      </c>
      <c r="I970" s="37" t="n">
        <v>2</v>
      </c>
      <c r="J970" s="39" t="n">
        <v>2499</v>
      </c>
      <c r="K970" s="40" t="n">
        <v>0.15</v>
      </c>
      <c r="L970" s="39" t="n">
        <f aca="false">VLOOKUP(H970,'Product List'!$A$3:$D$18,4,FALSE())</f>
        <v>1950</v>
      </c>
      <c r="M970" s="39" t="n">
        <f aca="false">I970*J970*(1-K970)</f>
        <v>4248.3</v>
      </c>
      <c r="N970" s="39" t="n">
        <f aca="false">I970*L970</f>
        <v>3900</v>
      </c>
      <c r="O970" s="39" t="n">
        <f aca="false">M970-N970</f>
        <v>348.3</v>
      </c>
      <c r="P970" s="41" t="n">
        <f aca="false">IF(M970=0,0,O970/M970)</f>
        <v>0.0819857354706589</v>
      </c>
      <c r="Q970" s="37" t="str">
        <f aca="false">IF(K970=0,"No discount",IF(K970&lt;=0.1,"1-10%",IF(K970&lt;=0.2,"11-20%",IF(K970&lt;=0.3,"21-30%","Above 30%"))))</f>
        <v>11-20%</v>
      </c>
      <c r="R970" s="39" t="n">
        <f aca="false">I970*J970*MAX(0,K970-DiscountCap)</f>
        <v>0</v>
      </c>
    </row>
    <row r="971" customFormat="false" ht="15" hidden="false" customHeight="false" outlineLevel="0" collapsed="false">
      <c r="A971" s="37" t="s">
        <v>1115</v>
      </c>
      <c r="B971" s="38" t="n">
        <v>46004</v>
      </c>
      <c r="C971" s="37" t="n">
        <f aca="false">MONTH(B971)</f>
        <v>12</v>
      </c>
      <c r="D971" s="37" t="s">
        <v>154</v>
      </c>
      <c r="E971" s="37" t="s">
        <v>47</v>
      </c>
      <c r="F971" s="37" t="s">
        <v>96</v>
      </c>
      <c r="G971" s="37" t="s">
        <v>90</v>
      </c>
      <c r="H971" s="37" t="s">
        <v>110</v>
      </c>
      <c r="I971" s="37" t="n">
        <v>1</v>
      </c>
      <c r="J971" s="39" t="n">
        <v>1299</v>
      </c>
      <c r="K971" s="40" t="n">
        <v>0.15</v>
      </c>
      <c r="L971" s="39" t="n">
        <f aca="false">VLOOKUP(H971,'Product List'!$A$3:$D$18,4,FALSE())</f>
        <v>1000</v>
      </c>
      <c r="M971" s="39" t="n">
        <f aca="false">I971*J971*(1-K971)</f>
        <v>1104.15</v>
      </c>
      <c r="N971" s="39" t="n">
        <f aca="false">I971*L971</f>
        <v>1000</v>
      </c>
      <c r="O971" s="39" t="n">
        <f aca="false">M971-N971</f>
        <v>104.15</v>
      </c>
      <c r="P971" s="41" t="n">
        <f aca="false">IF(M971=0,0,O971/M971)</f>
        <v>0.0943259520898428</v>
      </c>
      <c r="Q971" s="37" t="str">
        <f aca="false">IF(K971=0,"No discount",IF(K971&lt;=0.1,"1-10%",IF(K971&lt;=0.2,"11-20%",IF(K971&lt;=0.3,"21-30%","Above 30%"))))</f>
        <v>11-20%</v>
      </c>
      <c r="R971" s="39" t="n">
        <f aca="false">I971*J971*MAX(0,K971-DiscountCap)</f>
        <v>0</v>
      </c>
    </row>
    <row r="972" customFormat="false" ht="15" hidden="false" customHeight="false" outlineLevel="0" collapsed="false">
      <c r="A972" s="37" t="s">
        <v>1116</v>
      </c>
      <c r="B972" s="38" t="n">
        <v>46016</v>
      </c>
      <c r="C972" s="37" t="n">
        <f aca="false">MONTH(B972)</f>
        <v>12</v>
      </c>
      <c r="D972" s="37" t="s">
        <v>144</v>
      </c>
      <c r="E972" s="37" t="s">
        <v>45</v>
      </c>
      <c r="F972" s="37" t="s">
        <v>96</v>
      </c>
      <c r="G972" s="37" t="s">
        <v>92</v>
      </c>
      <c r="H972" s="37" t="s">
        <v>112</v>
      </c>
      <c r="I972" s="37" t="n">
        <v>1</v>
      </c>
      <c r="J972" s="39" t="n">
        <v>3299</v>
      </c>
      <c r="K972" s="40" t="n">
        <v>0.1</v>
      </c>
      <c r="L972" s="39" t="n">
        <f aca="false">VLOOKUP(H972,'Product List'!$A$3:$D$18,4,FALSE())</f>
        <v>2250</v>
      </c>
      <c r="M972" s="39" t="n">
        <f aca="false">I972*J972*(1-K972)</f>
        <v>2969.1</v>
      </c>
      <c r="N972" s="39" t="n">
        <f aca="false">I972*L972</f>
        <v>2250</v>
      </c>
      <c r="O972" s="39" t="n">
        <f aca="false">M972-N972</f>
        <v>719.1</v>
      </c>
      <c r="P972" s="41" t="n">
        <f aca="false">IF(M972=0,0,O972/M972)</f>
        <v>0.242194604425584</v>
      </c>
      <c r="Q972" s="37" t="str">
        <f aca="false">IF(K972=0,"No discount",IF(K972&lt;=0.1,"1-10%",IF(K972&lt;=0.2,"11-20%",IF(K972&lt;=0.3,"21-30%","Above 30%"))))</f>
        <v>1-10%</v>
      </c>
      <c r="R972" s="39" t="n">
        <f aca="false">I972*J972*MAX(0,K972-DiscountCap)</f>
        <v>0</v>
      </c>
    </row>
    <row r="973" customFormat="false" ht="15" hidden="false" customHeight="false" outlineLevel="0" collapsed="false">
      <c r="A973" s="37" t="s">
        <v>1117</v>
      </c>
      <c r="B973" s="38" t="n">
        <v>46006</v>
      </c>
      <c r="C973" s="37" t="n">
        <f aca="false">MONTH(B973)</f>
        <v>12</v>
      </c>
      <c r="D973" s="37" t="s">
        <v>138</v>
      </c>
      <c r="E973" s="37" t="s">
        <v>46</v>
      </c>
      <c r="F973" s="37" t="s">
        <v>97</v>
      </c>
      <c r="G973" s="37" t="s">
        <v>91</v>
      </c>
      <c r="H973" s="37" t="s">
        <v>119</v>
      </c>
      <c r="I973" s="37" t="n">
        <v>3</v>
      </c>
      <c r="J973" s="39" t="n">
        <v>1099</v>
      </c>
      <c r="K973" s="40" t="n">
        <v>0</v>
      </c>
      <c r="L973" s="39" t="n">
        <f aca="false">VLOOKUP(H973,'Product List'!$A$3:$D$18,4,FALSE())</f>
        <v>560</v>
      </c>
      <c r="M973" s="39" t="n">
        <f aca="false">I973*J973*(1-K973)</f>
        <v>3297</v>
      </c>
      <c r="N973" s="39" t="n">
        <f aca="false">I973*L973</f>
        <v>1680</v>
      </c>
      <c r="O973" s="39" t="n">
        <f aca="false">M973-N973</f>
        <v>1617</v>
      </c>
      <c r="P973" s="41" t="n">
        <f aca="false">IF(M973=0,0,O973/M973)</f>
        <v>0.490445859872611</v>
      </c>
      <c r="Q973" s="37" t="str">
        <f aca="false">IF(K973=0,"No discount",IF(K973&lt;=0.1,"1-10%",IF(K973&lt;=0.2,"11-20%",IF(K973&lt;=0.3,"21-30%","Above 30%"))))</f>
        <v>No discount</v>
      </c>
      <c r="R973" s="39" t="n">
        <f aca="false">I973*J973*MAX(0,K973-DiscountCap)</f>
        <v>0</v>
      </c>
    </row>
    <row r="974" customFormat="false" ht="15" hidden="false" customHeight="false" outlineLevel="0" collapsed="false">
      <c r="A974" s="37" t="s">
        <v>1118</v>
      </c>
      <c r="B974" s="38" t="n">
        <v>46006</v>
      </c>
      <c r="C974" s="37" t="n">
        <f aca="false">MONTH(B974)</f>
        <v>12</v>
      </c>
      <c r="D974" s="37" t="s">
        <v>138</v>
      </c>
      <c r="E974" s="37" t="s">
        <v>46</v>
      </c>
      <c r="F974" s="37" t="s">
        <v>96</v>
      </c>
      <c r="G974" s="37" t="s">
        <v>92</v>
      </c>
      <c r="H974" s="37" t="s">
        <v>115</v>
      </c>
      <c r="I974" s="37" t="n">
        <v>3</v>
      </c>
      <c r="J974" s="39" t="n">
        <v>1799</v>
      </c>
      <c r="K974" s="40" t="n">
        <v>0.15</v>
      </c>
      <c r="L974" s="39" t="n">
        <f aca="false">VLOOKUP(H974,'Product List'!$A$3:$D$18,4,FALSE())</f>
        <v>1150</v>
      </c>
      <c r="M974" s="39" t="n">
        <f aca="false">I974*J974*(1-K974)</f>
        <v>4587.45</v>
      </c>
      <c r="N974" s="39" t="n">
        <f aca="false">I974*L974</f>
        <v>3450</v>
      </c>
      <c r="O974" s="39" t="n">
        <f aca="false">M974-N974</f>
        <v>1137.45</v>
      </c>
      <c r="P974" s="41" t="n">
        <f aca="false">IF(M974=0,0,O974/M974)</f>
        <v>0.247948206519962</v>
      </c>
      <c r="Q974" s="37" t="str">
        <f aca="false">IF(K974=0,"No discount",IF(K974&lt;=0.1,"1-10%",IF(K974&lt;=0.2,"11-20%",IF(K974&lt;=0.3,"21-30%","Above 30%"))))</f>
        <v>11-20%</v>
      </c>
      <c r="R974" s="39" t="n">
        <f aca="false">I974*J974*MAX(0,K974-DiscountCap)</f>
        <v>0</v>
      </c>
    </row>
    <row r="975" customFormat="false" ht="15" hidden="false" customHeight="false" outlineLevel="0" collapsed="false">
      <c r="A975" s="37" t="s">
        <v>1119</v>
      </c>
      <c r="B975" s="38" t="n">
        <v>46021</v>
      </c>
      <c r="C975" s="37" t="n">
        <f aca="false">MONTH(B975)</f>
        <v>12</v>
      </c>
      <c r="D975" s="37" t="s">
        <v>142</v>
      </c>
      <c r="E975" s="37" t="s">
        <v>47</v>
      </c>
      <c r="F975" s="37" t="s">
        <v>97</v>
      </c>
      <c r="G975" s="37" t="s">
        <v>92</v>
      </c>
      <c r="H975" s="37" t="s">
        <v>112</v>
      </c>
      <c r="I975" s="37" t="n">
        <v>1</v>
      </c>
      <c r="J975" s="39" t="n">
        <v>3299</v>
      </c>
      <c r="K975" s="40" t="n">
        <v>0</v>
      </c>
      <c r="L975" s="39" t="n">
        <f aca="false">VLOOKUP(H975,'Product List'!$A$3:$D$18,4,FALSE())</f>
        <v>2250</v>
      </c>
      <c r="M975" s="39" t="n">
        <f aca="false">I975*J975*(1-K975)</f>
        <v>3299</v>
      </c>
      <c r="N975" s="39" t="n">
        <f aca="false">I975*L975</f>
        <v>2250</v>
      </c>
      <c r="O975" s="39" t="n">
        <f aca="false">M975-N975</f>
        <v>1049</v>
      </c>
      <c r="P975" s="41" t="n">
        <f aca="false">IF(M975=0,0,O975/M975)</f>
        <v>0.317975143983025</v>
      </c>
      <c r="Q975" s="37" t="str">
        <f aca="false">IF(K975=0,"No discount",IF(K975&lt;=0.1,"1-10%",IF(K975&lt;=0.2,"11-20%",IF(K975&lt;=0.3,"21-30%","Above 30%"))))</f>
        <v>No discount</v>
      </c>
      <c r="R975" s="39" t="n">
        <f aca="false">I975*J975*MAX(0,K975-DiscountCap)</f>
        <v>0</v>
      </c>
    </row>
    <row r="976" customFormat="false" ht="15" hidden="false" customHeight="false" outlineLevel="0" collapsed="false">
      <c r="A976" s="37" t="s">
        <v>1120</v>
      </c>
      <c r="B976" s="38" t="n">
        <v>46015</v>
      </c>
      <c r="C976" s="37" t="n">
        <f aca="false">MONTH(B976)</f>
        <v>12</v>
      </c>
      <c r="D976" s="37" t="s">
        <v>166</v>
      </c>
      <c r="E976" s="37" t="s">
        <v>44</v>
      </c>
      <c r="F976" s="37" t="s">
        <v>96</v>
      </c>
      <c r="G976" s="37" t="s">
        <v>91</v>
      </c>
      <c r="H976" s="37" t="s">
        <v>118</v>
      </c>
      <c r="I976" s="37" t="n">
        <v>1</v>
      </c>
      <c r="J976" s="39" t="n">
        <v>2299</v>
      </c>
      <c r="K976" s="40" t="n">
        <v>0.1</v>
      </c>
      <c r="L976" s="39" t="n">
        <f aca="false">VLOOKUP(H976,'Product List'!$A$3:$D$18,4,FALSE())</f>
        <v>1300</v>
      </c>
      <c r="M976" s="39" t="n">
        <f aca="false">I976*J976*(1-K976)</f>
        <v>2069.1</v>
      </c>
      <c r="N976" s="39" t="n">
        <f aca="false">I976*L976</f>
        <v>1300</v>
      </c>
      <c r="O976" s="39" t="n">
        <f aca="false">M976-N976</f>
        <v>769.1</v>
      </c>
      <c r="P976" s="41" t="n">
        <f aca="false">IF(M976=0,0,O976/M976)</f>
        <v>0.371707505678798</v>
      </c>
      <c r="Q976" s="37" t="str">
        <f aca="false">IF(K976=0,"No discount",IF(K976&lt;=0.1,"1-10%",IF(K976&lt;=0.2,"11-20%",IF(K976&lt;=0.3,"21-30%","Above 30%"))))</f>
        <v>1-10%</v>
      </c>
      <c r="R976" s="39" t="n">
        <f aca="false">I976*J976*MAX(0,K976-DiscountCap)</f>
        <v>0</v>
      </c>
    </row>
    <row r="977" customFormat="false" ht="15" hidden="false" customHeight="false" outlineLevel="0" collapsed="false">
      <c r="A977" s="37" t="s">
        <v>1121</v>
      </c>
      <c r="B977" s="38" t="n">
        <v>46013</v>
      </c>
      <c r="C977" s="37" t="n">
        <f aca="false">MONTH(B977)</f>
        <v>12</v>
      </c>
      <c r="D977" s="37" t="s">
        <v>166</v>
      </c>
      <c r="E977" s="37" t="s">
        <v>44</v>
      </c>
      <c r="F977" s="37" t="s">
        <v>96</v>
      </c>
      <c r="G977" s="37" t="s">
        <v>91</v>
      </c>
      <c r="H977" s="37" t="s">
        <v>117</v>
      </c>
      <c r="I977" s="37" t="n">
        <v>3</v>
      </c>
      <c r="J977" s="39" t="n">
        <v>1499</v>
      </c>
      <c r="K977" s="40" t="n">
        <v>0.2</v>
      </c>
      <c r="L977" s="39" t="n">
        <f aca="false">VLOOKUP(H977,'Product List'!$A$3:$D$18,4,FALSE())</f>
        <v>780</v>
      </c>
      <c r="M977" s="39" t="n">
        <f aca="false">I977*J977*(1-K977)</f>
        <v>3597.6</v>
      </c>
      <c r="N977" s="39" t="n">
        <f aca="false">I977*L977</f>
        <v>2340</v>
      </c>
      <c r="O977" s="39" t="n">
        <f aca="false">M977-N977</f>
        <v>1257.6</v>
      </c>
      <c r="P977" s="41" t="n">
        <f aca="false">IF(M977=0,0,O977/M977)</f>
        <v>0.349566377585057</v>
      </c>
      <c r="Q977" s="37" t="str">
        <f aca="false">IF(K977=0,"No discount",IF(K977&lt;=0.1,"1-10%",IF(K977&lt;=0.2,"11-20%",IF(K977&lt;=0.3,"21-30%","Above 30%"))))</f>
        <v>11-20%</v>
      </c>
      <c r="R977" s="39" t="n">
        <f aca="false">I977*J977*MAX(0,K977-DiscountCap)</f>
        <v>0</v>
      </c>
    </row>
    <row r="978" customFormat="false" ht="15" hidden="false" customHeight="false" outlineLevel="0" collapsed="false">
      <c r="A978" s="37" t="s">
        <v>1122</v>
      </c>
      <c r="B978" s="38" t="n">
        <v>45993</v>
      </c>
      <c r="C978" s="37" t="n">
        <f aca="false">MONTH(B978)</f>
        <v>12</v>
      </c>
      <c r="D978" s="37" t="s">
        <v>166</v>
      </c>
      <c r="E978" s="37" t="s">
        <v>44</v>
      </c>
      <c r="F978" s="37" t="s">
        <v>96</v>
      </c>
      <c r="G978" s="37" t="s">
        <v>92</v>
      </c>
      <c r="H978" s="37" t="s">
        <v>115</v>
      </c>
      <c r="I978" s="37" t="n">
        <v>1</v>
      </c>
      <c r="J978" s="39" t="n">
        <v>1799</v>
      </c>
      <c r="K978" s="40" t="n">
        <v>0.15</v>
      </c>
      <c r="L978" s="39" t="n">
        <f aca="false">VLOOKUP(H978,'Product List'!$A$3:$D$18,4,FALSE())</f>
        <v>1150</v>
      </c>
      <c r="M978" s="39" t="n">
        <f aca="false">I978*J978*(1-K978)</f>
        <v>1529.15</v>
      </c>
      <c r="N978" s="39" t="n">
        <f aca="false">I978*L978</f>
        <v>1150</v>
      </c>
      <c r="O978" s="39" t="n">
        <f aca="false">M978-N978</f>
        <v>379.15</v>
      </c>
      <c r="P978" s="41" t="n">
        <f aca="false">IF(M978=0,0,O978/M978)</f>
        <v>0.247948206519962</v>
      </c>
      <c r="Q978" s="37" t="str">
        <f aca="false">IF(K978=0,"No discount",IF(K978&lt;=0.1,"1-10%",IF(K978&lt;=0.2,"11-20%",IF(K978&lt;=0.3,"21-30%","Above 30%"))))</f>
        <v>11-20%</v>
      </c>
      <c r="R978" s="39" t="n">
        <f aca="false">I978*J978*MAX(0,K978-DiscountCap)</f>
        <v>0</v>
      </c>
    </row>
    <row r="979" customFormat="false" ht="15" hidden="false" customHeight="false" outlineLevel="0" collapsed="false">
      <c r="A979" s="37" t="s">
        <v>1123</v>
      </c>
      <c r="B979" s="38" t="n">
        <v>46000</v>
      </c>
      <c r="C979" s="37" t="n">
        <f aca="false">MONTH(B979)</f>
        <v>12</v>
      </c>
      <c r="D979" s="37" t="s">
        <v>154</v>
      </c>
      <c r="E979" s="37" t="s">
        <v>47</v>
      </c>
      <c r="F979" s="37" t="s">
        <v>96</v>
      </c>
      <c r="G979" s="37" t="s">
        <v>91</v>
      </c>
      <c r="H979" s="37" t="s">
        <v>119</v>
      </c>
      <c r="I979" s="37" t="n">
        <v>2</v>
      </c>
      <c r="J979" s="39" t="n">
        <v>1099</v>
      </c>
      <c r="K979" s="40" t="n">
        <v>0.25</v>
      </c>
      <c r="L979" s="39" t="n">
        <f aca="false">VLOOKUP(H979,'Product List'!$A$3:$D$18,4,FALSE())</f>
        <v>560</v>
      </c>
      <c r="M979" s="39" t="n">
        <f aca="false">I979*J979*(1-K979)</f>
        <v>1648.5</v>
      </c>
      <c r="N979" s="39" t="n">
        <f aca="false">I979*L979</f>
        <v>1120</v>
      </c>
      <c r="O979" s="39" t="n">
        <f aca="false">M979-N979</f>
        <v>528.5</v>
      </c>
      <c r="P979" s="41" t="n">
        <f aca="false">IF(M979=0,0,O979/M979)</f>
        <v>0.320594479830149</v>
      </c>
      <c r="Q979" s="37" t="str">
        <f aca="false">IF(K979=0,"No discount",IF(K979&lt;=0.1,"1-10%",IF(K979&lt;=0.2,"11-20%",IF(K979&lt;=0.3,"21-30%","Above 30%"))))</f>
        <v>21-30%</v>
      </c>
      <c r="R979" s="39" t="n">
        <f aca="false">I979*J979*MAX(0,K979-DiscountCap)</f>
        <v>109.9</v>
      </c>
    </row>
    <row r="980" customFormat="false" ht="15" hidden="false" customHeight="false" outlineLevel="0" collapsed="false">
      <c r="A980" s="37" t="s">
        <v>1124</v>
      </c>
      <c r="B980" s="38" t="n">
        <v>45999</v>
      </c>
      <c r="C980" s="37" t="n">
        <f aca="false">MONTH(B980)</f>
        <v>12</v>
      </c>
      <c r="D980" s="37" t="s">
        <v>169</v>
      </c>
      <c r="E980" s="37" t="s">
        <v>44</v>
      </c>
      <c r="F980" s="37" t="s">
        <v>96</v>
      </c>
      <c r="G980" s="37" t="s">
        <v>91</v>
      </c>
      <c r="H980" s="37" t="s">
        <v>119</v>
      </c>
      <c r="I980" s="37" t="n">
        <v>1</v>
      </c>
      <c r="J980" s="39" t="n">
        <v>1099</v>
      </c>
      <c r="K980" s="40" t="n">
        <v>0.05</v>
      </c>
      <c r="L980" s="39" t="n">
        <f aca="false">VLOOKUP(H980,'Product List'!$A$3:$D$18,4,FALSE())</f>
        <v>560</v>
      </c>
      <c r="M980" s="39" t="n">
        <f aca="false">I980*J980*(1-K980)</f>
        <v>1044.05</v>
      </c>
      <c r="N980" s="39" t="n">
        <f aca="false">I980*L980</f>
        <v>560</v>
      </c>
      <c r="O980" s="39" t="n">
        <f aca="false">M980-N980</f>
        <v>484.05</v>
      </c>
      <c r="P980" s="41" t="n">
        <f aca="false">IF(M980=0,0,O980/M980)</f>
        <v>0.463627220918538</v>
      </c>
      <c r="Q980" s="37" t="str">
        <f aca="false">IF(K980=0,"No discount",IF(K980&lt;=0.1,"1-10%",IF(K980&lt;=0.2,"11-20%",IF(K980&lt;=0.3,"21-30%","Above 30%"))))</f>
        <v>1-10%</v>
      </c>
      <c r="R980" s="39" t="n">
        <f aca="false">I980*J980*MAX(0,K980-DiscountCap)</f>
        <v>0</v>
      </c>
    </row>
    <row r="981" customFormat="false" ht="15" hidden="false" customHeight="false" outlineLevel="0" collapsed="false">
      <c r="A981" s="37" t="s">
        <v>1125</v>
      </c>
      <c r="B981" s="38" t="n">
        <v>46019</v>
      </c>
      <c r="C981" s="37" t="n">
        <f aca="false">MONTH(B981)</f>
        <v>12</v>
      </c>
      <c r="D981" s="37" t="s">
        <v>142</v>
      </c>
      <c r="E981" s="37" t="s">
        <v>47</v>
      </c>
      <c r="F981" s="37" t="s">
        <v>96</v>
      </c>
      <c r="G981" s="37" t="s">
        <v>92</v>
      </c>
      <c r="H981" s="37" t="s">
        <v>115</v>
      </c>
      <c r="I981" s="37" t="n">
        <v>1</v>
      </c>
      <c r="J981" s="39" t="n">
        <v>1799</v>
      </c>
      <c r="K981" s="40" t="n">
        <v>0.15</v>
      </c>
      <c r="L981" s="39" t="n">
        <f aca="false">VLOOKUP(H981,'Product List'!$A$3:$D$18,4,FALSE())</f>
        <v>1150</v>
      </c>
      <c r="M981" s="39" t="n">
        <f aca="false">I981*J981*(1-K981)</f>
        <v>1529.15</v>
      </c>
      <c r="N981" s="39" t="n">
        <f aca="false">I981*L981</f>
        <v>1150</v>
      </c>
      <c r="O981" s="39" t="n">
        <f aca="false">M981-N981</f>
        <v>379.15</v>
      </c>
      <c r="P981" s="41" t="n">
        <f aca="false">IF(M981=0,0,O981/M981)</f>
        <v>0.247948206519962</v>
      </c>
      <c r="Q981" s="37" t="str">
        <f aca="false">IF(K981=0,"No discount",IF(K981&lt;=0.1,"1-10%",IF(K981&lt;=0.2,"11-20%",IF(K981&lt;=0.3,"21-30%","Above 30%"))))</f>
        <v>11-20%</v>
      </c>
      <c r="R981" s="39" t="n">
        <f aca="false">I981*J981*MAX(0,K981-DiscountCap)</f>
        <v>0</v>
      </c>
    </row>
    <row r="982" customFormat="false" ht="15" hidden="false" customHeight="false" outlineLevel="0" collapsed="false">
      <c r="A982" s="37" t="s">
        <v>1126</v>
      </c>
      <c r="B982" s="38" t="n">
        <v>46008</v>
      </c>
      <c r="C982" s="37" t="n">
        <f aca="false">MONTH(B982)</f>
        <v>12</v>
      </c>
      <c r="D982" s="37" t="s">
        <v>172</v>
      </c>
      <c r="E982" s="37" t="s">
        <v>46</v>
      </c>
      <c r="F982" s="37" t="s">
        <v>96</v>
      </c>
      <c r="G982" s="37" t="s">
        <v>90</v>
      </c>
      <c r="H982" s="37" t="s">
        <v>111</v>
      </c>
      <c r="I982" s="37" t="n">
        <v>1</v>
      </c>
      <c r="J982" s="39" t="n">
        <v>2499</v>
      </c>
      <c r="K982" s="40" t="n">
        <v>0.1</v>
      </c>
      <c r="L982" s="39" t="n">
        <f aca="false">VLOOKUP(H982,'Product List'!$A$3:$D$18,4,FALSE())</f>
        <v>1950</v>
      </c>
      <c r="M982" s="39" t="n">
        <f aca="false">I982*J982*(1-K982)</f>
        <v>2249.1</v>
      </c>
      <c r="N982" s="39" t="n">
        <f aca="false">I982*L982</f>
        <v>1950</v>
      </c>
      <c r="O982" s="39" t="n">
        <f aca="false">M982-N982</f>
        <v>299.1</v>
      </c>
      <c r="P982" s="41" t="n">
        <f aca="false">IF(M982=0,0,O982/M982)</f>
        <v>0.132986527944511</v>
      </c>
      <c r="Q982" s="37" t="str">
        <f aca="false">IF(K982=0,"No discount",IF(K982&lt;=0.1,"1-10%",IF(K982&lt;=0.2,"11-20%",IF(K982&lt;=0.3,"21-30%","Above 30%"))))</f>
        <v>1-10%</v>
      </c>
      <c r="R982" s="39" t="n">
        <f aca="false">I982*J982*MAX(0,K982-DiscountCap)</f>
        <v>0</v>
      </c>
    </row>
    <row r="983" customFormat="false" ht="15" hidden="false" customHeight="false" outlineLevel="0" collapsed="false">
      <c r="A983" s="37" t="s">
        <v>1127</v>
      </c>
      <c r="B983" s="38" t="n">
        <v>46013</v>
      </c>
      <c r="C983" s="37" t="n">
        <f aca="false">MONTH(B983)</f>
        <v>12</v>
      </c>
      <c r="D983" s="37" t="s">
        <v>138</v>
      </c>
      <c r="E983" s="37" t="s">
        <v>46</v>
      </c>
      <c r="F983" s="37" t="s">
        <v>97</v>
      </c>
      <c r="G983" s="37" t="s">
        <v>92</v>
      </c>
      <c r="H983" s="37" t="s">
        <v>112</v>
      </c>
      <c r="I983" s="37" t="n">
        <v>3</v>
      </c>
      <c r="J983" s="39" t="n">
        <v>3299</v>
      </c>
      <c r="K983" s="40" t="n">
        <v>0</v>
      </c>
      <c r="L983" s="39" t="n">
        <f aca="false">VLOOKUP(H983,'Product List'!$A$3:$D$18,4,FALSE())</f>
        <v>2250</v>
      </c>
      <c r="M983" s="39" t="n">
        <f aca="false">I983*J983*(1-K983)</f>
        <v>9897</v>
      </c>
      <c r="N983" s="39" t="n">
        <f aca="false">I983*L983</f>
        <v>6750</v>
      </c>
      <c r="O983" s="39" t="n">
        <f aca="false">M983-N983</f>
        <v>3147</v>
      </c>
      <c r="P983" s="41" t="n">
        <f aca="false">IF(M983=0,0,O983/M983)</f>
        <v>0.317975143983025</v>
      </c>
      <c r="Q983" s="37" t="str">
        <f aca="false">IF(K983=0,"No discount",IF(K983&lt;=0.1,"1-10%",IF(K983&lt;=0.2,"11-20%",IF(K983&lt;=0.3,"21-30%","Above 30%"))))</f>
        <v>No discount</v>
      </c>
      <c r="R983" s="39" t="n">
        <f aca="false">I983*J983*MAX(0,K983-DiscountCap)</f>
        <v>0</v>
      </c>
    </row>
    <row r="984" customFormat="false" ht="15" hidden="false" customHeight="false" outlineLevel="0" collapsed="false">
      <c r="A984" s="37" t="s">
        <v>1128</v>
      </c>
      <c r="B984" s="38" t="n">
        <v>45999</v>
      </c>
      <c r="C984" s="37" t="n">
        <f aca="false">MONTH(B984)</f>
        <v>12</v>
      </c>
      <c r="D984" s="37" t="s">
        <v>169</v>
      </c>
      <c r="E984" s="37" t="s">
        <v>44</v>
      </c>
      <c r="F984" s="37" t="s">
        <v>97</v>
      </c>
      <c r="G984" s="37" t="s">
        <v>91</v>
      </c>
      <c r="H984" s="37" t="s">
        <v>119</v>
      </c>
      <c r="I984" s="37" t="n">
        <v>1</v>
      </c>
      <c r="J984" s="39" t="n">
        <v>1099</v>
      </c>
      <c r="K984" s="40" t="n">
        <v>0</v>
      </c>
      <c r="L984" s="39" t="n">
        <f aca="false">VLOOKUP(H984,'Product List'!$A$3:$D$18,4,FALSE())</f>
        <v>560</v>
      </c>
      <c r="M984" s="39" t="n">
        <f aca="false">I984*J984*(1-K984)</f>
        <v>1099</v>
      </c>
      <c r="N984" s="39" t="n">
        <f aca="false">I984*L984</f>
        <v>560</v>
      </c>
      <c r="O984" s="39" t="n">
        <f aca="false">M984-N984</f>
        <v>539</v>
      </c>
      <c r="P984" s="41" t="n">
        <f aca="false">IF(M984=0,0,O984/M984)</f>
        <v>0.490445859872611</v>
      </c>
      <c r="Q984" s="37" t="str">
        <f aca="false">IF(K984=0,"No discount",IF(K984&lt;=0.1,"1-10%",IF(K984&lt;=0.2,"11-20%",IF(K984&lt;=0.3,"21-30%","Above 30%"))))</f>
        <v>No discount</v>
      </c>
      <c r="R984" s="39" t="n">
        <f aca="false">I984*J984*MAX(0,K984-DiscountCap)</f>
        <v>0</v>
      </c>
    </row>
    <row r="985" customFormat="false" ht="15" hidden="false" customHeight="false" outlineLevel="0" collapsed="false">
      <c r="A985" s="37" t="s">
        <v>1129</v>
      </c>
      <c r="B985" s="38" t="n">
        <v>46017</v>
      </c>
      <c r="C985" s="37" t="n">
        <f aca="false">MONTH(B985)</f>
        <v>12</v>
      </c>
      <c r="D985" s="37" t="s">
        <v>172</v>
      </c>
      <c r="E985" s="37" t="s">
        <v>46</v>
      </c>
      <c r="F985" s="37" t="s">
        <v>96</v>
      </c>
      <c r="G985" s="37" t="s">
        <v>91</v>
      </c>
      <c r="H985" s="37" t="s">
        <v>118</v>
      </c>
      <c r="I985" s="37" t="n">
        <v>2</v>
      </c>
      <c r="J985" s="39" t="n">
        <v>2299</v>
      </c>
      <c r="K985" s="40" t="n">
        <v>0.05</v>
      </c>
      <c r="L985" s="39" t="n">
        <f aca="false">VLOOKUP(H985,'Product List'!$A$3:$D$18,4,FALSE())</f>
        <v>1300</v>
      </c>
      <c r="M985" s="39" t="n">
        <f aca="false">I985*J985*(1-K985)</f>
        <v>4368.1</v>
      </c>
      <c r="N985" s="39" t="n">
        <f aca="false">I985*L985</f>
        <v>2600</v>
      </c>
      <c r="O985" s="39" t="n">
        <f aca="false">M985-N985</f>
        <v>1768.1</v>
      </c>
      <c r="P985" s="41" t="n">
        <f aca="false">IF(M985=0,0,O985/M985)</f>
        <v>0.404775531695703</v>
      </c>
      <c r="Q985" s="37" t="str">
        <f aca="false">IF(K985=0,"No discount",IF(K985&lt;=0.1,"1-10%",IF(K985&lt;=0.2,"11-20%",IF(K985&lt;=0.3,"21-30%","Above 30%"))))</f>
        <v>1-10%</v>
      </c>
      <c r="R985" s="39" t="n">
        <f aca="false">I985*J985*MAX(0,K985-DiscountCap)</f>
        <v>0</v>
      </c>
    </row>
    <row r="986" customFormat="false" ht="15" hidden="false" customHeight="false" outlineLevel="0" collapsed="false">
      <c r="A986" s="37" t="s">
        <v>1130</v>
      </c>
      <c r="B986" s="38" t="n">
        <v>46012</v>
      </c>
      <c r="C986" s="37" t="n">
        <f aca="false">MONTH(B986)</f>
        <v>12</v>
      </c>
      <c r="D986" s="37" t="s">
        <v>142</v>
      </c>
      <c r="E986" s="37" t="s">
        <v>47</v>
      </c>
      <c r="F986" s="37" t="s">
        <v>96</v>
      </c>
      <c r="G986" s="37" t="s">
        <v>91</v>
      </c>
      <c r="H986" s="37" t="s">
        <v>119</v>
      </c>
      <c r="I986" s="37" t="n">
        <v>1</v>
      </c>
      <c r="J986" s="39" t="n">
        <v>1099</v>
      </c>
      <c r="K986" s="40" t="n">
        <v>0</v>
      </c>
      <c r="L986" s="39" t="n">
        <f aca="false">VLOOKUP(H986,'Product List'!$A$3:$D$18,4,FALSE())</f>
        <v>560</v>
      </c>
      <c r="M986" s="39" t="n">
        <f aca="false">I986*J986*(1-K986)</f>
        <v>1099</v>
      </c>
      <c r="N986" s="39" t="n">
        <f aca="false">I986*L986</f>
        <v>560</v>
      </c>
      <c r="O986" s="39" t="n">
        <f aca="false">M986-N986</f>
        <v>539</v>
      </c>
      <c r="P986" s="41" t="n">
        <f aca="false">IF(M986=0,0,O986/M986)</f>
        <v>0.490445859872611</v>
      </c>
      <c r="Q986" s="37" t="str">
        <f aca="false">IF(K986=0,"No discount",IF(K986&lt;=0.1,"1-10%",IF(K986&lt;=0.2,"11-20%",IF(K986&lt;=0.3,"21-30%","Above 30%"))))</f>
        <v>No discount</v>
      </c>
      <c r="R986" s="39" t="n">
        <f aca="false">I986*J986*MAX(0,K986-DiscountCap)</f>
        <v>0</v>
      </c>
    </row>
    <row r="987" customFormat="false" ht="15" hidden="false" customHeight="false" outlineLevel="0" collapsed="false">
      <c r="A987" s="37" t="s">
        <v>1131</v>
      </c>
      <c r="B987" s="38" t="n">
        <v>45993</v>
      </c>
      <c r="C987" s="37" t="n">
        <f aca="false">MONTH(B987)</f>
        <v>12</v>
      </c>
      <c r="D987" s="37" t="s">
        <v>166</v>
      </c>
      <c r="E987" s="37" t="s">
        <v>44</v>
      </c>
      <c r="F987" s="37" t="s">
        <v>97</v>
      </c>
      <c r="G987" s="37" t="s">
        <v>91</v>
      </c>
      <c r="H987" s="37" t="s">
        <v>117</v>
      </c>
      <c r="I987" s="37" t="n">
        <v>1</v>
      </c>
      <c r="J987" s="39" t="n">
        <v>1499</v>
      </c>
      <c r="K987" s="40" t="n">
        <v>0</v>
      </c>
      <c r="L987" s="39" t="n">
        <f aca="false">VLOOKUP(H987,'Product List'!$A$3:$D$18,4,FALSE())</f>
        <v>780</v>
      </c>
      <c r="M987" s="39" t="n">
        <f aca="false">I987*J987*(1-K987)</f>
        <v>1499</v>
      </c>
      <c r="N987" s="39" t="n">
        <f aca="false">I987*L987</f>
        <v>780</v>
      </c>
      <c r="O987" s="39" t="n">
        <f aca="false">M987-N987</f>
        <v>719</v>
      </c>
      <c r="P987" s="41" t="n">
        <f aca="false">IF(M987=0,0,O987/M987)</f>
        <v>0.479653102068045</v>
      </c>
      <c r="Q987" s="37" t="str">
        <f aca="false">IF(K987=0,"No discount",IF(K987&lt;=0.1,"1-10%",IF(K987&lt;=0.2,"11-20%",IF(K987&lt;=0.3,"21-30%","Above 30%"))))</f>
        <v>No discount</v>
      </c>
      <c r="R987" s="39" t="n">
        <f aca="false">I987*J987*MAX(0,K987-DiscountCap)</f>
        <v>0</v>
      </c>
    </row>
    <row r="988" customFormat="false" ht="15" hidden="false" customHeight="false" outlineLevel="0" collapsed="false">
      <c r="A988" s="37" t="s">
        <v>1132</v>
      </c>
      <c r="B988" s="38" t="n">
        <v>46011</v>
      </c>
      <c r="C988" s="37" t="n">
        <f aca="false">MONTH(B988)</f>
        <v>12</v>
      </c>
      <c r="D988" s="37" t="s">
        <v>138</v>
      </c>
      <c r="E988" s="37" t="s">
        <v>46</v>
      </c>
      <c r="F988" s="37" t="s">
        <v>96</v>
      </c>
      <c r="G988" s="37" t="s">
        <v>92</v>
      </c>
      <c r="H988" s="37" t="s">
        <v>115</v>
      </c>
      <c r="I988" s="37" t="n">
        <v>2</v>
      </c>
      <c r="J988" s="39" t="n">
        <v>1799</v>
      </c>
      <c r="K988" s="40" t="n">
        <v>0.05</v>
      </c>
      <c r="L988" s="39" t="n">
        <f aca="false">VLOOKUP(H988,'Product List'!$A$3:$D$18,4,FALSE())</f>
        <v>1150</v>
      </c>
      <c r="M988" s="39" t="n">
        <f aca="false">I988*J988*(1-K988)</f>
        <v>3418.1</v>
      </c>
      <c r="N988" s="39" t="n">
        <f aca="false">I988*L988</f>
        <v>2300</v>
      </c>
      <c r="O988" s="39" t="n">
        <f aca="false">M988-N988</f>
        <v>1118.1</v>
      </c>
      <c r="P988" s="41" t="n">
        <f aca="false">IF(M988=0,0,O988/M988)</f>
        <v>0.327111553202071</v>
      </c>
      <c r="Q988" s="37" t="str">
        <f aca="false">IF(K988=0,"No discount",IF(K988&lt;=0.1,"1-10%",IF(K988&lt;=0.2,"11-20%",IF(K988&lt;=0.3,"21-30%","Above 30%"))))</f>
        <v>1-10%</v>
      </c>
      <c r="R988" s="39" t="n">
        <f aca="false">I988*J988*MAX(0,K988-DiscountCap)</f>
        <v>0</v>
      </c>
    </row>
    <row r="989" customFormat="false" ht="15" hidden="false" customHeight="false" outlineLevel="0" collapsed="false">
      <c r="A989" s="37" t="s">
        <v>1133</v>
      </c>
      <c r="B989" s="38" t="n">
        <v>46000</v>
      </c>
      <c r="C989" s="37" t="n">
        <f aca="false">MONTH(B989)</f>
        <v>12</v>
      </c>
      <c r="D989" s="37" t="s">
        <v>134</v>
      </c>
      <c r="E989" s="37" t="s">
        <v>45</v>
      </c>
      <c r="F989" s="37" t="s">
        <v>96</v>
      </c>
      <c r="G989" s="37" t="s">
        <v>93</v>
      </c>
      <c r="H989" s="37" t="s">
        <v>122</v>
      </c>
      <c r="I989" s="37" t="n">
        <v>1</v>
      </c>
      <c r="J989" s="39" t="n">
        <v>1799</v>
      </c>
      <c r="K989" s="40" t="n">
        <v>0.25</v>
      </c>
      <c r="L989" s="39" t="n">
        <f aca="false">VLOOKUP(H989,'Product List'!$A$3:$D$18,4,FALSE())</f>
        <v>1250</v>
      </c>
      <c r="M989" s="39" t="n">
        <f aca="false">I989*J989*(1-K989)</f>
        <v>1349.25</v>
      </c>
      <c r="N989" s="39" t="n">
        <f aca="false">I989*L989</f>
        <v>1250</v>
      </c>
      <c r="O989" s="39" t="n">
        <f aca="false">M989-N989</f>
        <v>99.25</v>
      </c>
      <c r="P989" s="41" t="n">
        <f aca="false">IF(M989=0,0,O989/M989)</f>
        <v>0.0735593848434315</v>
      </c>
      <c r="Q989" s="37" t="str">
        <f aca="false">IF(K989=0,"No discount",IF(K989&lt;=0.1,"1-10%",IF(K989&lt;=0.2,"11-20%",IF(K989&lt;=0.3,"21-30%","Above 30%"))))</f>
        <v>21-30%</v>
      </c>
      <c r="R989" s="39" t="n">
        <f aca="false">I989*J989*MAX(0,K989-DiscountCap)</f>
        <v>89.95</v>
      </c>
    </row>
    <row r="990" customFormat="false" ht="15" hidden="false" customHeight="false" outlineLevel="0" collapsed="false">
      <c r="A990" s="37" t="s">
        <v>1134</v>
      </c>
      <c r="B990" s="38" t="n">
        <v>46019</v>
      </c>
      <c r="C990" s="37" t="n">
        <f aca="false">MONTH(B990)</f>
        <v>12</v>
      </c>
      <c r="D990" s="37" t="s">
        <v>134</v>
      </c>
      <c r="E990" s="37" t="s">
        <v>45</v>
      </c>
      <c r="F990" s="37" t="s">
        <v>96</v>
      </c>
      <c r="G990" s="37" t="s">
        <v>92</v>
      </c>
      <c r="H990" s="37" t="s">
        <v>115</v>
      </c>
      <c r="I990" s="37" t="n">
        <v>2</v>
      </c>
      <c r="J990" s="39" t="n">
        <v>1799</v>
      </c>
      <c r="K990" s="40" t="n">
        <v>0.25</v>
      </c>
      <c r="L990" s="39" t="n">
        <f aca="false">VLOOKUP(H990,'Product List'!$A$3:$D$18,4,FALSE())</f>
        <v>1150</v>
      </c>
      <c r="M990" s="39" t="n">
        <f aca="false">I990*J990*(1-K990)</f>
        <v>2698.5</v>
      </c>
      <c r="N990" s="39" t="n">
        <f aca="false">I990*L990</f>
        <v>2300</v>
      </c>
      <c r="O990" s="39" t="n">
        <f aca="false">M990-N990</f>
        <v>398.5</v>
      </c>
      <c r="P990" s="41" t="n">
        <f aca="false">IF(M990=0,0,O990/M990)</f>
        <v>0.147674634055957</v>
      </c>
      <c r="Q990" s="37" t="str">
        <f aca="false">IF(K990=0,"No discount",IF(K990&lt;=0.1,"1-10%",IF(K990&lt;=0.2,"11-20%",IF(K990&lt;=0.3,"21-30%","Above 30%"))))</f>
        <v>21-30%</v>
      </c>
      <c r="R990" s="39" t="n">
        <f aca="false">I990*J990*MAX(0,K990-DiscountCap)</f>
        <v>179.9</v>
      </c>
    </row>
    <row r="991" customFormat="false" ht="15" hidden="false" customHeight="false" outlineLevel="0" collapsed="false">
      <c r="A991" s="37" t="s">
        <v>1135</v>
      </c>
      <c r="B991" s="38" t="n">
        <v>46021</v>
      </c>
      <c r="C991" s="37" t="n">
        <f aca="false">MONTH(B991)</f>
        <v>12</v>
      </c>
      <c r="D991" s="37" t="s">
        <v>160</v>
      </c>
      <c r="E991" s="37" t="s">
        <v>46</v>
      </c>
      <c r="F991" s="37" t="s">
        <v>96</v>
      </c>
      <c r="G991" s="37" t="s">
        <v>93</v>
      </c>
      <c r="H991" s="37" t="s">
        <v>123</v>
      </c>
      <c r="I991" s="37" t="n">
        <v>1</v>
      </c>
      <c r="J991" s="39" t="n">
        <v>1299</v>
      </c>
      <c r="K991" s="40" t="n">
        <v>0.2</v>
      </c>
      <c r="L991" s="39" t="n">
        <f aca="false">VLOOKUP(H991,'Product List'!$A$3:$D$18,4,FALSE())</f>
        <v>700</v>
      </c>
      <c r="M991" s="39" t="n">
        <f aca="false">I991*J991*(1-K991)</f>
        <v>1039.2</v>
      </c>
      <c r="N991" s="39" t="n">
        <f aca="false">I991*L991</f>
        <v>700</v>
      </c>
      <c r="O991" s="39" t="n">
        <f aca="false">M991-N991</f>
        <v>339.2</v>
      </c>
      <c r="P991" s="41" t="n">
        <f aca="false">IF(M991=0,0,O991/M991)</f>
        <v>0.326404926866821</v>
      </c>
      <c r="Q991" s="37" t="str">
        <f aca="false">IF(K991=0,"No discount",IF(K991&lt;=0.1,"1-10%",IF(K991&lt;=0.2,"11-20%",IF(K991&lt;=0.3,"21-30%","Above 30%"))))</f>
        <v>11-20%</v>
      </c>
      <c r="R991" s="39" t="n">
        <f aca="false">I991*J991*MAX(0,K991-DiscountCap)</f>
        <v>0</v>
      </c>
    </row>
    <row r="992" customFormat="false" ht="15" hidden="false" customHeight="false" outlineLevel="0" collapsed="false">
      <c r="A992" s="37" t="s">
        <v>1136</v>
      </c>
      <c r="B992" s="38" t="n">
        <v>46019</v>
      </c>
      <c r="C992" s="37" t="n">
        <f aca="false">MONTH(B992)</f>
        <v>12</v>
      </c>
      <c r="D992" s="37" t="s">
        <v>134</v>
      </c>
      <c r="E992" s="37" t="s">
        <v>45</v>
      </c>
      <c r="F992" s="37" t="s">
        <v>96</v>
      </c>
      <c r="G992" s="37" t="s">
        <v>92</v>
      </c>
      <c r="H992" s="37" t="s">
        <v>114</v>
      </c>
      <c r="I992" s="37" t="n">
        <v>1</v>
      </c>
      <c r="J992" s="39" t="n">
        <v>1199</v>
      </c>
      <c r="K992" s="40" t="n">
        <v>0</v>
      </c>
      <c r="L992" s="39" t="n">
        <f aca="false">VLOOKUP(H992,'Product List'!$A$3:$D$18,4,FALSE())</f>
        <v>780</v>
      </c>
      <c r="M992" s="39" t="n">
        <f aca="false">I992*J992*(1-K992)</f>
        <v>1199</v>
      </c>
      <c r="N992" s="39" t="n">
        <f aca="false">I992*L992</f>
        <v>780</v>
      </c>
      <c r="O992" s="39" t="n">
        <f aca="false">M992-N992</f>
        <v>419</v>
      </c>
      <c r="P992" s="41" t="n">
        <f aca="false">IF(M992=0,0,O992/M992)</f>
        <v>0.349457881567973</v>
      </c>
      <c r="Q992" s="37" t="str">
        <f aca="false">IF(K992=0,"No discount",IF(K992&lt;=0.1,"1-10%",IF(K992&lt;=0.2,"11-20%",IF(K992&lt;=0.3,"21-30%","Above 30%"))))</f>
        <v>No discount</v>
      </c>
      <c r="R992" s="39" t="n">
        <f aca="false">I992*J992*MAX(0,K992-DiscountCap)</f>
        <v>0</v>
      </c>
    </row>
    <row r="993" customFormat="false" ht="15" hidden="false" customHeight="false" outlineLevel="0" collapsed="false">
      <c r="A993" s="37" t="s">
        <v>1137</v>
      </c>
      <c r="B993" s="38" t="n">
        <v>46022</v>
      </c>
      <c r="C993" s="37" t="n">
        <f aca="false">MONTH(B993)</f>
        <v>12</v>
      </c>
      <c r="D993" s="37" t="s">
        <v>138</v>
      </c>
      <c r="E993" s="37" t="s">
        <v>46</v>
      </c>
      <c r="F993" s="37" t="s">
        <v>96</v>
      </c>
      <c r="G993" s="37" t="s">
        <v>90</v>
      </c>
      <c r="H993" s="37" t="s">
        <v>108</v>
      </c>
      <c r="I993" s="37" t="n">
        <v>1</v>
      </c>
      <c r="J993" s="39" t="n">
        <v>1999</v>
      </c>
      <c r="K993" s="40" t="n">
        <v>0.05</v>
      </c>
      <c r="L993" s="39" t="n">
        <f aca="false">VLOOKUP(H993,'Product List'!$A$3:$D$18,4,FALSE())</f>
        <v>1560</v>
      </c>
      <c r="M993" s="39" t="n">
        <f aca="false">I993*J993*(1-K993)</f>
        <v>1899.05</v>
      </c>
      <c r="N993" s="39" t="n">
        <f aca="false">I993*L993</f>
        <v>1560</v>
      </c>
      <c r="O993" s="39" t="n">
        <f aca="false">M993-N993</f>
        <v>339.05</v>
      </c>
      <c r="P993" s="41" t="n">
        <f aca="false">IF(M993=0,0,O993/M993)</f>
        <v>0.178536636739422</v>
      </c>
      <c r="Q993" s="37" t="str">
        <f aca="false">IF(K993=0,"No discount",IF(K993&lt;=0.1,"1-10%",IF(K993&lt;=0.2,"11-20%",IF(K993&lt;=0.3,"21-30%","Above 30%"))))</f>
        <v>1-10%</v>
      </c>
      <c r="R993" s="39" t="n">
        <f aca="false">I993*J993*MAX(0,K993-DiscountCap)</f>
        <v>0</v>
      </c>
    </row>
    <row r="994" customFormat="false" ht="15" hidden="false" customHeight="false" outlineLevel="0" collapsed="false">
      <c r="A994" s="37" t="s">
        <v>1138</v>
      </c>
      <c r="B994" s="38" t="n">
        <v>45999</v>
      </c>
      <c r="C994" s="37" t="n">
        <f aca="false">MONTH(B994)</f>
        <v>12</v>
      </c>
      <c r="D994" s="37" t="s">
        <v>154</v>
      </c>
      <c r="E994" s="37" t="s">
        <v>47</v>
      </c>
      <c r="F994" s="37" t="s">
        <v>97</v>
      </c>
      <c r="G994" s="37" t="s">
        <v>92</v>
      </c>
      <c r="H994" s="37" t="s">
        <v>115</v>
      </c>
      <c r="I994" s="37" t="n">
        <v>3</v>
      </c>
      <c r="J994" s="39" t="n">
        <v>1799</v>
      </c>
      <c r="K994" s="40" t="n">
        <v>0</v>
      </c>
      <c r="L994" s="39" t="n">
        <f aca="false">VLOOKUP(H994,'Product List'!$A$3:$D$18,4,FALSE())</f>
        <v>1150</v>
      </c>
      <c r="M994" s="39" t="n">
        <f aca="false">I994*J994*(1-K994)</f>
        <v>5397</v>
      </c>
      <c r="N994" s="39" t="n">
        <f aca="false">I994*L994</f>
        <v>3450</v>
      </c>
      <c r="O994" s="39" t="n">
        <f aca="false">M994-N994</f>
        <v>1947</v>
      </c>
      <c r="P994" s="41" t="n">
        <f aca="false">IF(M994=0,0,O994/M994)</f>
        <v>0.360755975541968</v>
      </c>
      <c r="Q994" s="37" t="str">
        <f aca="false">IF(K994=0,"No discount",IF(K994&lt;=0.1,"1-10%",IF(K994&lt;=0.2,"11-20%",IF(K994&lt;=0.3,"21-30%","Above 30%"))))</f>
        <v>No discount</v>
      </c>
      <c r="R994" s="39" t="n">
        <f aca="false">I994*J994*MAX(0,K994-DiscountCap)</f>
        <v>0</v>
      </c>
    </row>
    <row r="995" customFormat="false" ht="15" hidden="false" customHeight="false" outlineLevel="0" collapsed="false">
      <c r="A995" s="37" t="s">
        <v>1139</v>
      </c>
      <c r="B995" s="38" t="n">
        <v>45998</v>
      </c>
      <c r="C995" s="37" t="n">
        <f aca="false">MONTH(B995)</f>
        <v>12</v>
      </c>
      <c r="D995" s="37" t="s">
        <v>166</v>
      </c>
      <c r="E995" s="37" t="s">
        <v>44</v>
      </c>
      <c r="F995" s="37" t="s">
        <v>96</v>
      </c>
      <c r="G995" s="37" t="s">
        <v>93</v>
      </c>
      <c r="H995" s="37" t="s">
        <v>123</v>
      </c>
      <c r="I995" s="37" t="n">
        <v>1</v>
      </c>
      <c r="J995" s="39" t="n">
        <v>1299</v>
      </c>
      <c r="K995" s="40" t="n">
        <v>0.2</v>
      </c>
      <c r="L995" s="39" t="n">
        <f aca="false">VLOOKUP(H995,'Product List'!$A$3:$D$18,4,FALSE())</f>
        <v>700</v>
      </c>
      <c r="M995" s="39" t="n">
        <f aca="false">I995*J995*(1-K995)</f>
        <v>1039.2</v>
      </c>
      <c r="N995" s="39" t="n">
        <f aca="false">I995*L995</f>
        <v>700</v>
      </c>
      <c r="O995" s="39" t="n">
        <f aca="false">M995-N995</f>
        <v>339.2</v>
      </c>
      <c r="P995" s="41" t="n">
        <f aca="false">IF(M995=0,0,O995/M995)</f>
        <v>0.326404926866821</v>
      </c>
      <c r="Q995" s="37" t="str">
        <f aca="false">IF(K995=0,"No discount",IF(K995&lt;=0.1,"1-10%",IF(K995&lt;=0.2,"11-20%",IF(K995&lt;=0.3,"21-30%","Above 30%"))))</f>
        <v>11-20%</v>
      </c>
      <c r="R995" s="39" t="n">
        <f aca="false">I995*J995*MAX(0,K995-DiscountCap)</f>
        <v>0</v>
      </c>
    </row>
    <row r="996" customFormat="false" ht="15" hidden="false" customHeight="false" outlineLevel="0" collapsed="false">
      <c r="A996" s="37" t="s">
        <v>1140</v>
      </c>
      <c r="B996" s="38" t="n">
        <v>46003</v>
      </c>
      <c r="C996" s="37" t="n">
        <f aca="false">MONTH(B996)</f>
        <v>12</v>
      </c>
      <c r="D996" s="37" t="s">
        <v>142</v>
      </c>
      <c r="E996" s="37" t="s">
        <v>47</v>
      </c>
      <c r="F996" s="37" t="s">
        <v>96</v>
      </c>
      <c r="G996" s="37" t="s">
        <v>91</v>
      </c>
      <c r="H996" s="37" t="s">
        <v>116</v>
      </c>
      <c r="I996" s="37" t="n">
        <v>1</v>
      </c>
      <c r="J996" s="39" t="n">
        <v>899</v>
      </c>
      <c r="K996" s="40" t="n">
        <v>0.1</v>
      </c>
      <c r="L996" s="39" t="n">
        <f aca="false">VLOOKUP(H996,'Product List'!$A$3:$D$18,4,FALSE())</f>
        <v>430</v>
      </c>
      <c r="M996" s="39" t="n">
        <f aca="false">I996*J996*(1-K996)</f>
        <v>809.1</v>
      </c>
      <c r="N996" s="39" t="n">
        <f aca="false">I996*L996</f>
        <v>430</v>
      </c>
      <c r="O996" s="39" t="n">
        <f aca="false">M996-N996</f>
        <v>379.1</v>
      </c>
      <c r="P996" s="41" t="n">
        <f aca="false">IF(M996=0,0,O996/M996)</f>
        <v>0.468545297243851</v>
      </c>
      <c r="Q996" s="37" t="str">
        <f aca="false">IF(K996=0,"No discount",IF(K996&lt;=0.1,"1-10%",IF(K996&lt;=0.2,"11-20%",IF(K996&lt;=0.3,"21-30%","Above 30%"))))</f>
        <v>1-10%</v>
      </c>
      <c r="R996" s="39" t="n">
        <f aca="false">I996*J996*MAX(0,K996-DiscountCap)</f>
        <v>0</v>
      </c>
    </row>
    <row r="997" customFormat="false" ht="15" hidden="false" customHeight="false" outlineLevel="0" collapsed="false">
      <c r="A997" s="37" t="s">
        <v>1141</v>
      </c>
      <c r="B997" s="38" t="n">
        <v>45996</v>
      </c>
      <c r="C997" s="37" t="n">
        <f aca="false">MONTH(B997)</f>
        <v>12</v>
      </c>
      <c r="D997" s="37" t="s">
        <v>169</v>
      </c>
      <c r="E997" s="37" t="s">
        <v>44</v>
      </c>
      <c r="F997" s="37" t="s">
        <v>97</v>
      </c>
      <c r="G997" s="37" t="s">
        <v>92</v>
      </c>
      <c r="H997" s="37" t="s">
        <v>114</v>
      </c>
      <c r="I997" s="37" t="n">
        <v>2</v>
      </c>
      <c r="J997" s="39" t="n">
        <v>1199</v>
      </c>
      <c r="K997" s="40" t="n">
        <v>0.05</v>
      </c>
      <c r="L997" s="39" t="n">
        <f aca="false">VLOOKUP(H997,'Product List'!$A$3:$D$18,4,FALSE())</f>
        <v>780</v>
      </c>
      <c r="M997" s="39" t="n">
        <f aca="false">I997*J997*(1-K997)</f>
        <v>2278.1</v>
      </c>
      <c r="N997" s="39" t="n">
        <f aca="false">I997*L997</f>
        <v>1560</v>
      </c>
      <c r="O997" s="39" t="n">
        <f aca="false">M997-N997</f>
        <v>718.1</v>
      </c>
      <c r="P997" s="41" t="n">
        <f aca="false">IF(M997=0,0,O997/M997)</f>
        <v>0.31521882270313</v>
      </c>
      <c r="Q997" s="37" t="str">
        <f aca="false">IF(K997=0,"No discount",IF(K997&lt;=0.1,"1-10%",IF(K997&lt;=0.2,"11-20%",IF(K997&lt;=0.3,"21-30%","Above 30%"))))</f>
        <v>1-10%</v>
      </c>
      <c r="R997" s="39" t="n">
        <f aca="false">I997*J997*MAX(0,K997-DiscountCap)</f>
        <v>0</v>
      </c>
    </row>
    <row r="998" customFormat="false" ht="15" hidden="false" customHeight="false" outlineLevel="0" collapsed="false">
      <c r="A998" s="37" t="s">
        <v>1142</v>
      </c>
      <c r="B998" s="38" t="n">
        <v>46015</v>
      </c>
      <c r="C998" s="37" t="n">
        <f aca="false">MONTH(B998)</f>
        <v>12</v>
      </c>
      <c r="D998" s="37" t="s">
        <v>138</v>
      </c>
      <c r="E998" s="37" t="s">
        <v>46</v>
      </c>
      <c r="F998" s="37" t="s">
        <v>96</v>
      </c>
      <c r="G998" s="37" t="s">
        <v>91</v>
      </c>
      <c r="H998" s="37" t="s">
        <v>116</v>
      </c>
      <c r="I998" s="37" t="n">
        <v>1</v>
      </c>
      <c r="J998" s="39" t="n">
        <v>899</v>
      </c>
      <c r="K998" s="40" t="n">
        <v>0.1</v>
      </c>
      <c r="L998" s="39" t="n">
        <f aca="false">VLOOKUP(H998,'Product List'!$A$3:$D$18,4,FALSE())</f>
        <v>430</v>
      </c>
      <c r="M998" s="39" t="n">
        <f aca="false">I998*J998*(1-K998)</f>
        <v>809.1</v>
      </c>
      <c r="N998" s="39" t="n">
        <f aca="false">I998*L998</f>
        <v>430</v>
      </c>
      <c r="O998" s="39" t="n">
        <f aca="false">M998-N998</f>
        <v>379.1</v>
      </c>
      <c r="P998" s="41" t="n">
        <f aca="false">IF(M998=0,0,O998/M998)</f>
        <v>0.468545297243851</v>
      </c>
      <c r="Q998" s="37" t="str">
        <f aca="false">IF(K998=0,"No discount",IF(K998&lt;=0.1,"1-10%",IF(K998&lt;=0.2,"11-20%",IF(K998&lt;=0.3,"21-30%","Above 30%"))))</f>
        <v>1-10%</v>
      </c>
      <c r="R998" s="39" t="n">
        <f aca="false">I998*J998*MAX(0,K998-DiscountCap)</f>
        <v>0</v>
      </c>
    </row>
    <row r="999" customFormat="false" ht="15" hidden="false" customHeight="false" outlineLevel="0" collapsed="false">
      <c r="A999" s="37" t="s">
        <v>1143</v>
      </c>
      <c r="B999" s="38" t="n">
        <v>46012</v>
      </c>
      <c r="C999" s="37" t="n">
        <f aca="false">MONTH(B999)</f>
        <v>12</v>
      </c>
      <c r="D999" s="37" t="s">
        <v>146</v>
      </c>
      <c r="E999" s="37" t="s">
        <v>45</v>
      </c>
      <c r="F999" s="37" t="s">
        <v>96</v>
      </c>
      <c r="G999" s="37" t="s">
        <v>90</v>
      </c>
      <c r="H999" s="37" t="s">
        <v>110</v>
      </c>
      <c r="I999" s="37" t="n">
        <v>2</v>
      </c>
      <c r="J999" s="39" t="n">
        <v>1299</v>
      </c>
      <c r="K999" s="40" t="n">
        <v>0.15</v>
      </c>
      <c r="L999" s="39" t="n">
        <f aca="false">VLOOKUP(H999,'Product List'!$A$3:$D$18,4,FALSE())</f>
        <v>1000</v>
      </c>
      <c r="M999" s="39" t="n">
        <f aca="false">I999*J999*(1-K999)</f>
        <v>2208.3</v>
      </c>
      <c r="N999" s="39" t="n">
        <f aca="false">I999*L999</f>
        <v>2000</v>
      </c>
      <c r="O999" s="39" t="n">
        <f aca="false">M999-N999</f>
        <v>208.3</v>
      </c>
      <c r="P999" s="41" t="n">
        <f aca="false">IF(M999=0,0,O999/M999)</f>
        <v>0.0943259520898428</v>
      </c>
      <c r="Q999" s="37" t="str">
        <f aca="false">IF(K999=0,"No discount",IF(K999&lt;=0.1,"1-10%",IF(K999&lt;=0.2,"11-20%",IF(K999&lt;=0.3,"21-30%","Above 30%"))))</f>
        <v>11-20%</v>
      </c>
      <c r="R999" s="39" t="n">
        <f aca="false">I999*J999*MAX(0,K999-DiscountCap)</f>
        <v>0</v>
      </c>
    </row>
    <row r="1000" customFormat="false" ht="15" hidden="false" customHeight="false" outlineLevel="0" collapsed="false">
      <c r="A1000" s="37" t="s">
        <v>1144</v>
      </c>
      <c r="B1000" s="38" t="n">
        <v>46012</v>
      </c>
      <c r="C1000" s="37" t="n">
        <f aca="false">MONTH(B1000)</f>
        <v>12</v>
      </c>
      <c r="D1000" s="37" t="s">
        <v>136</v>
      </c>
      <c r="E1000" s="37" t="s">
        <v>47</v>
      </c>
      <c r="F1000" s="37" t="s">
        <v>97</v>
      </c>
      <c r="G1000" s="37" t="s">
        <v>92</v>
      </c>
      <c r="H1000" s="37" t="s">
        <v>113</v>
      </c>
      <c r="I1000" s="37" t="n">
        <v>1</v>
      </c>
      <c r="J1000" s="39" t="n">
        <v>2199</v>
      </c>
      <c r="K1000" s="40" t="n">
        <v>0</v>
      </c>
      <c r="L1000" s="39" t="n">
        <f aca="false">VLOOKUP(H1000,'Product List'!$A$3:$D$18,4,FALSE())</f>
        <v>1400</v>
      </c>
      <c r="M1000" s="39" t="n">
        <f aca="false">I1000*J1000*(1-K1000)</f>
        <v>2199</v>
      </c>
      <c r="N1000" s="39" t="n">
        <f aca="false">I1000*L1000</f>
        <v>1400</v>
      </c>
      <c r="O1000" s="39" t="n">
        <f aca="false">M1000-N1000</f>
        <v>799</v>
      </c>
      <c r="P1000" s="41" t="n">
        <f aca="false">IF(M1000=0,0,O1000/M1000)</f>
        <v>0.363346975898136</v>
      </c>
      <c r="Q1000" s="37" t="str">
        <f aca="false">IF(K1000=0,"No discount",IF(K1000&lt;=0.1,"1-10%",IF(K1000&lt;=0.2,"11-20%",IF(K1000&lt;=0.3,"21-30%","Above 30%"))))</f>
        <v>No discount</v>
      </c>
      <c r="R1000" s="39" t="n">
        <f aca="false">I1000*J1000*MAX(0,K1000-DiscountCap)</f>
        <v>0</v>
      </c>
    </row>
    <row r="1001" customFormat="false" ht="15" hidden="false" customHeight="false" outlineLevel="0" collapsed="false">
      <c r="A1001" s="37" t="s">
        <v>1145</v>
      </c>
      <c r="B1001" s="38" t="n">
        <v>45994</v>
      </c>
      <c r="C1001" s="37" t="n">
        <f aca="false">MONTH(B1001)</f>
        <v>12</v>
      </c>
      <c r="D1001" s="37" t="s">
        <v>138</v>
      </c>
      <c r="E1001" s="37" t="s">
        <v>46</v>
      </c>
      <c r="F1001" s="37" t="s">
        <v>96</v>
      </c>
      <c r="G1001" s="37" t="s">
        <v>91</v>
      </c>
      <c r="H1001" s="37" t="s">
        <v>116</v>
      </c>
      <c r="I1001" s="37" t="n">
        <v>1</v>
      </c>
      <c r="J1001" s="39" t="n">
        <v>899</v>
      </c>
      <c r="K1001" s="40" t="n">
        <v>0.1</v>
      </c>
      <c r="L1001" s="39" t="n">
        <f aca="false">VLOOKUP(H1001,'Product List'!$A$3:$D$18,4,FALSE())</f>
        <v>430</v>
      </c>
      <c r="M1001" s="39" t="n">
        <f aca="false">I1001*J1001*(1-K1001)</f>
        <v>809.1</v>
      </c>
      <c r="N1001" s="39" t="n">
        <f aca="false">I1001*L1001</f>
        <v>430</v>
      </c>
      <c r="O1001" s="39" t="n">
        <f aca="false">M1001-N1001</f>
        <v>379.1</v>
      </c>
      <c r="P1001" s="41" t="n">
        <f aca="false">IF(M1001=0,0,O1001/M1001)</f>
        <v>0.468545297243851</v>
      </c>
      <c r="Q1001" s="37" t="str">
        <f aca="false">IF(K1001=0,"No discount",IF(K1001&lt;=0.1,"1-10%",IF(K1001&lt;=0.2,"11-20%",IF(K1001&lt;=0.3,"21-30%","Above 30%"))))</f>
        <v>1-10%</v>
      </c>
      <c r="R1001" s="39" t="n">
        <f aca="false">I1001*J1001*MAX(0,K1001-DiscountCap)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J10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</cols>
  <sheetData>
    <row r="1" customFormat="false" ht="15" hidden="false" customHeight="false" outlineLevel="0" collapsed="false">
      <c r="A1" s="21" t="s">
        <v>124</v>
      </c>
      <c r="B1" s="21" t="s">
        <v>125</v>
      </c>
      <c r="C1" s="21" t="s">
        <v>126</v>
      </c>
      <c r="D1" s="21" t="s">
        <v>34</v>
      </c>
      <c r="E1" s="21" t="s">
        <v>70</v>
      </c>
      <c r="F1" s="21" t="s">
        <v>107</v>
      </c>
      <c r="G1" s="21" t="s">
        <v>71</v>
      </c>
      <c r="H1" s="21" t="s">
        <v>127</v>
      </c>
      <c r="I1" s="21" t="s">
        <v>128</v>
      </c>
      <c r="J1" s="21" t="s">
        <v>1146</v>
      </c>
    </row>
    <row r="2" customFormat="false" ht="15" hidden="false" customHeight="false" outlineLevel="0" collapsed="false">
      <c r="A2" s="37" t="s">
        <v>133</v>
      </c>
      <c r="B2" s="42" t="n">
        <v>45674</v>
      </c>
      <c r="C2" s="37" t="s">
        <v>134</v>
      </c>
      <c r="D2" s="37" t="s">
        <v>45</v>
      </c>
      <c r="E2" s="37" t="s">
        <v>1147</v>
      </c>
      <c r="F2" s="37" t="s">
        <v>119</v>
      </c>
      <c r="G2" s="37" t="s">
        <v>91</v>
      </c>
      <c r="H2" s="37" t="n">
        <v>1</v>
      </c>
      <c r="I2" s="43" t="n">
        <v>1099</v>
      </c>
      <c r="J2" s="40" t="n">
        <v>0</v>
      </c>
    </row>
    <row r="3" customFormat="false" ht="15" hidden="false" customHeight="false" outlineLevel="0" collapsed="false">
      <c r="A3" s="37" t="s">
        <v>135</v>
      </c>
      <c r="B3" s="42" t="n">
        <v>45663</v>
      </c>
      <c r="C3" s="37" t="s">
        <v>136</v>
      </c>
      <c r="D3" s="37" t="s">
        <v>47</v>
      </c>
      <c r="E3" s="37" t="s">
        <v>97</v>
      </c>
      <c r="F3" s="37" t="s">
        <v>117</v>
      </c>
      <c r="G3" s="37" t="s">
        <v>91</v>
      </c>
      <c r="H3" s="37" t="n">
        <v>1</v>
      </c>
      <c r="I3" s="43" t="n">
        <v>1499</v>
      </c>
      <c r="J3" s="40" t="n">
        <v>0</v>
      </c>
    </row>
    <row r="4" customFormat="false" ht="15" hidden="false" customHeight="false" outlineLevel="0" collapsed="false">
      <c r="A4" s="37" t="s">
        <v>137</v>
      </c>
      <c r="B4" s="42" t="n">
        <v>45669</v>
      </c>
      <c r="C4" s="37" t="s">
        <v>138</v>
      </c>
      <c r="D4" s="37" t="s">
        <v>46</v>
      </c>
      <c r="E4" s="37" t="s">
        <v>97</v>
      </c>
      <c r="F4" s="37" t="s">
        <v>114</v>
      </c>
      <c r="G4" s="37" t="s">
        <v>92</v>
      </c>
      <c r="H4" s="37" t="n">
        <v>1</v>
      </c>
      <c r="I4" s="43" t="n">
        <v>1199</v>
      </c>
      <c r="J4" s="40" t="n">
        <v>0.1</v>
      </c>
    </row>
    <row r="5" customFormat="false" ht="15" hidden="false" customHeight="false" outlineLevel="0" collapsed="false">
      <c r="A5" s="37" t="s">
        <v>139</v>
      </c>
      <c r="B5" s="42" t="n">
        <v>45683</v>
      </c>
      <c r="C5" s="37" t="s">
        <v>140</v>
      </c>
      <c r="D5" s="37" t="s">
        <v>44</v>
      </c>
      <c r="E5" s="37" t="s">
        <v>96</v>
      </c>
      <c r="F5" s="37" t="s">
        <v>109</v>
      </c>
      <c r="G5" s="37" t="s">
        <v>90</v>
      </c>
      <c r="H5" s="37" t="n">
        <v>2</v>
      </c>
      <c r="I5" s="43" t="n">
        <v>3499</v>
      </c>
      <c r="J5" s="40" t="n">
        <v>0.2</v>
      </c>
    </row>
    <row r="6" customFormat="false" ht="15" hidden="false" customHeight="false" outlineLevel="0" collapsed="false">
      <c r="A6" s="37" t="s">
        <v>141</v>
      </c>
      <c r="B6" s="42" t="n">
        <v>45672</v>
      </c>
      <c r="C6" s="37" t="s">
        <v>142</v>
      </c>
      <c r="D6" s="37" t="s">
        <v>47</v>
      </c>
      <c r="E6" s="37" t="s">
        <v>96</v>
      </c>
      <c r="F6" s="37" t="s">
        <v>109</v>
      </c>
      <c r="G6" s="37" t="s">
        <v>90</v>
      </c>
      <c r="H6" s="37" t="n">
        <v>1</v>
      </c>
      <c r="I6" s="43" t="n">
        <v>3499</v>
      </c>
      <c r="J6" s="40" t="n">
        <v>0.1</v>
      </c>
    </row>
    <row r="7" customFormat="false" ht="15" hidden="false" customHeight="false" outlineLevel="0" collapsed="false">
      <c r="A7" s="37" t="s">
        <v>143</v>
      </c>
      <c r="B7" s="42" t="n">
        <v>45678</v>
      </c>
      <c r="C7" s="37" t="s">
        <v>144</v>
      </c>
      <c r="D7" s="37" t="s">
        <v>45</v>
      </c>
      <c r="E7" s="37" t="s">
        <v>97</v>
      </c>
      <c r="F7" s="37" t="s">
        <v>117</v>
      </c>
      <c r="G7" s="37" t="s">
        <v>91</v>
      </c>
      <c r="H7" s="37" t="n">
        <v>2</v>
      </c>
      <c r="I7" s="43" t="n">
        <v>1499</v>
      </c>
      <c r="J7" s="40" t="n">
        <v>0</v>
      </c>
    </row>
    <row r="8" customFormat="false" ht="15" hidden="false" customHeight="false" outlineLevel="0" collapsed="false">
      <c r="A8" s="37" t="s">
        <v>145</v>
      </c>
      <c r="B8" s="42" t="n">
        <v>45683</v>
      </c>
      <c r="C8" s="37" t="s">
        <v>146</v>
      </c>
      <c r="D8" s="37" t="s">
        <v>45</v>
      </c>
      <c r="E8" s="37" t="s">
        <v>96</v>
      </c>
      <c r="F8" s="37" t="s">
        <v>117</v>
      </c>
      <c r="G8" s="37" t="s">
        <v>91</v>
      </c>
      <c r="H8" s="37" t="n">
        <v>1</v>
      </c>
      <c r="I8" s="43" t="n">
        <v>1499</v>
      </c>
      <c r="J8" s="40" t="n">
        <v>0.15</v>
      </c>
    </row>
    <row r="9" customFormat="false" ht="15" hidden="false" customHeight="false" outlineLevel="0" collapsed="false">
      <c r="A9" s="37" t="s">
        <v>147</v>
      </c>
      <c r="B9" s="42" t="n">
        <v>45671</v>
      </c>
      <c r="C9" s="37" t="s">
        <v>136</v>
      </c>
      <c r="D9" s="37" t="s">
        <v>47</v>
      </c>
      <c r="E9" s="37" t="s">
        <v>96</v>
      </c>
      <c r="F9" s="37" t="s">
        <v>112</v>
      </c>
      <c r="G9" s="37" t="s">
        <v>92</v>
      </c>
      <c r="H9" s="37" t="n">
        <v>2</v>
      </c>
      <c r="I9" s="43" t="n">
        <v>3299</v>
      </c>
      <c r="J9" s="40" t="n">
        <v>0</v>
      </c>
    </row>
    <row r="10" customFormat="false" ht="15" hidden="false" customHeight="false" outlineLevel="0" collapsed="false">
      <c r="A10" s="37" t="s">
        <v>148</v>
      </c>
      <c r="B10" s="42" t="n">
        <v>45687</v>
      </c>
      <c r="C10" s="37" t="s">
        <v>134</v>
      </c>
      <c r="D10" s="37" t="s">
        <v>45</v>
      </c>
      <c r="E10" s="37" t="s">
        <v>96</v>
      </c>
      <c r="F10" s="37" t="s">
        <v>111</v>
      </c>
      <c r="G10" s="37" t="s">
        <v>90</v>
      </c>
      <c r="H10" s="37" t="n">
        <v>1</v>
      </c>
      <c r="I10" s="43" t="n">
        <v>2499</v>
      </c>
      <c r="J10" s="40" t="n">
        <v>0.2</v>
      </c>
    </row>
    <row r="11" customFormat="false" ht="15" hidden="false" customHeight="false" outlineLevel="0" collapsed="false">
      <c r="A11" s="37" t="s">
        <v>149</v>
      </c>
      <c r="B11" s="42" t="n">
        <v>45659</v>
      </c>
      <c r="C11" s="37" t="s">
        <v>134</v>
      </c>
      <c r="D11" s="37" t="s">
        <v>45</v>
      </c>
      <c r="E11" s="37" t="s">
        <v>97</v>
      </c>
      <c r="F11" s="37" t="s">
        <v>112</v>
      </c>
      <c r="G11" s="37" t="s">
        <v>92</v>
      </c>
      <c r="H11" s="37" t="n">
        <v>2</v>
      </c>
      <c r="I11" s="43" t="n">
        <v>3299</v>
      </c>
      <c r="J11" s="40" t="n">
        <v>0.05</v>
      </c>
    </row>
    <row r="12" customFormat="false" ht="15" hidden="false" customHeight="false" outlineLevel="0" collapsed="false">
      <c r="A12" s="37" t="s">
        <v>150</v>
      </c>
      <c r="B12" s="42" t="n">
        <v>45686</v>
      </c>
      <c r="C12" s="37" t="s">
        <v>144</v>
      </c>
      <c r="D12" s="37" t="s">
        <v>45</v>
      </c>
      <c r="E12" s="37" t="s">
        <v>97</v>
      </c>
      <c r="F12" s="37" t="s">
        <v>117</v>
      </c>
      <c r="G12" s="37" t="s">
        <v>91</v>
      </c>
      <c r="H12" s="37" t="n">
        <v>1</v>
      </c>
      <c r="I12" s="43" t="n">
        <v>1499</v>
      </c>
      <c r="J12" s="40" t="n">
        <v>0</v>
      </c>
    </row>
    <row r="13" customFormat="false" ht="15" hidden="false" customHeight="false" outlineLevel="0" collapsed="false">
      <c r="A13" s="37" t="s">
        <v>151</v>
      </c>
      <c r="B13" s="42" t="n">
        <v>45686</v>
      </c>
      <c r="C13" s="37" t="s">
        <v>136</v>
      </c>
      <c r="D13" s="37" t="s">
        <v>47</v>
      </c>
      <c r="E13" s="37" t="s">
        <v>96</v>
      </c>
      <c r="F13" s="37" t="s">
        <v>111</v>
      </c>
      <c r="G13" s="37" t="s">
        <v>90</v>
      </c>
      <c r="H13" s="37" t="n">
        <v>1</v>
      </c>
      <c r="I13" s="43" t="n">
        <v>2499</v>
      </c>
      <c r="J13" s="40" t="n">
        <v>0.1</v>
      </c>
    </row>
    <row r="14" customFormat="false" ht="15" hidden="false" customHeight="false" outlineLevel="0" collapsed="false">
      <c r="A14" s="37" t="s">
        <v>152</v>
      </c>
      <c r="B14" s="42" t="n">
        <v>45681</v>
      </c>
      <c r="C14" s="37" t="s">
        <v>144</v>
      </c>
      <c r="D14" s="37" t="s">
        <v>45</v>
      </c>
      <c r="E14" s="37" t="s">
        <v>1148</v>
      </c>
      <c r="F14" s="37" t="s">
        <v>114</v>
      </c>
      <c r="G14" s="37" t="s">
        <v>92</v>
      </c>
      <c r="H14" s="37" t="n">
        <v>1</v>
      </c>
      <c r="I14" s="43" t="n">
        <v>1199</v>
      </c>
      <c r="J14" s="40" t="n">
        <v>0.05</v>
      </c>
    </row>
    <row r="15" customFormat="false" ht="15" hidden="false" customHeight="false" outlineLevel="0" collapsed="false">
      <c r="A15" s="37" t="s">
        <v>153</v>
      </c>
      <c r="B15" s="42" t="n">
        <v>45660</v>
      </c>
      <c r="C15" s="37" t="s">
        <v>154</v>
      </c>
      <c r="D15" s="37" t="s">
        <v>47</v>
      </c>
      <c r="E15" s="37" t="s">
        <v>96</v>
      </c>
      <c r="F15" s="37" t="s">
        <v>108</v>
      </c>
      <c r="G15" s="37" t="s">
        <v>90</v>
      </c>
      <c r="H15" s="37" t="n">
        <v>2</v>
      </c>
      <c r="I15" s="43" t="n">
        <v>1999</v>
      </c>
      <c r="J15" s="40" t="n">
        <v>0</v>
      </c>
    </row>
    <row r="16" customFormat="false" ht="15" hidden="false" customHeight="false" outlineLevel="0" collapsed="false">
      <c r="A16" s="37" t="s">
        <v>155</v>
      </c>
      <c r="B16" s="42" t="n">
        <v>45666</v>
      </c>
      <c r="C16" s="37" t="s">
        <v>154</v>
      </c>
      <c r="D16" s="37" t="s">
        <v>47</v>
      </c>
      <c r="E16" s="37" t="s">
        <v>96</v>
      </c>
      <c r="F16" s="37" t="s">
        <v>112</v>
      </c>
      <c r="G16" s="37" t="s">
        <v>92</v>
      </c>
      <c r="H16" s="37" t="n">
        <v>2</v>
      </c>
      <c r="I16" s="43" t="n">
        <v>3299</v>
      </c>
      <c r="J16" s="40" t="n">
        <v>0.2</v>
      </c>
    </row>
    <row r="17" customFormat="false" ht="15" hidden="false" customHeight="false" outlineLevel="0" collapsed="false">
      <c r="A17" s="37" t="s">
        <v>156</v>
      </c>
      <c r="B17" s="42" t="n">
        <v>45682</v>
      </c>
      <c r="C17" s="37" t="s">
        <v>134</v>
      </c>
      <c r="D17" s="37" t="s">
        <v>45</v>
      </c>
      <c r="E17" s="37" t="s">
        <v>97</v>
      </c>
      <c r="F17" s="37" t="s">
        <v>108</v>
      </c>
      <c r="G17" s="37" t="s">
        <v>90</v>
      </c>
      <c r="H17" s="37" t="n">
        <v>3</v>
      </c>
      <c r="I17" s="43" t="n">
        <v>1999</v>
      </c>
      <c r="J17" s="40" t="n">
        <v>0</v>
      </c>
    </row>
    <row r="18" customFormat="false" ht="15" hidden="false" customHeight="false" outlineLevel="0" collapsed="false">
      <c r="A18" s="37" t="s">
        <v>157</v>
      </c>
      <c r="B18" s="42" t="n">
        <v>45685</v>
      </c>
      <c r="C18" s="37" t="s">
        <v>140</v>
      </c>
      <c r="D18" s="37" t="s">
        <v>44</v>
      </c>
      <c r="E18" s="37" t="s">
        <v>97</v>
      </c>
      <c r="F18" s="37" t="s">
        <v>121</v>
      </c>
      <c r="G18" s="37" t="s">
        <v>93</v>
      </c>
      <c r="H18" s="37" t="n">
        <v>1</v>
      </c>
      <c r="I18" s="43" t="n">
        <v>999</v>
      </c>
      <c r="J18" s="40" t="n">
        <v>0.05</v>
      </c>
    </row>
    <row r="19" customFormat="false" ht="15" hidden="false" customHeight="false" outlineLevel="0" collapsed="false">
      <c r="A19" s="37" t="s">
        <v>158</v>
      </c>
      <c r="B19" s="42" t="n">
        <v>45669</v>
      </c>
      <c r="C19" s="37" t="s">
        <v>144</v>
      </c>
      <c r="D19" s="37" t="s">
        <v>45</v>
      </c>
      <c r="E19" s="37" t="s">
        <v>97</v>
      </c>
      <c r="F19" s="37" t="s">
        <v>122</v>
      </c>
      <c r="G19" s="37" t="s">
        <v>93</v>
      </c>
      <c r="H19" s="37" t="n">
        <v>1</v>
      </c>
      <c r="I19" s="43" t="n">
        <v>1799</v>
      </c>
      <c r="J19" s="40" t="n">
        <v>0.05</v>
      </c>
    </row>
    <row r="20" customFormat="false" ht="15" hidden="false" customHeight="false" outlineLevel="0" collapsed="false">
      <c r="A20" s="37" t="s">
        <v>159</v>
      </c>
      <c r="B20" s="42" t="n">
        <v>45676</v>
      </c>
      <c r="C20" s="37" t="s">
        <v>1149</v>
      </c>
      <c r="D20" s="37" t="s">
        <v>46</v>
      </c>
      <c r="E20" s="37" t="s">
        <v>96</v>
      </c>
      <c r="F20" s="37" t="s">
        <v>108</v>
      </c>
      <c r="G20" s="37" t="s">
        <v>90</v>
      </c>
      <c r="H20" s="37" t="n">
        <v>2</v>
      </c>
      <c r="I20" s="43" t="n">
        <v>1999</v>
      </c>
      <c r="J20" s="40" t="n">
        <v>0.25</v>
      </c>
    </row>
    <row r="21" customFormat="false" ht="15" hidden="false" customHeight="false" outlineLevel="0" collapsed="false">
      <c r="A21" s="37" t="s">
        <v>161</v>
      </c>
      <c r="B21" s="42" t="n">
        <v>45676</v>
      </c>
      <c r="C21" s="37" t="s">
        <v>146</v>
      </c>
      <c r="D21" s="37" t="s">
        <v>45</v>
      </c>
      <c r="E21" s="37" t="s">
        <v>96</v>
      </c>
      <c r="F21" s="37" t="s">
        <v>122</v>
      </c>
      <c r="G21" s="37" t="s">
        <v>93</v>
      </c>
      <c r="H21" s="37" t="n">
        <v>3</v>
      </c>
      <c r="I21" s="43" t="n">
        <v>1799</v>
      </c>
      <c r="J21" s="40" t="n">
        <v>0.15</v>
      </c>
    </row>
    <row r="22" customFormat="false" ht="15" hidden="false" customHeight="false" outlineLevel="0" collapsed="false">
      <c r="A22" s="37" t="s">
        <v>162</v>
      </c>
      <c r="B22" s="37" t="s">
        <v>1150</v>
      </c>
      <c r="C22" s="37" t="s">
        <v>154</v>
      </c>
      <c r="D22" s="37" t="s">
        <v>47</v>
      </c>
      <c r="E22" s="37" t="s">
        <v>97</v>
      </c>
      <c r="F22" s="37" t="s">
        <v>109</v>
      </c>
      <c r="G22" s="37" t="s">
        <v>90</v>
      </c>
      <c r="H22" s="37" t="n">
        <v>2</v>
      </c>
      <c r="I22" s="43" t="n">
        <v>3499</v>
      </c>
      <c r="J22" s="40" t="n">
        <v>0.05</v>
      </c>
    </row>
    <row r="23" customFormat="false" ht="15" hidden="false" customHeight="false" outlineLevel="0" collapsed="false">
      <c r="A23" s="37" t="s">
        <v>163</v>
      </c>
      <c r="B23" s="42" t="n">
        <v>45667</v>
      </c>
      <c r="C23" s="37" t="s">
        <v>146</v>
      </c>
      <c r="D23" s="37" t="s">
        <v>45</v>
      </c>
      <c r="E23" s="37" t="s">
        <v>97</v>
      </c>
      <c r="F23" s="37" t="s">
        <v>122</v>
      </c>
      <c r="G23" s="37" t="s">
        <v>93</v>
      </c>
      <c r="H23" s="37" t="n">
        <v>1</v>
      </c>
      <c r="I23" s="43" t="n">
        <v>1799</v>
      </c>
      <c r="J23" s="40" t="n">
        <v>0</v>
      </c>
    </row>
    <row r="24" customFormat="false" ht="15" hidden="false" customHeight="false" outlineLevel="0" collapsed="false">
      <c r="A24" s="37" t="s">
        <v>164</v>
      </c>
      <c r="B24" s="42" t="n">
        <v>45673</v>
      </c>
      <c r="C24" s="37" t="s">
        <v>146</v>
      </c>
      <c r="D24" s="37" t="s">
        <v>45</v>
      </c>
      <c r="E24" s="37" t="s">
        <v>96</v>
      </c>
      <c r="F24" s="37" t="s">
        <v>110</v>
      </c>
      <c r="G24" s="37" t="s">
        <v>90</v>
      </c>
      <c r="H24" s="37" t="n">
        <v>1</v>
      </c>
      <c r="I24" s="43" t="n">
        <v>1299</v>
      </c>
      <c r="J24" s="40" t="n">
        <v>0.15</v>
      </c>
    </row>
    <row r="25" customFormat="false" ht="15" hidden="false" customHeight="false" outlineLevel="0" collapsed="false">
      <c r="A25" s="37" t="s">
        <v>165</v>
      </c>
      <c r="B25" s="42" t="n">
        <v>45675</v>
      </c>
      <c r="C25" s="37" t="s">
        <v>166</v>
      </c>
      <c r="D25" s="37" t="s">
        <v>44</v>
      </c>
      <c r="E25" s="37" t="s">
        <v>96</v>
      </c>
      <c r="F25" s="37" t="s">
        <v>118</v>
      </c>
      <c r="G25" s="37" t="s">
        <v>91</v>
      </c>
      <c r="H25" s="37" t="n">
        <v>1</v>
      </c>
      <c r="I25" s="43" t="n">
        <v>2299</v>
      </c>
      <c r="J25" s="40" t="n">
        <v>0</v>
      </c>
    </row>
    <row r="26" customFormat="false" ht="15" hidden="false" customHeight="false" outlineLevel="0" collapsed="false">
      <c r="A26" s="37" t="s">
        <v>167</v>
      </c>
      <c r="B26" s="42" t="n">
        <v>45662</v>
      </c>
      <c r="C26" s="37" t="s">
        <v>134</v>
      </c>
      <c r="D26" s="37" t="s">
        <v>45</v>
      </c>
      <c r="E26" s="37" t="s">
        <v>96</v>
      </c>
      <c r="F26" s="37" t="s">
        <v>116</v>
      </c>
      <c r="G26" s="37" t="s">
        <v>91</v>
      </c>
      <c r="H26" s="37" t="n">
        <v>2</v>
      </c>
      <c r="I26" s="43" t="n">
        <v>899</v>
      </c>
      <c r="J26" s="40" t="n">
        <v>0.2</v>
      </c>
    </row>
    <row r="27" customFormat="false" ht="15" hidden="false" customHeight="false" outlineLevel="0" collapsed="false">
      <c r="A27" s="37" t="s">
        <v>168</v>
      </c>
      <c r="B27" s="42" t="n">
        <v>45669</v>
      </c>
      <c r="C27" s="37" t="s">
        <v>169</v>
      </c>
      <c r="D27" s="37" t="s">
        <v>44</v>
      </c>
      <c r="E27" s="37" t="s">
        <v>97</v>
      </c>
      <c r="F27" s="37" t="s">
        <v>123</v>
      </c>
      <c r="G27" s="37" t="s">
        <v>93</v>
      </c>
      <c r="H27" s="37" t="n">
        <v>2</v>
      </c>
      <c r="I27" s="43" t="n">
        <v>1299</v>
      </c>
      <c r="J27" s="40" t="n">
        <v>0.05</v>
      </c>
    </row>
    <row r="28" customFormat="false" ht="15" hidden="false" customHeight="false" outlineLevel="0" collapsed="false">
      <c r="A28" s="37" t="s">
        <v>170</v>
      </c>
      <c r="B28" s="37" t="s">
        <v>1151</v>
      </c>
      <c r="C28" s="37" t="s">
        <v>140</v>
      </c>
      <c r="D28" s="37" t="s">
        <v>44</v>
      </c>
      <c r="E28" s="37" t="s">
        <v>96</v>
      </c>
      <c r="F28" s="37" t="s">
        <v>113</v>
      </c>
      <c r="G28" s="37" t="s">
        <v>92</v>
      </c>
      <c r="H28" s="37" t="n">
        <v>1</v>
      </c>
      <c r="I28" s="43" t="n">
        <v>2199</v>
      </c>
      <c r="J28" s="40" t="n">
        <v>0.1</v>
      </c>
    </row>
    <row r="29" customFormat="false" ht="15" hidden="false" customHeight="false" outlineLevel="0" collapsed="false">
      <c r="A29" s="37" t="s">
        <v>171</v>
      </c>
      <c r="B29" s="42" t="n">
        <v>45675</v>
      </c>
      <c r="C29" s="37" t="s">
        <v>172</v>
      </c>
      <c r="D29" s="37" t="s">
        <v>46</v>
      </c>
      <c r="E29" s="37" t="s">
        <v>97</v>
      </c>
      <c r="F29" s="37" t="s">
        <v>111</v>
      </c>
      <c r="G29" s="37" t="s">
        <v>90</v>
      </c>
      <c r="H29" s="37" t="n">
        <v>1</v>
      </c>
      <c r="I29" s="43" t="n">
        <v>2499</v>
      </c>
      <c r="J29" s="40" t="n">
        <v>0.05</v>
      </c>
    </row>
    <row r="30" customFormat="false" ht="15" hidden="false" customHeight="false" outlineLevel="0" collapsed="false">
      <c r="A30" s="37" t="s">
        <v>173</v>
      </c>
      <c r="B30" s="42" t="n">
        <v>45661</v>
      </c>
      <c r="C30" s="37" t="s">
        <v>160</v>
      </c>
      <c r="D30" s="37" t="s">
        <v>46</v>
      </c>
      <c r="E30" s="37" t="s">
        <v>96</v>
      </c>
      <c r="F30" s="37" t="s">
        <v>123</v>
      </c>
      <c r="G30" s="37" t="s">
        <v>93</v>
      </c>
      <c r="H30" s="37" t="n">
        <v>2</v>
      </c>
      <c r="I30" s="43" t="n">
        <v>1299</v>
      </c>
      <c r="J30" s="40" t="n">
        <v>0.1</v>
      </c>
    </row>
    <row r="31" customFormat="false" ht="15" hidden="false" customHeight="false" outlineLevel="0" collapsed="false">
      <c r="A31" s="37" t="s">
        <v>174</v>
      </c>
      <c r="B31" s="42" t="n">
        <v>45660</v>
      </c>
      <c r="C31" s="37" t="s">
        <v>154</v>
      </c>
      <c r="D31" s="37" t="s">
        <v>47</v>
      </c>
      <c r="E31" s="37" t="s">
        <v>96</v>
      </c>
      <c r="F31" s="37" t="s">
        <v>109</v>
      </c>
      <c r="G31" s="37" t="s">
        <v>90</v>
      </c>
      <c r="H31" s="37" t="n">
        <v>1</v>
      </c>
      <c r="I31" s="43" t="n">
        <v>3499</v>
      </c>
      <c r="J31" s="40" t="n">
        <v>0.05</v>
      </c>
    </row>
    <row r="32" customFormat="false" ht="15" hidden="false" customHeight="false" outlineLevel="0" collapsed="false">
      <c r="A32" s="37" t="s">
        <v>175</v>
      </c>
      <c r="B32" s="42" t="n">
        <v>45682</v>
      </c>
      <c r="C32" s="37" t="s">
        <v>144</v>
      </c>
      <c r="D32" s="37" t="s">
        <v>45</v>
      </c>
      <c r="E32" s="37" t="s">
        <v>96</v>
      </c>
      <c r="F32" s="37" t="s">
        <v>119</v>
      </c>
      <c r="G32" s="37" t="s">
        <v>91</v>
      </c>
      <c r="H32" s="37" t="n">
        <v>3</v>
      </c>
      <c r="I32" s="43" t="n">
        <v>1099</v>
      </c>
      <c r="J32" s="40" t="n">
        <v>0.2</v>
      </c>
    </row>
    <row r="33" customFormat="false" ht="15" hidden="false" customHeight="false" outlineLevel="0" collapsed="false">
      <c r="A33" s="37" t="s">
        <v>176</v>
      </c>
      <c r="B33" s="42" t="n">
        <v>45665</v>
      </c>
      <c r="C33" s="37" t="s">
        <v>169</v>
      </c>
      <c r="D33" s="37" t="s">
        <v>44</v>
      </c>
      <c r="E33" s="37" t="s">
        <v>96</v>
      </c>
      <c r="F33" s="37" t="s">
        <v>116</v>
      </c>
      <c r="G33" s="37" t="s">
        <v>91</v>
      </c>
      <c r="H33" s="37" t="n">
        <v>1</v>
      </c>
      <c r="I33" s="43" t="n">
        <v>899</v>
      </c>
      <c r="J33" s="40" t="n">
        <v>0.15</v>
      </c>
    </row>
    <row r="34" customFormat="false" ht="15" hidden="false" customHeight="false" outlineLevel="0" collapsed="false">
      <c r="A34" s="37" t="s">
        <v>177</v>
      </c>
      <c r="B34" s="42" t="n">
        <v>45680</v>
      </c>
      <c r="C34" s="37" t="s">
        <v>172</v>
      </c>
      <c r="D34" s="37" t="s">
        <v>46</v>
      </c>
      <c r="E34" s="37" t="s">
        <v>96</v>
      </c>
      <c r="F34" s="37" t="s">
        <v>119</v>
      </c>
      <c r="G34" s="37" t="s">
        <v>91</v>
      </c>
      <c r="H34" s="37" t="n">
        <v>2</v>
      </c>
      <c r="I34" s="43" t="n">
        <v>1099</v>
      </c>
      <c r="J34" s="40" t="n">
        <v>0</v>
      </c>
    </row>
    <row r="35" customFormat="false" ht="15" hidden="false" customHeight="false" outlineLevel="0" collapsed="false">
      <c r="A35" s="37" t="s">
        <v>178</v>
      </c>
      <c r="B35" s="42" t="n">
        <v>45668</v>
      </c>
      <c r="C35" s="37" t="s">
        <v>169</v>
      </c>
      <c r="D35" s="37" t="s">
        <v>44</v>
      </c>
      <c r="E35" s="37" t="s">
        <v>96</v>
      </c>
      <c r="F35" s="37" t="s">
        <v>114</v>
      </c>
      <c r="G35" s="37" t="s">
        <v>92</v>
      </c>
      <c r="H35" s="37" t="n">
        <v>2</v>
      </c>
      <c r="I35" s="43" t="n">
        <v>1199</v>
      </c>
      <c r="J35" s="40" t="n">
        <v>0.1</v>
      </c>
    </row>
    <row r="36" customFormat="false" ht="15" hidden="false" customHeight="false" outlineLevel="0" collapsed="false">
      <c r="A36" s="37" t="s">
        <v>179</v>
      </c>
      <c r="B36" s="42" t="n">
        <v>45688</v>
      </c>
      <c r="C36" s="37" t="s">
        <v>136</v>
      </c>
      <c r="D36" s="37" t="s">
        <v>47</v>
      </c>
      <c r="E36" s="37" t="s">
        <v>1152</v>
      </c>
      <c r="F36" s="37" t="s">
        <v>113</v>
      </c>
      <c r="G36" s="37" t="s">
        <v>92</v>
      </c>
      <c r="H36" s="37" t="n">
        <v>1</v>
      </c>
      <c r="I36" s="43" t="n">
        <v>2199</v>
      </c>
      <c r="J36" s="40" t="n">
        <v>0.1</v>
      </c>
    </row>
    <row r="37" customFormat="false" ht="15" hidden="false" customHeight="false" outlineLevel="0" collapsed="false">
      <c r="A37" s="37" t="s">
        <v>180</v>
      </c>
      <c r="B37" s="42" t="n">
        <v>45674</v>
      </c>
      <c r="C37" s="37" t="s">
        <v>146</v>
      </c>
      <c r="D37" s="37" t="s">
        <v>45</v>
      </c>
      <c r="E37" s="37" t="s">
        <v>96</v>
      </c>
      <c r="F37" s="37" t="s">
        <v>121</v>
      </c>
      <c r="G37" s="37" t="s">
        <v>93</v>
      </c>
      <c r="H37" s="37" t="n">
        <v>1</v>
      </c>
      <c r="I37" s="43" t="n">
        <v>999</v>
      </c>
      <c r="J37" s="40" t="n">
        <v>0.1</v>
      </c>
    </row>
    <row r="38" customFormat="false" ht="15" hidden="false" customHeight="false" outlineLevel="0" collapsed="false">
      <c r="A38" s="37" t="s">
        <v>181</v>
      </c>
      <c r="B38" s="42" t="n">
        <v>45685</v>
      </c>
      <c r="C38" s="37"/>
      <c r="D38" s="37" t="s">
        <v>44</v>
      </c>
      <c r="E38" s="37" t="s">
        <v>97</v>
      </c>
      <c r="F38" s="37" t="s">
        <v>112</v>
      </c>
      <c r="G38" s="37" t="s">
        <v>92</v>
      </c>
      <c r="H38" s="37" t="n">
        <v>2</v>
      </c>
      <c r="I38" s="43" t="n">
        <v>3299</v>
      </c>
      <c r="J38" s="40" t="n">
        <v>0.1</v>
      </c>
    </row>
    <row r="39" customFormat="false" ht="15" hidden="false" customHeight="false" outlineLevel="0" collapsed="false">
      <c r="A39" s="37" t="s">
        <v>183</v>
      </c>
      <c r="B39" s="42" t="n">
        <v>45686</v>
      </c>
      <c r="C39" s="37" t="s">
        <v>160</v>
      </c>
      <c r="D39" s="37" t="s">
        <v>46</v>
      </c>
      <c r="E39" s="37" t="s">
        <v>97</v>
      </c>
      <c r="F39" s="37" t="s">
        <v>119</v>
      </c>
      <c r="G39" s="37" t="s">
        <v>91</v>
      </c>
      <c r="H39" s="37" t="n">
        <v>2</v>
      </c>
      <c r="I39" s="43" t="n">
        <v>1099</v>
      </c>
      <c r="J39" s="40" t="n">
        <v>0.1</v>
      </c>
    </row>
    <row r="40" customFormat="false" ht="15" hidden="false" customHeight="false" outlineLevel="0" collapsed="false">
      <c r="A40" s="37" t="s">
        <v>184</v>
      </c>
      <c r="B40" s="42" t="n">
        <v>45668</v>
      </c>
      <c r="C40" s="37" t="s">
        <v>142</v>
      </c>
      <c r="D40" s="37" t="s">
        <v>47</v>
      </c>
      <c r="E40" s="37" t="s">
        <v>97</v>
      </c>
      <c r="F40" s="37" t="s">
        <v>122</v>
      </c>
      <c r="G40" s="37" t="s">
        <v>93</v>
      </c>
      <c r="H40" s="37" t="n">
        <v>1</v>
      </c>
      <c r="I40" s="43" t="n">
        <v>1799</v>
      </c>
      <c r="J40" s="40" t="n">
        <v>0.15</v>
      </c>
    </row>
    <row r="41" customFormat="false" ht="15" hidden="false" customHeight="false" outlineLevel="0" collapsed="false">
      <c r="A41" s="37" t="s">
        <v>185</v>
      </c>
      <c r="B41" s="42" t="n">
        <v>45676</v>
      </c>
      <c r="C41" s="37" t="s">
        <v>136</v>
      </c>
      <c r="D41" s="37" t="s">
        <v>47</v>
      </c>
      <c r="E41" s="37" t="s">
        <v>96</v>
      </c>
      <c r="F41" s="37" t="s">
        <v>111</v>
      </c>
      <c r="G41" s="37" t="s">
        <v>90</v>
      </c>
      <c r="H41" s="37" t="n">
        <v>1</v>
      </c>
      <c r="I41" s="43" t="n">
        <v>2499</v>
      </c>
      <c r="J41" s="40" t="n">
        <v>0.15</v>
      </c>
    </row>
    <row r="42" customFormat="false" ht="15" hidden="false" customHeight="false" outlineLevel="0" collapsed="false">
      <c r="A42" s="37" t="s">
        <v>186</v>
      </c>
      <c r="B42" s="42" t="n">
        <v>45672</v>
      </c>
      <c r="C42" s="37" t="s">
        <v>144</v>
      </c>
      <c r="D42" s="37" t="s">
        <v>45</v>
      </c>
      <c r="E42" s="37" t="s">
        <v>96</v>
      </c>
      <c r="F42" s="37" t="s">
        <v>123</v>
      </c>
      <c r="G42" s="37" t="s">
        <v>93</v>
      </c>
      <c r="H42" s="37" t="n">
        <v>1</v>
      </c>
      <c r="I42" s="43" t="n">
        <v>1299</v>
      </c>
      <c r="J42" s="40" t="n">
        <v>0.2</v>
      </c>
    </row>
    <row r="43" customFormat="false" ht="15" hidden="false" customHeight="false" outlineLevel="0" collapsed="false">
      <c r="A43" s="37" t="s">
        <v>187</v>
      </c>
      <c r="B43" s="42" t="n">
        <v>45685</v>
      </c>
      <c r="C43" s="37" t="s">
        <v>136</v>
      </c>
      <c r="D43" s="37" t="s">
        <v>47</v>
      </c>
      <c r="E43" s="37" t="s">
        <v>96</v>
      </c>
      <c r="F43" s="37" t="s">
        <v>116</v>
      </c>
      <c r="G43" s="37" t="s">
        <v>91</v>
      </c>
      <c r="H43" s="37" t="n">
        <v>1</v>
      </c>
      <c r="I43" s="43" t="n">
        <v>899</v>
      </c>
      <c r="J43" s="40" t="n">
        <v>0.1</v>
      </c>
    </row>
    <row r="44" customFormat="false" ht="15" hidden="false" customHeight="false" outlineLevel="0" collapsed="false">
      <c r="A44" s="37" t="s">
        <v>188</v>
      </c>
      <c r="B44" s="42" t="n">
        <v>45669</v>
      </c>
      <c r="C44" s="37" t="s">
        <v>140</v>
      </c>
      <c r="D44" s="37" t="s">
        <v>44</v>
      </c>
      <c r="E44" s="37" t="s">
        <v>96</v>
      </c>
      <c r="F44" s="37" t="s">
        <v>117</v>
      </c>
      <c r="G44" s="37" t="s">
        <v>91</v>
      </c>
      <c r="H44" s="37" t="n">
        <v>1</v>
      </c>
      <c r="I44" s="43" t="n">
        <v>1499</v>
      </c>
      <c r="J44" s="40" t="n">
        <v>0.25</v>
      </c>
    </row>
    <row r="45" customFormat="false" ht="15" hidden="false" customHeight="false" outlineLevel="0" collapsed="false">
      <c r="A45" s="37" t="s">
        <v>189</v>
      </c>
      <c r="B45" s="42" t="n">
        <v>45662</v>
      </c>
      <c r="C45" s="37" t="s">
        <v>154</v>
      </c>
      <c r="D45" s="37" t="s">
        <v>47</v>
      </c>
      <c r="E45" s="37" t="s">
        <v>97</v>
      </c>
      <c r="F45" s="37" t="s">
        <v>110</v>
      </c>
      <c r="G45" s="37" t="s">
        <v>90</v>
      </c>
      <c r="H45" s="37" t="n">
        <v>2</v>
      </c>
      <c r="I45" s="43" t="n">
        <v>1299</v>
      </c>
      <c r="J45" s="40" t="n">
        <v>0</v>
      </c>
    </row>
    <row r="46" customFormat="false" ht="15" hidden="false" customHeight="false" outlineLevel="0" collapsed="false">
      <c r="A46" s="37" t="s">
        <v>190</v>
      </c>
      <c r="B46" s="42" t="n">
        <v>45671</v>
      </c>
      <c r="C46" s="37" t="s">
        <v>142</v>
      </c>
      <c r="D46" s="37" t="s">
        <v>47</v>
      </c>
      <c r="E46" s="37" t="s">
        <v>96</v>
      </c>
      <c r="F46" s="37" t="s">
        <v>116</v>
      </c>
      <c r="G46" s="37" t="s">
        <v>91</v>
      </c>
      <c r="H46" s="37" t="n">
        <v>2</v>
      </c>
      <c r="I46" s="43" t="n">
        <v>899</v>
      </c>
      <c r="J46" s="40" t="n">
        <v>0.05</v>
      </c>
    </row>
    <row r="47" customFormat="false" ht="15" hidden="false" customHeight="false" outlineLevel="0" collapsed="false">
      <c r="A47" s="37" t="s">
        <v>191</v>
      </c>
      <c r="B47" s="42" t="n">
        <v>45683</v>
      </c>
      <c r="C47" s="37" t="s">
        <v>140</v>
      </c>
      <c r="D47" s="37" t="s">
        <v>44</v>
      </c>
      <c r="E47" s="37" t="s">
        <v>97</v>
      </c>
      <c r="F47" s="37" t="s">
        <v>113</v>
      </c>
      <c r="G47" s="37" t="s">
        <v>92</v>
      </c>
      <c r="H47" s="37" t="n">
        <v>1</v>
      </c>
      <c r="I47" s="43" t="n">
        <v>2199</v>
      </c>
      <c r="J47" s="40" t="n">
        <v>0</v>
      </c>
    </row>
    <row r="48" customFormat="false" ht="15" hidden="false" customHeight="false" outlineLevel="0" collapsed="false">
      <c r="A48" s="37" t="s">
        <v>192</v>
      </c>
      <c r="B48" s="42" t="n">
        <v>45669</v>
      </c>
      <c r="C48" s="37"/>
      <c r="D48" s="37" t="s">
        <v>45</v>
      </c>
      <c r="E48" s="37" t="s">
        <v>97</v>
      </c>
      <c r="F48" s="37" t="s">
        <v>113</v>
      </c>
      <c r="G48" s="37" t="s">
        <v>92</v>
      </c>
      <c r="H48" s="37" t="n">
        <v>1</v>
      </c>
      <c r="I48" s="43" t="n">
        <v>2199</v>
      </c>
      <c r="J48" s="40" t="n">
        <v>0.15</v>
      </c>
    </row>
    <row r="49" customFormat="false" ht="15" hidden="false" customHeight="false" outlineLevel="0" collapsed="false">
      <c r="A49" s="37" t="s">
        <v>193</v>
      </c>
      <c r="B49" s="42" t="n">
        <v>45687</v>
      </c>
      <c r="C49" s="37" t="s">
        <v>166</v>
      </c>
      <c r="D49" s="37" t="s">
        <v>44</v>
      </c>
      <c r="E49" s="37" t="s">
        <v>97</v>
      </c>
      <c r="F49" s="37" t="s">
        <v>109</v>
      </c>
      <c r="G49" s="37" t="s">
        <v>90</v>
      </c>
      <c r="H49" s="37" t="n">
        <v>1</v>
      </c>
      <c r="I49" s="43" t="n">
        <v>3499</v>
      </c>
      <c r="J49" s="40" t="n">
        <v>0.05</v>
      </c>
    </row>
    <row r="50" customFormat="false" ht="15" hidden="false" customHeight="false" outlineLevel="0" collapsed="false">
      <c r="A50" s="37" t="s">
        <v>194</v>
      </c>
      <c r="B50" s="42" t="n">
        <v>45674</v>
      </c>
      <c r="C50" s="37" t="s">
        <v>160</v>
      </c>
      <c r="D50" s="37" t="s">
        <v>46</v>
      </c>
      <c r="E50" s="37" t="s">
        <v>96</v>
      </c>
      <c r="F50" s="37" t="s">
        <v>119</v>
      </c>
      <c r="G50" s="37" t="s">
        <v>91</v>
      </c>
      <c r="H50" s="37" t="n">
        <v>1</v>
      </c>
      <c r="I50" s="43" t="n">
        <v>1099</v>
      </c>
      <c r="J50" s="40" t="n">
        <v>0</v>
      </c>
    </row>
    <row r="51" customFormat="false" ht="15" hidden="false" customHeight="false" outlineLevel="0" collapsed="false">
      <c r="A51" s="37" t="s">
        <v>195</v>
      </c>
      <c r="B51" s="42" t="n">
        <v>45673</v>
      </c>
      <c r="C51" s="37" t="s">
        <v>144</v>
      </c>
      <c r="D51" s="37" t="s">
        <v>45</v>
      </c>
      <c r="E51" s="37" t="s">
        <v>97</v>
      </c>
      <c r="F51" s="37" t="s">
        <v>113</v>
      </c>
      <c r="G51" s="37" t="s">
        <v>92</v>
      </c>
      <c r="H51" s="37" t="n">
        <v>1</v>
      </c>
      <c r="I51" s="43" t="n">
        <v>2199</v>
      </c>
      <c r="J51" s="40" t="n">
        <v>0</v>
      </c>
    </row>
    <row r="52" customFormat="false" ht="15" hidden="false" customHeight="false" outlineLevel="0" collapsed="false">
      <c r="A52" s="37" t="s">
        <v>196</v>
      </c>
      <c r="B52" s="42" t="n">
        <v>45687</v>
      </c>
      <c r="C52" s="37" t="s">
        <v>136</v>
      </c>
      <c r="D52" s="37" t="s">
        <v>47</v>
      </c>
      <c r="E52" s="37" t="s">
        <v>96</v>
      </c>
      <c r="F52" s="37" t="s">
        <v>108</v>
      </c>
      <c r="G52" s="37" t="s">
        <v>90</v>
      </c>
      <c r="H52" s="37" t="n">
        <v>1</v>
      </c>
      <c r="I52" s="43" t="n">
        <v>1999</v>
      </c>
      <c r="J52" s="40" t="n">
        <v>0.2</v>
      </c>
    </row>
    <row r="53" customFormat="false" ht="15" hidden="false" customHeight="false" outlineLevel="0" collapsed="false">
      <c r="A53" s="37" t="s">
        <v>197</v>
      </c>
      <c r="B53" s="42" t="n">
        <v>45669</v>
      </c>
      <c r="C53" s="37" t="s">
        <v>142</v>
      </c>
      <c r="D53" s="37" t="s">
        <v>47</v>
      </c>
      <c r="E53" s="37" t="s">
        <v>1153</v>
      </c>
      <c r="F53" s="37" t="s">
        <v>117</v>
      </c>
      <c r="G53" s="37" t="s">
        <v>91</v>
      </c>
      <c r="H53" s="37" t="n">
        <v>1</v>
      </c>
      <c r="I53" s="43" t="n">
        <v>1499</v>
      </c>
      <c r="J53" s="40" t="n">
        <v>0</v>
      </c>
    </row>
    <row r="54" customFormat="false" ht="15" hidden="false" customHeight="false" outlineLevel="0" collapsed="false">
      <c r="A54" s="37" t="s">
        <v>198</v>
      </c>
      <c r="B54" s="42" t="n">
        <v>45686</v>
      </c>
      <c r="C54" s="37" t="s">
        <v>136</v>
      </c>
      <c r="D54" s="37" t="s">
        <v>47</v>
      </c>
      <c r="E54" s="37" t="s">
        <v>97</v>
      </c>
      <c r="F54" s="37" t="s">
        <v>118</v>
      </c>
      <c r="G54" s="37" t="s">
        <v>91</v>
      </c>
      <c r="H54" s="37" t="n">
        <v>2</v>
      </c>
      <c r="I54" s="43" t="n">
        <v>2299</v>
      </c>
      <c r="J54" s="40" t="n">
        <v>0</v>
      </c>
    </row>
    <row r="55" customFormat="false" ht="15" hidden="false" customHeight="false" outlineLevel="0" collapsed="false">
      <c r="A55" s="37" t="s">
        <v>199</v>
      </c>
      <c r="B55" s="42" t="n">
        <v>45659</v>
      </c>
      <c r="C55" s="37" t="s">
        <v>142</v>
      </c>
      <c r="D55" s="37" t="s">
        <v>47</v>
      </c>
      <c r="E55" s="37" t="s">
        <v>97</v>
      </c>
      <c r="F55" s="37" t="s">
        <v>114</v>
      </c>
      <c r="G55" s="37" t="s">
        <v>92</v>
      </c>
      <c r="H55" s="37" t="n">
        <v>2</v>
      </c>
      <c r="I55" s="43" t="n">
        <v>1199</v>
      </c>
      <c r="J55" s="40" t="n">
        <v>0.1</v>
      </c>
    </row>
    <row r="56" customFormat="false" ht="15" hidden="false" customHeight="false" outlineLevel="0" collapsed="false">
      <c r="A56" s="37" t="s">
        <v>200</v>
      </c>
      <c r="B56" s="42" t="n">
        <v>45677</v>
      </c>
      <c r="C56" s="37" t="s">
        <v>166</v>
      </c>
      <c r="D56" s="37" t="s">
        <v>44</v>
      </c>
      <c r="E56" s="37" t="s">
        <v>96</v>
      </c>
      <c r="F56" s="37" t="s">
        <v>116</v>
      </c>
      <c r="G56" s="37" t="s">
        <v>91</v>
      </c>
      <c r="H56" s="37" t="n">
        <v>1</v>
      </c>
      <c r="I56" s="43" t="n">
        <v>899</v>
      </c>
      <c r="J56" s="40" t="n">
        <v>0</v>
      </c>
    </row>
    <row r="57" customFormat="false" ht="15" hidden="false" customHeight="false" outlineLevel="0" collapsed="false">
      <c r="A57" s="37" t="s">
        <v>201</v>
      </c>
      <c r="B57" s="42" t="n">
        <v>45681</v>
      </c>
      <c r="C57" s="37" t="s">
        <v>169</v>
      </c>
      <c r="D57" s="37" t="s">
        <v>44</v>
      </c>
      <c r="E57" s="37" t="s">
        <v>96</v>
      </c>
      <c r="F57" s="37" t="s">
        <v>123</v>
      </c>
      <c r="G57" s="37" t="s">
        <v>93</v>
      </c>
      <c r="H57" s="37" t="n">
        <v>1</v>
      </c>
      <c r="I57" s="43" t="n">
        <v>1299</v>
      </c>
      <c r="J57" s="40" t="n">
        <v>0.15</v>
      </c>
    </row>
    <row r="58" customFormat="false" ht="15" hidden="false" customHeight="false" outlineLevel="0" collapsed="false">
      <c r="A58" s="37" t="s">
        <v>202</v>
      </c>
      <c r="B58" s="42" t="n">
        <v>45677</v>
      </c>
      <c r="C58" s="37" t="s">
        <v>144</v>
      </c>
      <c r="D58" s="37" t="s">
        <v>45</v>
      </c>
      <c r="E58" s="37" t="s">
        <v>96</v>
      </c>
      <c r="F58" s="37" t="s">
        <v>121</v>
      </c>
      <c r="G58" s="37" t="s">
        <v>93</v>
      </c>
      <c r="H58" s="37" t="n">
        <v>3</v>
      </c>
      <c r="I58" s="43" t="n">
        <v>999</v>
      </c>
      <c r="J58" s="40" t="n">
        <v>0.1</v>
      </c>
    </row>
    <row r="59" customFormat="false" ht="15" hidden="false" customHeight="false" outlineLevel="0" collapsed="false">
      <c r="A59" s="37" t="s">
        <v>203</v>
      </c>
      <c r="B59" s="42" t="n">
        <v>45668</v>
      </c>
      <c r="C59" s="37" t="s">
        <v>140</v>
      </c>
      <c r="D59" s="37" t="s">
        <v>44</v>
      </c>
      <c r="E59" s="37" t="s">
        <v>96</v>
      </c>
      <c r="F59" s="37" t="s">
        <v>108</v>
      </c>
      <c r="G59" s="37" t="s">
        <v>90</v>
      </c>
      <c r="H59" s="37" t="n">
        <v>3</v>
      </c>
      <c r="I59" s="43" t="n">
        <v>1999</v>
      </c>
      <c r="J59" s="40" t="n">
        <v>0.1</v>
      </c>
    </row>
    <row r="60" customFormat="false" ht="15" hidden="false" customHeight="false" outlineLevel="0" collapsed="false">
      <c r="A60" s="37" t="s">
        <v>204</v>
      </c>
      <c r="B60" s="42" t="n">
        <v>45671</v>
      </c>
      <c r="C60" s="37" t="s">
        <v>169</v>
      </c>
      <c r="D60" s="37" t="s">
        <v>44</v>
      </c>
      <c r="E60" s="37" t="s">
        <v>97</v>
      </c>
      <c r="F60" s="37" t="s">
        <v>117</v>
      </c>
      <c r="G60" s="37" t="s">
        <v>91</v>
      </c>
      <c r="H60" s="37" t="n">
        <v>3</v>
      </c>
      <c r="I60" s="43" t="n">
        <v>1499</v>
      </c>
      <c r="J60" s="40" t="n">
        <v>0</v>
      </c>
    </row>
    <row r="61" customFormat="false" ht="15" hidden="false" customHeight="false" outlineLevel="0" collapsed="false">
      <c r="A61" s="37" t="s">
        <v>205</v>
      </c>
      <c r="B61" s="42" t="n">
        <v>45687</v>
      </c>
      <c r="C61" s="37" t="s">
        <v>134</v>
      </c>
      <c r="D61" s="37" t="s">
        <v>45</v>
      </c>
      <c r="E61" s="37" t="s">
        <v>96</v>
      </c>
      <c r="F61" s="37" t="s">
        <v>113</v>
      </c>
      <c r="G61" s="37" t="s">
        <v>92</v>
      </c>
      <c r="H61" s="37" t="n">
        <v>1</v>
      </c>
      <c r="I61" s="43" t="n">
        <v>2199</v>
      </c>
      <c r="J61" s="40" t="n">
        <v>0.15</v>
      </c>
    </row>
    <row r="62" customFormat="false" ht="15" hidden="false" customHeight="false" outlineLevel="0" collapsed="false">
      <c r="A62" s="37" t="s">
        <v>206</v>
      </c>
      <c r="B62" s="37" t="s">
        <v>1154</v>
      </c>
      <c r="C62" s="37" t="s">
        <v>136</v>
      </c>
      <c r="D62" s="37" t="s">
        <v>47</v>
      </c>
      <c r="E62" s="37" t="s">
        <v>96</v>
      </c>
      <c r="F62" s="37" t="s">
        <v>110</v>
      </c>
      <c r="G62" s="37" t="s">
        <v>90</v>
      </c>
      <c r="H62" s="37" t="n">
        <v>2</v>
      </c>
      <c r="I62" s="43" t="n">
        <v>1299</v>
      </c>
      <c r="J62" s="40" t="n">
        <v>0.2</v>
      </c>
    </row>
    <row r="63" customFormat="false" ht="15" hidden="false" customHeight="false" outlineLevel="0" collapsed="false">
      <c r="A63" s="37" t="s">
        <v>207</v>
      </c>
      <c r="B63" s="42" t="n">
        <v>45662</v>
      </c>
      <c r="C63" s="37" t="s">
        <v>146</v>
      </c>
      <c r="D63" s="37" t="s">
        <v>45</v>
      </c>
      <c r="E63" s="37" t="s">
        <v>97</v>
      </c>
      <c r="F63" s="37" t="s">
        <v>121</v>
      </c>
      <c r="G63" s="37" t="s">
        <v>93</v>
      </c>
      <c r="H63" s="37" t="n">
        <v>1</v>
      </c>
      <c r="I63" s="43" t="n">
        <v>999</v>
      </c>
      <c r="J63" s="40" t="n">
        <v>0.15</v>
      </c>
    </row>
    <row r="64" customFormat="false" ht="15" hidden="false" customHeight="false" outlineLevel="0" collapsed="false">
      <c r="A64" s="37" t="s">
        <v>208</v>
      </c>
      <c r="B64" s="42" t="n">
        <v>45672</v>
      </c>
      <c r="C64" s="37" t="s">
        <v>166</v>
      </c>
      <c r="D64" s="37" t="s">
        <v>44</v>
      </c>
      <c r="E64" s="37" t="s">
        <v>97</v>
      </c>
      <c r="F64" s="37" t="s">
        <v>109</v>
      </c>
      <c r="G64" s="37" t="s">
        <v>90</v>
      </c>
      <c r="H64" s="37" t="n">
        <v>3</v>
      </c>
      <c r="I64" s="43" t="n">
        <v>3499</v>
      </c>
      <c r="J64" s="40" t="n">
        <v>0.1</v>
      </c>
    </row>
    <row r="65" customFormat="false" ht="15" hidden="false" customHeight="false" outlineLevel="0" collapsed="false">
      <c r="A65" s="37" t="s">
        <v>209</v>
      </c>
      <c r="B65" s="42" t="n">
        <v>45683</v>
      </c>
      <c r="C65" s="37" t="s">
        <v>169</v>
      </c>
      <c r="D65" s="37" t="s">
        <v>44</v>
      </c>
      <c r="E65" s="37" t="s">
        <v>1153</v>
      </c>
      <c r="F65" s="37" t="s">
        <v>109</v>
      </c>
      <c r="G65" s="37" t="s">
        <v>90</v>
      </c>
      <c r="H65" s="37" t="n">
        <v>1</v>
      </c>
      <c r="I65" s="43" t="n">
        <v>3499</v>
      </c>
      <c r="J65" s="40" t="n">
        <v>0.15</v>
      </c>
    </row>
    <row r="66" customFormat="false" ht="15" hidden="false" customHeight="false" outlineLevel="0" collapsed="false">
      <c r="A66" s="37" t="s">
        <v>210</v>
      </c>
      <c r="B66" s="42" t="n">
        <v>45686</v>
      </c>
      <c r="C66" s="37" t="s">
        <v>144</v>
      </c>
      <c r="D66" s="37" t="s">
        <v>45</v>
      </c>
      <c r="E66" s="37" t="s">
        <v>97</v>
      </c>
      <c r="F66" s="37" t="s">
        <v>108</v>
      </c>
      <c r="G66" s="37" t="s">
        <v>90</v>
      </c>
      <c r="H66" s="37" t="n">
        <v>3</v>
      </c>
      <c r="I66" s="43" t="n">
        <v>1999</v>
      </c>
      <c r="J66" s="40" t="n">
        <v>0.2</v>
      </c>
    </row>
    <row r="67" customFormat="false" ht="15" hidden="false" customHeight="false" outlineLevel="0" collapsed="false">
      <c r="A67" s="37" t="s">
        <v>211</v>
      </c>
      <c r="B67" s="42" t="n">
        <v>45687</v>
      </c>
      <c r="C67" s="37" t="s">
        <v>1155</v>
      </c>
      <c r="D67" s="37" t="s">
        <v>45</v>
      </c>
      <c r="E67" s="37" t="s">
        <v>97</v>
      </c>
      <c r="F67" s="37" t="s">
        <v>109</v>
      </c>
      <c r="G67" s="37" t="s">
        <v>90</v>
      </c>
      <c r="H67" s="37" t="n">
        <v>3</v>
      </c>
      <c r="I67" s="43" t="n">
        <v>3499</v>
      </c>
      <c r="J67" s="40" t="n">
        <v>0.1</v>
      </c>
    </row>
    <row r="68" customFormat="false" ht="15" hidden="false" customHeight="false" outlineLevel="0" collapsed="false">
      <c r="A68" s="37" t="s">
        <v>212</v>
      </c>
      <c r="B68" s="42" t="n">
        <v>45666</v>
      </c>
      <c r="C68" s="37" t="s">
        <v>140</v>
      </c>
      <c r="D68" s="37" t="s">
        <v>44</v>
      </c>
      <c r="E68" s="37" t="s">
        <v>96</v>
      </c>
      <c r="F68" s="37" t="s">
        <v>117</v>
      </c>
      <c r="G68" s="37" t="s">
        <v>91</v>
      </c>
      <c r="H68" s="37" t="n">
        <v>1</v>
      </c>
      <c r="I68" s="43" t="n">
        <v>1499</v>
      </c>
      <c r="J68" s="40" t="n">
        <v>0</v>
      </c>
    </row>
    <row r="69" customFormat="false" ht="15" hidden="false" customHeight="false" outlineLevel="0" collapsed="false">
      <c r="A69" s="37" t="s">
        <v>213</v>
      </c>
      <c r="B69" s="42" t="n">
        <v>45688</v>
      </c>
      <c r="C69" s="37" t="s">
        <v>134</v>
      </c>
      <c r="D69" s="37" t="s">
        <v>45</v>
      </c>
      <c r="E69" s="37" t="s">
        <v>97</v>
      </c>
      <c r="F69" s="37" t="s">
        <v>113</v>
      </c>
      <c r="G69" s="37" t="s">
        <v>92</v>
      </c>
      <c r="H69" s="37" t="n">
        <v>3</v>
      </c>
      <c r="I69" s="43" t="n">
        <v>2199</v>
      </c>
      <c r="J69" s="40" t="n">
        <v>0.1</v>
      </c>
    </row>
    <row r="70" customFormat="false" ht="15" hidden="false" customHeight="false" outlineLevel="0" collapsed="false">
      <c r="A70" s="37" t="s">
        <v>214</v>
      </c>
      <c r="B70" s="42" t="n">
        <v>45674</v>
      </c>
      <c r="C70" s="37" t="s">
        <v>160</v>
      </c>
      <c r="D70" s="37" t="s">
        <v>46</v>
      </c>
      <c r="E70" s="37" t="s">
        <v>96</v>
      </c>
      <c r="F70" s="37" t="s">
        <v>116</v>
      </c>
      <c r="G70" s="37" t="s">
        <v>91</v>
      </c>
      <c r="H70" s="37" t="n">
        <v>1</v>
      </c>
      <c r="I70" s="43" t="n">
        <v>899</v>
      </c>
      <c r="J70" s="40" t="n">
        <v>0.2</v>
      </c>
    </row>
    <row r="71" customFormat="false" ht="15" hidden="false" customHeight="false" outlineLevel="0" collapsed="false">
      <c r="A71" s="37" t="s">
        <v>215</v>
      </c>
      <c r="B71" s="42" t="n">
        <v>45675</v>
      </c>
      <c r="C71" s="37" t="s">
        <v>144</v>
      </c>
      <c r="D71" s="37" t="s">
        <v>45</v>
      </c>
      <c r="E71" s="37" t="s">
        <v>96</v>
      </c>
      <c r="F71" s="37" t="s">
        <v>119</v>
      </c>
      <c r="G71" s="37" t="s">
        <v>91</v>
      </c>
      <c r="H71" s="37" t="n">
        <v>1</v>
      </c>
      <c r="I71" s="43" t="n">
        <v>1099</v>
      </c>
      <c r="J71" s="40" t="n">
        <v>0.15</v>
      </c>
    </row>
    <row r="72" customFormat="false" ht="15" hidden="false" customHeight="false" outlineLevel="0" collapsed="false">
      <c r="A72" s="37" t="s">
        <v>216</v>
      </c>
      <c r="B72" s="42" t="n">
        <v>45691</v>
      </c>
      <c r="C72" s="37" t="s">
        <v>169</v>
      </c>
      <c r="D72" s="37" t="s">
        <v>44</v>
      </c>
      <c r="E72" s="37" t="s">
        <v>97</v>
      </c>
      <c r="F72" s="37" t="s">
        <v>120</v>
      </c>
      <c r="G72" s="37" t="s">
        <v>93</v>
      </c>
      <c r="H72" s="37" t="n">
        <v>2</v>
      </c>
      <c r="I72" s="43" t="n">
        <v>449</v>
      </c>
      <c r="J72" s="40" t="n">
        <v>0.15</v>
      </c>
    </row>
    <row r="73" customFormat="false" ht="15" hidden="false" customHeight="false" outlineLevel="0" collapsed="false">
      <c r="A73" s="37" t="s">
        <v>217</v>
      </c>
      <c r="B73" s="42" t="n">
        <v>45695</v>
      </c>
      <c r="C73" s="37" t="s">
        <v>146</v>
      </c>
      <c r="D73" s="37" t="s">
        <v>45</v>
      </c>
      <c r="E73" s="37" t="s">
        <v>97</v>
      </c>
      <c r="F73" s="37" t="s">
        <v>116</v>
      </c>
      <c r="G73" s="37" t="s">
        <v>91</v>
      </c>
      <c r="H73" s="37" t="n">
        <v>2</v>
      </c>
      <c r="I73" s="43" t="n">
        <v>899</v>
      </c>
      <c r="J73" s="40" t="n">
        <v>0.05</v>
      </c>
    </row>
    <row r="74" customFormat="false" ht="15" hidden="false" customHeight="false" outlineLevel="0" collapsed="false">
      <c r="A74" s="37" t="s">
        <v>218</v>
      </c>
      <c r="B74" s="42" t="n">
        <v>45696</v>
      </c>
      <c r="C74" s="37" t="s">
        <v>166</v>
      </c>
      <c r="D74" s="37" t="s">
        <v>44</v>
      </c>
      <c r="E74" s="37" t="s">
        <v>96</v>
      </c>
      <c r="F74" s="37" t="s">
        <v>121</v>
      </c>
      <c r="G74" s="37" t="s">
        <v>93</v>
      </c>
      <c r="H74" s="37" t="n">
        <v>1</v>
      </c>
      <c r="I74" s="43" t="n">
        <v>999</v>
      </c>
      <c r="J74" s="40" t="n">
        <v>0.05</v>
      </c>
    </row>
    <row r="75" customFormat="false" ht="15" hidden="false" customHeight="false" outlineLevel="0" collapsed="false">
      <c r="A75" s="37" t="s">
        <v>219</v>
      </c>
      <c r="B75" s="42" t="n">
        <v>45700</v>
      </c>
      <c r="C75" s="37" t="s">
        <v>166</v>
      </c>
      <c r="D75" s="37" t="s">
        <v>44</v>
      </c>
      <c r="E75" s="37" t="s">
        <v>96</v>
      </c>
      <c r="F75" s="37" t="s">
        <v>108</v>
      </c>
      <c r="G75" s="37" t="s">
        <v>90</v>
      </c>
      <c r="H75" s="37" t="n">
        <v>2</v>
      </c>
      <c r="I75" s="43" t="n">
        <v>1999</v>
      </c>
      <c r="J75" s="40" t="n">
        <v>0.1</v>
      </c>
    </row>
    <row r="76" customFormat="false" ht="15" hidden="false" customHeight="false" outlineLevel="0" collapsed="false">
      <c r="A76" s="37" t="s">
        <v>220</v>
      </c>
      <c r="B76" s="42" t="n">
        <v>45707</v>
      </c>
      <c r="C76" s="37" t="s">
        <v>142</v>
      </c>
      <c r="D76" s="37" t="s">
        <v>47</v>
      </c>
      <c r="E76" s="37" t="s">
        <v>1156</v>
      </c>
      <c r="F76" s="37" t="s">
        <v>119</v>
      </c>
      <c r="G76" s="37" t="s">
        <v>91</v>
      </c>
      <c r="H76" s="37" t="n">
        <v>1</v>
      </c>
      <c r="I76" s="43" t="n">
        <v>1099</v>
      </c>
      <c r="J76" s="40" t="n">
        <v>0.1</v>
      </c>
    </row>
    <row r="77" customFormat="false" ht="15" hidden="false" customHeight="false" outlineLevel="0" collapsed="false">
      <c r="A77" s="37" t="s">
        <v>221</v>
      </c>
      <c r="B77" s="42" t="n">
        <v>45714</v>
      </c>
      <c r="C77" s="37" t="s">
        <v>134</v>
      </c>
      <c r="D77" s="37" t="s">
        <v>45</v>
      </c>
      <c r="E77" s="37" t="s">
        <v>96</v>
      </c>
      <c r="F77" s="37" t="s">
        <v>114</v>
      </c>
      <c r="G77" s="37" t="s">
        <v>92</v>
      </c>
      <c r="H77" s="37" t="n">
        <v>2</v>
      </c>
      <c r="I77" s="43" t="n">
        <v>1199</v>
      </c>
      <c r="J77" s="40" t="n">
        <v>0.1</v>
      </c>
    </row>
    <row r="78" customFormat="false" ht="15" hidden="false" customHeight="false" outlineLevel="0" collapsed="false">
      <c r="A78" s="37" t="s">
        <v>222</v>
      </c>
      <c r="B78" s="42" t="n">
        <v>45708</v>
      </c>
      <c r="C78" s="37" t="s">
        <v>136</v>
      </c>
      <c r="D78" s="37" t="s">
        <v>47</v>
      </c>
      <c r="E78" s="37" t="s">
        <v>96</v>
      </c>
      <c r="F78" s="37" t="s">
        <v>120</v>
      </c>
      <c r="G78" s="37" t="s">
        <v>93</v>
      </c>
      <c r="H78" s="37" t="n">
        <v>1</v>
      </c>
      <c r="I78" s="43" t="n">
        <v>449</v>
      </c>
      <c r="J78" s="40" t="n">
        <v>0.1</v>
      </c>
    </row>
    <row r="79" customFormat="false" ht="15" hidden="false" customHeight="false" outlineLevel="0" collapsed="false">
      <c r="A79" s="37" t="s">
        <v>223</v>
      </c>
      <c r="B79" s="42" t="n">
        <v>45713</v>
      </c>
      <c r="C79" s="37" t="s">
        <v>142</v>
      </c>
      <c r="D79" s="37" t="s">
        <v>47</v>
      </c>
      <c r="E79" s="37" t="s">
        <v>96</v>
      </c>
      <c r="F79" s="37" t="s">
        <v>118</v>
      </c>
      <c r="G79" s="37" t="s">
        <v>91</v>
      </c>
      <c r="H79" s="37" t="n">
        <v>2</v>
      </c>
      <c r="I79" s="43" t="n">
        <v>2299</v>
      </c>
      <c r="J79" s="40" t="n">
        <v>0.3</v>
      </c>
    </row>
    <row r="80" customFormat="false" ht="15" hidden="false" customHeight="false" outlineLevel="0" collapsed="false">
      <c r="A80" s="37" t="s">
        <v>224</v>
      </c>
      <c r="B80" s="42" t="n">
        <v>45703</v>
      </c>
      <c r="C80" s="37" t="s">
        <v>146</v>
      </c>
      <c r="D80" s="37" t="s">
        <v>45</v>
      </c>
      <c r="E80" s="37" t="s">
        <v>96</v>
      </c>
      <c r="F80" s="37" t="s">
        <v>113</v>
      </c>
      <c r="G80" s="37" t="s">
        <v>92</v>
      </c>
      <c r="H80" s="37" t="n">
        <v>1</v>
      </c>
      <c r="I80" s="43" t="n">
        <v>2199</v>
      </c>
      <c r="J80" s="40" t="n">
        <v>0.2</v>
      </c>
    </row>
    <row r="81" customFormat="false" ht="15" hidden="false" customHeight="false" outlineLevel="0" collapsed="false">
      <c r="A81" s="37" t="s">
        <v>225</v>
      </c>
      <c r="B81" s="42" t="n">
        <v>45707</v>
      </c>
      <c r="C81" s="37" t="s">
        <v>138</v>
      </c>
      <c r="D81" s="37" t="s">
        <v>46</v>
      </c>
      <c r="E81" s="37" t="s">
        <v>96</v>
      </c>
      <c r="F81" s="37" t="s">
        <v>108</v>
      </c>
      <c r="G81" s="37" t="s">
        <v>90</v>
      </c>
      <c r="H81" s="37" t="n">
        <v>3</v>
      </c>
      <c r="I81" s="43" t="n">
        <v>1999</v>
      </c>
      <c r="J81" s="40" t="n">
        <v>0.15</v>
      </c>
    </row>
    <row r="82" customFormat="false" ht="15" hidden="false" customHeight="false" outlineLevel="0" collapsed="false">
      <c r="A82" s="37" t="s">
        <v>226</v>
      </c>
      <c r="B82" s="42" t="n">
        <v>45711</v>
      </c>
      <c r="C82" s="37" t="s">
        <v>140</v>
      </c>
      <c r="D82" s="37" t="s">
        <v>44</v>
      </c>
      <c r="E82" s="37" t="s">
        <v>97</v>
      </c>
      <c r="F82" s="37" t="s">
        <v>118</v>
      </c>
      <c r="G82" s="37" t="s">
        <v>91</v>
      </c>
      <c r="H82" s="37" t="n">
        <v>5</v>
      </c>
      <c r="I82" s="43" t="n">
        <v>2299</v>
      </c>
      <c r="J82" s="40" t="n">
        <v>0.1</v>
      </c>
    </row>
    <row r="83" customFormat="false" ht="15" hidden="false" customHeight="false" outlineLevel="0" collapsed="false">
      <c r="A83" s="37" t="s">
        <v>227</v>
      </c>
      <c r="B83" s="42" t="n">
        <v>45714</v>
      </c>
      <c r="C83" s="37" t="s">
        <v>140</v>
      </c>
      <c r="D83" s="37" t="s">
        <v>44</v>
      </c>
      <c r="E83" s="37" t="s">
        <v>96</v>
      </c>
      <c r="F83" s="37" t="s">
        <v>113</v>
      </c>
      <c r="G83" s="37" t="s">
        <v>92</v>
      </c>
      <c r="H83" s="37" t="n">
        <v>2</v>
      </c>
      <c r="I83" s="43" t="n">
        <v>2199</v>
      </c>
      <c r="J83" s="40" t="n">
        <v>0</v>
      </c>
    </row>
    <row r="84" customFormat="false" ht="15" hidden="false" customHeight="false" outlineLevel="0" collapsed="false">
      <c r="A84" s="37" t="s">
        <v>228</v>
      </c>
      <c r="B84" s="42" t="n">
        <v>45709</v>
      </c>
      <c r="C84" s="37" t="s">
        <v>136</v>
      </c>
      <c r="D84" s="37" t="s">
        <v>47</v>
      </c>
      <c r="E84" s="37" t="s">
        <v>96</v>
      </c>
      <c r="F84" s="37" t="s">
        <v>109</v>
      </c>
      <c r="G84" s="37" t="s">
        <v>90</v>
      </c>
      <c r="H84" s="37" t="n">
        <v>1</v>
      </c>
      <c r="I84" s="43" t="n">
        <v>3499</v>
      </c>
      <c r="J84" s="40" t="n">
        <v>0.15</v>
      </c>
    </row>
    <row r="85" customFormat="false" ht="15" hidden="false" customHeight="false" outlineLevel="0" collapsed="false">
      <c r="A85" s="37" t="s">
        <v>229</v>
      </c>
      <c r="B85" s="42" t="n">
        <v>45697</v>
      </c>
      <c r="C85" s="37" t="s">
        <v>169</v>
      </c>
      <c r="D85" s="37" t="s">
        <v>44</v>
      </c>
      <c r="E85" s="37" t="s">
        <v>96</v>
      </c>
      <c r="F85" s="37" t="s">
        <v>117</v>
      </c>
      <c r="G85" s="37" t="s">
        <v>91</v>
      </c>
      <c r="H85" s="37" t="n">
        <v>1</v>
      </c>
      <c r="I85" s="43" t="n">
        <v>1499</v>
      </c>
      <c r="J85" s="40" t="n">
        <v>0.25</v>
      </c>
    </row>
    <row r="86" customFormat="false" ht="15" hidden="false" customHeight="false" outlineLevel="0" collapsed="false">
      <c r="A86" s="37" t="s">
        <v>230</v>
      </c>
      <c r="B86" s="42" t="n">
        <v>45710</v>
      </c>
      <c r="C86" s="37" t="s">
        <v>142</v>
      </c>
      <c r="D86" s="37" t="s">
        <v>47</v>
      </c>
      <c r="E86" s="37" t="s">
        <v>96</v>
      </c>
      <c r="F86" s="37" t="s">
        <v>112</v>
      </c>
      <c r="G86" s="37" t="s">
        <v>92</v>
      </c>
      <c r="H86" s="37" t="n">
        <v>2</v>
      </c>
      <c r="I86" s="43" t="n">
        <v>3299</v>
      </c>
      <c r="J86" s="40" t="n">
        <v>0</v>
      </c>
    </row>
    <row r="87" customFormat="false" ht="15" hidden="false" customHeight="false" outlineLevel="0" collapsed="false">
      <c r="A87" s="37" t="s">
        <v>231</v>
      </c>
      <c r="B87" s="42" t="n">
        <v>45692</v>
      </c>
      <c r="C87" s="37" t="s">
        <v>1155</v>
      </c>
      <c r="D87" s="37" t="s">
        <v>45</v>
      </c>
      <c r="E87" s="37" t="s">
        <v>96</v>
      </c>
      <c r="F87" s="37" t="s">
        <v>115</v>
      </c>
      <c r="G87" s="37" t="s">
        <v>92</v>
      </c>
      <c r="H87" s="37" t="n">
        <v>1</v>
      </c>
      <c r="I87" s="43" t="n">
        <v>1799</v>
      </c>
      <c r="J87" s="40" t="n">
        <v>0.2</v>
      </c>
    </row>
    <row r="88" customFormat="false" ht="15" hidden="false" customHeight="false" outlineLevel="0" collapsed="false">
      <c r="A88" s="37" t="s">
        <v>232</v>
      </c>
      <c r="B88" s="42" t="n">
        <v>45700</v>
      </c>
      <c r="C88" s="37" t="s">
        <v>169</v>
      </c>
      <c r="D88" s="37" t="s">
        <v>44</v>
      </c>
      <c r="E88" s="37" t="s">
        <v>97</v>
      </c>
      <c r="F88" s="37" t="s">
        <v>121</v>
      </c>
      <c r="G88" s="37" t="s">
        <v>93</v>
      </c>
      <c r="H88" s="37" t="n">
        <v>1</v>
      </c>
      <c r="I88" s="43" t="n">
        <v>999</v>
      </c>
      <c r="J88" s="40" t="n">
        <v>0.1</v>
      </c>
    </row>
    <row r="89" customFormat="false" ht="15" hidden="false" customHeight="false" outlineLevel="0" collapsed="false">
      <c r="A89" s="37" t="s">
        <v>233</v>
      </c>
      <c r="B89" s="42" t="n">
        <v>45689</v>
      </c>
      <c r="C89" s="37" t="s">
        <v>144</v>
      </c>
      <c r="D89" s="37" t="s">
        <v>45</v>
      </c>
      <c r="E89" s="37" t="s">
        <v>97</v>
      </c>
      <c r="F89" s="37" t="s">
        <v>121</v>
      </c>
      <c r="G89" s="37" t="s">
        <v>93</v>
      </c>
      <c r="H89" s="37" t="n">
        <v>1</v>
      </c>
      <c r="I89" s="43" t="n">
        <v>999</v>
      </c>
      <c r="J89" s="40" t="n">
        <v>0</v>
      </c>
    </row>
    <row r="90" customFormat="false" ht="15" hidden="false" customHeight="false" outlineLevel="0" collapsed="false">
      <c r="A90" s="37" t="s">
        <v>234</v>
      </c>
      <c r="B90" s="42" t="n">
        <v>45708</v>
      </c>
      <c r="C90" s="37" t="s">
        <v>166</v>
      </c>
      <c r="D90" s="37" t="s">
        <v>44</v>
      </c>
      <c r="E90" s="37" t="s">
        <v>97</v>
      </c>
      <c r="F90" s="37" t="s">
        <v>120</v>
      </c>
      <c r="G90" s="37" t="s">
        <v>93</v>
      </c>
      <c r="H90" s="37" t="n">
        <v>2</v>
      </c>
      <c r="I90" s="43" t="n">
        <v>449</v>
      </c>
      <c r="J90" s="40" t="n">
        <v>0.1</v>
      </c>
    </row>
    <row r="91" customFormat="false" ht="15" hidden="false" customHeight="false" outlineLevel="0" collapsed="false">
      <c r="A91" s="37" t="s">
        <v>235</v>
      </c>
      <c r="B91" s="42" t="n">
        <v>45698</v>
      </c>
      <c r="C91" s="37" t="s">
        <v>146</v>
      </c>
      <c r="D91" s="37" t="s">
        <v>45</v>
      </c>
      <c r="E91" s="37" t="s">
        <v>97</v>
      </c>
      <c r="F91" s="37" t="s">
        <v>113</v>
      </c>
      <c r="G91" s="37" t="s">
        <v>92</v>
      </c>
      <c r="H91" s="37" t="n">
        <v>1</v>
      </c>
      <c r="I91" s="43" t="n">
        <v>2199</v>
      </c>
      <c r="J91" s="40" t="n">
        <v>0</v>
      </c>
    </row>
    <row r="92" customFormat="false" ht="15" hidden="false" customHeight="false" outlineLevel="0" collapsed="false">
      <c r="A92" s="37" t="s">
        <v>236</v>
      </c>
      <c r="B92" s="42" t="n">
        <v>45709</v>
      </c>
      <c r="C92" s="37" t="s">
        <v>134</v>
      </c>
      <c r="D92" s="37" t="s">
        <v>45</v>
      </c>
      <c r="E92" s="37" t="s">
        <v>96</v>
      </c>
      <c r="F92" s="37" t="s">
        <v>111</v>
      </c>
      <c r="G92" s="37" t="s">
        <v>90</v>
      </c>
      <c r="H92" s="37" t="n">
        <v>4</v>
      </c>
      <c r="I92" s="43" t="n">
        <v>2499</v>
      </c>
      <c r="J92" s="40" t="n">
        <v>0.15</v>
      </c>
    </row>
    <row r="93" customFormat="false" ht="15" hidden="false" customHeight="false" outlineLevel="0" collapsed="false">
      <c r="A93" s="37" t="s">
        <v>237</v>
      </c>
      <c r="B93" s="42" t="n">
        <v>45704</v>
      </c>
      <c r="C93" s="37" t="s">
        <v>138</v>
      </c>
      <c r="D93" s="37" t="s">
        <v>46</v>
      </c>
      <c r="E93" s="37" t="s">
        <v>97</v>
      </c>
      <c r="F93" s="37" t="s">
        <v>119</v>
      </c>
      <c r="G93" s="37" t="s">
        <v>91</v>
      </c>
      <c r="H93" s="37" t="n">
        <v>1</v>
      </c>
      <c r="I93" s="43" t="n">
        <v>1099</v>
      </c>
      <c r="J93" s="40" t="n">
        <v>0</v>
      </c>
    </row>
    <row r="94" customFormat="false" ht="15" hidden="false" customHeight="false" outlineLevel="0" collapsed="false">
      <c r="A94" s="37" t="s">
        <v>238</v>
      </c>
      <c r="B94" s="42" t="n">
        <v>45694</v>
      </c>
      <c r="C94" s="37" t="s">
        <v>136</v>
      </c>
      <c r="D94" s="37" t="s">
        <v>47</v>
      </c>
      <c r="E94" s="37" t="s">
        <v>96</v>
      </c>
      <c r="F94" s="37" t="s">
        <v>111</v>
      </c>
      <c r="G94" s="37" t="s">
        <v>90</v>
      </c>
      <c r="H94" s="37" t="n">
        <v>1</v>
      </c>
      <c r="I94" s="43" t="n">
        <v>2499</v>
      </c>
      <c r="J94" s="40" t="n">
        <v>0.2</v>
      </c>
    </row>
    <row r="95" customFormat="false" ht="15" hidden="false" customHeight="false" outlineLevel="0" collapsed="false">
      <c r="A95" s="37" t="s">
        <v>239</v>
      </c>
      <c r="B95" s="42" t="n">
        <v>45716</v>
      </c>
      <c r="C95" s="37" t="s">
        <v>166</v>
      </c>
      <c r="D95" s="37" t="s">
        <v>44</v>
      </c>
      <c r="E95" s="37" t="s">
        <v>96</v>
      </c>
      <c r="F95" s="37" t="s">
        <v>118</v>
      </c>
      <c r="G95" s="37" t="s">
        <v>91</v>
      </c>
      <c r="H95" s="37" t="n">
        <v>3</v>
      </c>
      <c r="I95" s="43" t="n">
        <v>2299</v>
      </c>
      <c r="J95" s="40" t="n">
        <v>0.3</v>
      </c>
    </row>
    <row r="96" customFormat="false" ht="15" hidden="false" customHeight="false" outlineLevel="0" collapsed="false">
      <c r="A96" s="37" t="s">
        <v>240</v>
      </c>
      <c r="B96" s="42" t="n">
        <v>45701</v>
      </c>
      <c r="C96" s="37" t="s">
        <v>1155</v>
      </c>
      <c r="D96" s="37" t="s">
        <v>45</v>
      </c>
      <c r="E96" s="37" t="s">
        <v>1152</v>
      </c>
      <c r="F96" s="37" t="s">
        <v>110</v>
      </c>
      <c r="G96" s="37" t="s">
        <v>90</v>
      </c>
      <c r="H96" s="37" t="n">
        <v>1</v>
      </c>
      <c r="I96" s="43" t="n">
        <v>1299</v>
      </c>
      <c r="J96" s="40" t="n">
        <v>0.15</v>
      </c>
    </row>
    <row r="97" customFormat="false" ht="15" hidden="false" customHeight="false" outlineLevel="0" collapsed="false">
      <c r="A97" s="37" t="s">
        <v>241</v>
      </c>
      <c r="B97" s="42" t="n">
        <v>45700</v>
      </c>
      <c r="C97" s="37" t="s">
        <v>169</v>
      </c>
      <c r="D97" s="37" t="s">
        <v>44</v>
      </c>
      <c r="E97" s="37" t="s">
        <v>97</v>
      </c>
      <c r="F97" s="37" t="s">
        <v>120</v>
      </c>
      <c r="G97" s="37" t="s">
        <v>93</v>
      </c>
      <c r="H97" s="37" t="n">
        <v>1</v>
      </c>
      <c r="I97" s="43" t="n">
        <v>449</v>
      </c>
      <c r="J97" s="40" t="n">
        <v>0.15</v>
      </c>
    </row>
    <row r="98" customFormat="false" ht="15" hidden="false" customHeight="false" outlineLevel="0" collapsed="false">
      <c r="A98" s="37" t="s">
        <v>242</v>
      </c>
      <c r="B98" s="42" t="n">
        <v>45714</v>
      </c>
      <c r="C98" s="37" t="s">
        <v>172</v>
      </c>
      <c r="D98" s="37" t="s">
        <v>46</v>
      </c>
      <c r="E98" s="37" t="s">
        <v>96</v>
      </c>
      <c r="F98" s="37" t="s">
        <v>113</v>
      </c>
      <c r="G98" s="37" t="s">
        <v>92</v>
      </c>
      <c r="H98" s="37" t="n">
        <v>1</v>
      </c>
      <c r="I98" s="43" t="n">
        <v>2199</v>
      </c>
      <c r="J98" s="40" t="n">
        <v>0.25</v>
      </c>
    </row>
    <row r="99" customFormat="false" ht="15" hidden="false" customHeight="false" outlineLevel="0" collapsed="false">
      <c r="A99" s="37" t="s">
        <v>243</v>
      </c>
      <c r="B99" s="42" t="n">
        <v>45711</v>
      </c>
      <c r="C99" s="37" t="s">
        <v>142</v>
      </c>
      <c r="D99" s="37" t="s">
        <v>47</v>
      </c>
      <c r="E99" s="37" t="s">
        <v>96</v>
      </c>
      <c r="F99" s="37" t="s">
        <v>114</v>
      </c>
      <c r="G99" s="37" t="s">
        <v>92</v>
      </c>
      <c r="H99" s="37" t="n">
        <v>1</v>
      </c>
      <c r="I99" s="43" t="n">
        <v>1199</v>
      </c>
      <c r="J99" s="40" t="n">
        <v>0</v>
      </c>
    </row>
    <row r="100" customFormat="false" ht="15" hidden="false" customHeight="false" outlineLevel="0" collapsed="false">
      <c r="A100" s="37" t="s">
        <v>244</v>
      </c>
      <c r="B100" s="42" t="n">
        <v>45716</v>
      </c>
      <c r="C100" s="37" t="s">
        <v>166</v>
      </c>
      <c r="D100" s="37" t="s">
        <v>44</v>
      </c>
      <c r="E100" s="37" t="s">
        <v>96</v>
      </c>
      <c r="F100" s="37" t="s">
        <v>121</v>
      </c>
      <c r="G100" s="37" t="s">
        <v>93</v>
      </c>
      <c r="H100" s="37" t="n">
        <v>1</v>
      </c>
      <c r="I100" s="43" t="n">
        <v>999</v>
      </c>
      <c r="J100" s="40" t="n">
        <v>0</v>
      </c>
    </row>
    <row r="101" customFormat="false" ht="15" hidden="false" customHeight="false" outlineLevel="0" collapsed="false">
      <c r="A101" s="37" t="s">
        <v>245</v>
      </c>
      <c r="B101" s="42" t="n">
        <v>45705</v>
      </c>
      <c r="C101" s="37" t="s">
        <v>154</v>
      </c>
      <c r="D101" s="37" t="s">
        <v>47</v>
      </c>
      <c r="E101" s="37" t="s">
        <v>97</v>
      </c>
      <c r="F101" s="37" t="s">
        <v>115</v>
      </c>
      <c r="G101" s="37" t="s">
        <v>92</v>
      </c>
      <c r="H101" s="37" t="n">
        <v>3</v>
      </c>
      <c r="I101" s="43" t="n">
        <v>1799</v>
      </c>
      <c r="J101" s="40" t="n">
        <v>0</v>
      </c>
    </row>
    <row r="102" customFormat="false" ht="15" hidden="false" customHeight="false" outlineLevel="0" collapsed="false">
      <c r="A102" s="37" t="s">
        <v>246</v>
      </c>
      <c r="B102" s="42" t="n">
        <v>45693</v>
      </c>
      <c r="C102" s="37" t="s">
        <v>142</v>
      </c>
      <c r="D102" s="37" t="s">
        <v>47</v>
      </c>
      <c r="E102" s="37" t="s">
        <v>97</v>
      </c>
      <c r="F102" s="37" t="s">
        <v>118</v>
      </c>
      <c r="G102" s="37" t="s">
        <v>91</v>
      </c>
      <c r="H102" s="37" t="n">
        <v>2</v>
      </c>
      <c r="I102" s="43" t="n">
        <v>2299</v>
      </c>
      <c r="J102" s="40" t="n">
        <v>0.05</v>
      </c>
    </row>
    <row r="103" customFormat="false" ht="15" hidden="false" customHeight="false" outlineLevel="0" collapsed="false">
      <c r="A103" s="37" t="s">
        <v>247</v>
      </c>
      <c r="B103" s="42" t="n">
        <v>45699</v>
      </c>
      <c r="C103" s="37" t="s">
        <v>1155</v>
      </c>
      <c r="D103" s="37" t="s">
        <v>45</v>
      </c>
      <c r="E103" s="37" t="s">
        <v>97</v>
      </c>
      <c r="F103" s="37" t="s">
        <v>113</v>
      </c>
      <c r="G103" s="37" t="s">
        <v>92</v>
      </c>
      <c r="H103" s="37" t="n">
        <v>2</v>
      </c>
      <c r="I103" s="43" t="n">
        <v>2199</v>
      </c>
      <c r="J103" s="40" t="n">
        <v>0.05</v>
      </c>
    </row>
    <row r="104" customFormat="false" ht="15" hidden="false" customHeight="false" outlineLevel="0" collapsed="false">
      <c r="A104" s="37" t="s">
        <v>248</v>
      </c>
      <c r="B104" s="42" t="n">
        <v>45707</v>
      </c>
      <c r="C104" s="37" t="s">
        <v>166</v>
      </c>
      <c r="D104" s="37" t="s">
        <v>44</v>
      </c>
      <c r="E104" s="37" t="s">
        <v>97</v>
      </c>
      <c r="F104" s="37" t="s">
        <v>113</v>
      </c>
      <c r="G104" s="37" t="s">
        <v>92</v>
      </c>
      <c r="H104" s="37" t="n">
        <v>1</v>
      </c>
      <c r="I104" s="43" t="n">
        <v>2199</v>
      </c>
      <c r="J104" s="40" t="n">
        <v>0</v>
      </c>
    </row>
    <row r="105" customFormat="false" ht="15" hidden="false" customHeight="false" outlineLevel="0" collapsed="false">
      <c r="A105" s="37" t="s">
        <v>249</v>
      </c>
      <c r="B105" s="42" t="n">
        <v>45700</v>
      </c>
      <c r="C105" s="37" t="s">
        <v>138</v>
      </c>
      <c r="D105" s="37" t="s">
        <v>46</v>
      </c>
      <c r="E105" s="37" t="s">
        <v>97</v>
      </c>
      <c r="F105" s="37" t="s">
        <v>123</v>
      </c>
      <c r="G105" s="37" t="s">
        <v>93</v>
      </c>
      <c r="H105" s="37" t="n">
        <v>2</v>
      </c>
      <c r="I105" s="43" t="n">
        <v>1299</v>
      </c>
      <c r="J105" s="40" t="n">
        <v>0</v>
      </c>
    </row>
    <row r="106" customFormat="false" ht="15" hidden="false" customHeight="false" outlineLevel="0" collapsed="false">
      <c r="A106" s="37" t="s">
        <v>250</v>
      </c>
      <c r="B106" s="42" t="n">
        <v>45695</v>
      </c>
      <c r="C106" s="37" t="s">
        <v>154</v>
      </c>
      <c r="D106" s="37" t="s">
        <v>47</v>
      </c>
      <c r="E106" s="37" t="s">
        <v>97</v>
      </c>
      <c r="F106" s="37" t="s">
        <v>116</v>
      </c>
      <c r="G106" s="37" t="s">
        <v>91</v>
      </c>
      <c r="H106" s="37" t="n">
        <v>1</v>
      </c>
      <c r="I106" s="43" t="n">
        <v>899</v>
      </c>
      <c r="J106" s="40" t="n">
        <v>0.1</v>
      </c>
    </row>
    <row r="107" customFormat="false" ht="15" hidden="false" customHeight="false" outlineLevel="0" collapsed="false">
      <c r="A107" s="37" t="s">
        <v>251</v>
      </c>
      <c r="B107" s="42" t="n">
        <v>45698</v>
      </c>
      <c r="C107" s="37" t="s">
        <v>142</v>
      </c>
      <c r="D107" s="37" t="s">
        <v>47</v>
      </c>
      <c r="E107" s="37" t="s">
        <v>96</v>
      </c>
      <c r="F107" s="37" t="s">
        <v>118</v>
      </c>
      <c r="G107" s="37" t="s">
        <v>91</v>
      </c>
      <c r="H107" s="37" t="n">
        <v>4</v>
      </c>
      <c r="I107" s="43" t="n">
        <v>2299</v>
      </c>
      <c r="J107" s="40" t="n">
        <v>0.1</v>
      </c>
    </row>
    <row r="108" customFormat="false" ht="15" hidden="false" customHeight="false" outlineLevel="0" collapsed="false">
      <c r="A108" s="37" t="s">
        <v>252</v>
      </c>
      <c r="B108" s="42" t="n">
        <v>45693</v>
      </c>
      <c r="C108" s="37" t="s">
        <v>146</v>
      </c>
      <c r="D108" s="37" t="s">
        <v>45</v>
      </c>
      <c r="E108" s="37" t="s">
        <v>97</v>
      </c>
      <c r="F108" s="37" t="s">
        <v>117</v>
      </c>
      <c r="G108" s="37" t="s">
        <v>91</v>
      </c>
      <c r="H108" s="37" t="n">
        <v>5</v>
      </c>
      <c r="I108" s="43" t="n">
        <v>1499</v>
      </c>
      <c r="J108" s="40" t="n">
        <v>0.05</v>
      </c>
    </row>
    <row r="109" customFormat="false" ht="15" hidden="false" customHeight="false" outlineLevel="0" collapsed="false">
      <c r="A109" s="37" t="s">
        <v>253</v>
      </c>
      <c r="B109" s="42" t="n">
        <v>45695</v>
      </c>
      <c r="C109" s="37" t="s">
        <v>144</v>
      </c>
      <c r="D109" s="37" t="s">
        <v>45</v>
      </c>
      <c r="E109" s="37" t="s">
        <v>96</v>
      </c>
      <c r="F109" s="37" t="s">
        <v>121</v>
      </c>
      <c r="G109" s="37"/>
      <c r="H109" s="37" t="n">
        <v>1</v>
      </c>
      <c r="I109" s="43" t="n">
        <v>999</v>
      </c>
      <c r="J109" s="40" t="n">
        <v>0.2</v>
      </c>
    </row>
    <row r="110" customFormat="false" ht="15" hidden="false" customHeight="false" outlineLevel="0" collapsed="false">
      <c r="A110" s="37" t="s">
        <v>254</v>
      </c>
      <c r="B110" s="42" t="n">
        <v>45691</v>
      </c>
      <c r="C110" s="37" t="s">
        <v>136</v>
      </c>
      <c r="D110" s="37" t="s">
        <v>47</v>
      </c>
      <c r="E110" s="37" t="s">
        <v>96</v>
      </c>
      <c r="F110" s="37" t="s">
        <v>109</v>
      </c>
      <c r="G110" s="37" t="s">
        <v>90</v>
      </c>
      <c r="H110" s="37" t="n">
        <v>1</v>
      </c>
      <c r="I110" s="43" t="n">
        <v>3499</v>
      </c>
      <c r="J110" s="40" t="n">
        <v>0.2</v>
      </c>
    </row>
    <row r="111" customFormat="false" ht="15" hidden="false" customHeight="false" outlineLevel="0" collapsed="false">
      <c r="A111" s="37" t="s">
        <v>255</v>
      </c>
      <c r="B111" s="42" t="n">
        <v>45696</v>
      </c>
      <c r="C111" s="37" t="s">
        <v>142</v>
      </c>
      <c r="D111" s="37" t="s">
        <v>47</v>
      </c>
      <c r="E111" s="37" t="s">
        <v>97</v>
      </c>
      <c r="F111" s="37" t="s">
        <v>118</v>
      </c>
      <c r="G111" s="37" t="s">
        <v>91</v>
      </c>
      <c r="H111" s="37" t="n">
        <v>1</v>
      </c>
      <c r="I111" s="43" t="n">
        <v>2299</v>
      </c>
      <c r="J111" s="40" t="n">
        <v>0.05</v>
      </c>
    </row>
    <row r="112" customFormat="false" ht="15" hidden="false" customHeight="false" outlineLevel="0" collapsed="false">
      <c r="A112" s="37" t="s">
        <v>256</v>
      </c>
      <c r="B112" s="42" t="n">
        <v>45708</v>
      </c>
      <c r="C112" s="37" t="s">
        <v>136</v>
      </c>
      <c r="D112" s="37" t="s">
        <v>47</v>
      </c>
      <c r="E112" s="37" t="s">
        <v>97</v>
      </c>
      <c r="F112" s="37" t="s">
        <v>119</v>
      </c>
      <c r="G112" s="37" t="s">
        <v>91</v>
      </c>
      <c r="H112" s="37" t="n">
        <v>2</v>
      </c>
      <c r="I112" s="43" t="n">
        <v>1099</v>
      </c>
      <c r="J112" s="40" t="n">
        <v>0</v>
      </c>
    </row>
    <row r="113" customFormat="false" ht="15" hidden="false" customHeight="false" outlineLevel="0" collapsed="false">
      <c r="A113" s="37" t="s">
        <v>257</v>
      </c>
      <c r="B113" s="42" t="n">
        <v>45696</v>
      </c>
      <c r="C113" s="37" t="s">
        <v>136</v>
      </c>
      <c r="D113" s="37" t="s">
        <v>47</v>
      </c>
      <c r="E113" s="37" t="s">
        <v>96</v>
      </c>
      <c r="F113" s="37" t="s">
        <v>118</v>
      </c>
      <c r="G113" s="37" t="s">
        <v>91</v>
      </c>
      <c r="H113" s="37" t="n">
        <v>1</v>
      </c>
      <c r="I113" s="43" t="n">
        <v>2299</v>
      </c>
      <c r="J113" s="40" t="n">
        <v>0.3</v>
      </c>
    </row>
    <row r="114" customFormat="false" ht="15" hidden="false" customHeight="false" outlineLevel="0" collapsed="false">
      <c r="A114" s="37" t="s">
        <v>258</v>
      </c>
      <c r="B114" s="42" t="n">
        <v>45700</v>
      </c>
      <c r="C114" s="37" t="s">
        <v>142</v>
      </c>
      <c r="D114" s="37" t="s">
        <v>47</v>
      </c>
      <c r="E114" s="37" t="s">
        <v>97</v>
      </c>
      <c r="F114" s="37" t="s">
        <v>117</v>
      </c>
      <c r="G114" s="37" t="s">
        <v>91</v>
      </c>
      <c r="H114" s="37" t="n">
        <v>1</v>
      </c>
      <c r="I114" s="43" t="n">
        <v>1499</v>
      </c>
      <c r="J114" s="40" t="n">
        <v>0.05</v>
      </c>
    </row>
    <row r="115" customFormat="false" ht="15" hidden="false" customHeight="false" outlineLevel="0" collapsed="false">
      <c r="A115" s="37" t="s">
        <v>259</v>
      </c>
      <c r="B115" s="42" t="n">
        <v>45691</v>
      </c>
      <c r="C115" s="37" t="s">
        <v>1157</v>
      </c>
      <c r="D115" s="37" t="s">
        <v>46</v>
      </c>
      <c r="E115" s="37" t="s">
        <v>97</v>
      </c>
      <c r="F115" s="37" t="s">
        <v>109</v>
      </c>
      <c r="G115" s="37" t="s">
        <v>90</v>
      </c>
      <c r="H115" s="37" t="n">
        <v>1</v>
      </c>
      <c r="I115" s="43" t="n">
        <v>3499</v>
      </c>
      <c r="J115" s="40" t="n">
        <v>0.05</v>
      </c>
    </row>
    <row r="116" customFormat="false" ht="15" hidden="false" customHeight="false" outlineLevel="0" collapsed="false">
      <c r="A116" s="37" t="s">
        <v>260</v>
      </c>
      <c r="B116" s="42" t="n">
        <v>45706</v>
      </c>
      <c r="C116" s="37" t="s">
        <v>146</v>
      </c>
      <c r="D116" s="37" t="s">
        <v>45</v>
      </c>
      <c r="E116" s="37" t="s">
        <v>97</v>
      </c>
      <c r="F116" s="37" t="s">
        <v>114</v>
      </c>
      <c r="G116" s="37" t="s">
        <v>92</v>
      </c>
      <c r="H116" s="37" t="n">
        <v>1</v>
      </c>
      <c r="I116" s="43" t="n">
        <v>1199</v>
      </c>
      <c r="J116" s="40" t="n">
        <v>0.1</v>
      </c>
    </row>
    <row r="117" customFormat="false" ht="15" hidden="false" customHeight="false" outlineLevel="0" collapsed="false">
      <c r="A117" s="37" t="s">
        <v>261</v>
      </c>
      <c r="B117" s="42" t="n">
        <v>45700</v>
      </c>
      <c r="C117" s="37" t="s">
        <v>142</v>
      </c>
      <c r="D117" s="37" t="s">
        <v>47</v>
      </c>
      <c r="E117" s="37" t="s">
        <v>96</v>
      </c>
      <c r="F117" s="37" t="s">
        <v>119</v>
      </c>
      <c r="G117" s="37" t="s">
        <v>91</v>
      </c>
      <c r="H117" s="37" t="n">
        <v>4</v>
      </c>
      <c r="I117" s="43" t="n">
        <v>1099</v>
      </c>
      <c r="J117" s="40" t="n">
        <v>0.2</v>
      </c>
    </row>
    <row r="118" customFormat="false" ht="15" hidden="false" customHeight="false" outlineLevel="0" collapsed="false">
      <c r="A118" s="37" t="s">
        <v>262</v>
      </c>
      <c r="B118" s="42" t="n">
        <v>45699</v>
      </c>
      <c r="C118" s="37" t="s">
        <v>140</v>
      </c>
      <c r="D118" s="37" t="s">
        <v>44</v>
      </c>
      <c r="E118" s="37" t="s">
        <v>96</v>
      </c>
      <c r="F118" s="37" t="s">
        <v>118</v>
      </c>
      <c r="G118" s="37" t="s">
        <v>91</v>
      </c>
      <c r="H118" s="37" t="n">
        <v>1</v>
      </c>
      <c r="I118" s="43" t="n">
        <v>2299</v>
      </c>
      <c r="J118" s="40" t="n">
        <v>0.1</v>
      </c>
    </row>
    <row r="119" customFormat="false" ht="15" hidden="false" customHeight="false" outlineLevel="0" collapsed="false">
      <c r="A119" s="37" t="s">
        <v>263</v>
      </c>
      <c r="B119" s="42" t="n">
        <v>45698</v>
      </c>
      <c r="C119" s="37" t="s">
        <v>134</v>
      </c>
      <c r="D119" s="37" t="s">
        <v>45</v>
      </c>
      <c r="E119" s="37" t="s">
        <v>97</v>
      </c>
      <c r="F119" s="37" t="s">
        <v>111</v>
      </c>
      <c r="G119" s="37" t="s">
        <v>90</v>
      </c>
      <c r="H119" s="37" t="n">
        <v>2</v>
      </c>
      <c r="I119" s="43" t="n">
        <v>2499</v>
      </c>
      <c r="J119" s="40" t="n">
        <v>0.1</v>
      </c>
    </row>
    <row r="120" customFormat="false" ht="15" hidden="false" customHeight="false" outlineLevel="0" collapsed="false">
      <c r="A120" s="37" t="s">
        <v>264</v>
      </c>
      <c r="B120" s="42" t="n">
        <v>45695</v>
      </c>
      <c r="C120" s="37" t="s">
        <v>138</v>
      </c>
      <c r="D120" s="37" t="s">
        <v>46</v>
      </c>
      <c r="E120" s="37" t="s">
        <v>1158</v>
      </c>
      <c r="F120" s="37" t="s">
        <v>123</v>
      </c>
      <c r="G120" s="37" t="s">
        <v>93</v>
      </c>
      <c r="H120" s="37" t="n">
        <v>1</v>
      </c>
      <c r="I120" s="43" t="n">
        <v>1299</v>
      </c>
      <c r="J120" s="40" t="n">
        <v>0.2</v>
      </c>
    </row>
    <row r="121" customFormat="false" ht="15" hidden="false" customHeight="false" outlineLevel="0" collapsed="false">
      <c r="A121" s="37" t="s">
        <v>265</v>
      </c>
      <c r="B121" s="42" t="n">
        <v>45694</v>
      </c>
      <c r="C121" s="37" t="s">
        <v>142</v>
      </c>
      <c r="D121" s="37" t="s">
        <v>47</v>
      </c>
      <c r="E121" s="37" t="s">
        <v>96</v>
      </c>
      <c r="F121" s="37" t="s">
        <v>110</v>
      </c>
      <c r="G121" s="37" t="s">
        <v>90</v>
      </c>
      <c r="H121" s="37" t="n">
        <v>2</v>
      </c>
      <c r="I121" s="43" t="n">
        <v>1299</v>
      </c>
      <c r="J121" s="40" t="n">
        <v>0.2</v>
      </c>
    </row>
    <row r="122" customFormat="false" ht="15" hidden="false" customHeight="false" outlineLevel="0" collapsed="false">
      <c r="A122" s="37" t="s">
        <v>266</v>
      </c>
      <c r="B122" s="37" t="s">
        <v>1159</v>
      </c>
      <c r="C122" s="37" t="s">
        <v>134</v>
      </c>
      <c r="D122" s="37" t="s">
        <v>45</v>
      </c>
      <c r="E122" s="37" t="s">
        <v>97</v>
      </c>
      <c r="F122" s="37" t="s">
        <v>119</v>
      </c>
      <c r="G122" s="37" t="s">
        <v>91</v>
      </c>
      <c r="H122" s="37" t="n">
        <v>1</v>
      </c>
      <c r="I122" s="43" t="n">
        <v>1099</v>
      </c>
      <c r="J122" s="40" t="n">
        <v>0.05</v>
      </c>
    </row>
    <row r="123" customFormat="false" ht="15" hidden="false" customHeight="false" outlineLevel="0" collapsed="false">
      <c r="A123" s="37" t="s">
        <v>267</v>
      </c>
      <c r="B123" s="42" t="n">
        <v>45705</v>
      </c>
      <c r="C123" s="37" t="s">
        <v>136</v>
      </c>
      <c r="D123" s="37" t="s">
        <v>47</v>
      </c>
      <c r="E123" s="37" t="s">
        <v>96</v>
      </c>
      <c r="F123" s="37" t="s">
        <v>115</v>
      </c>
      <c r="G123" s="37" t="s">
        <v>92</v>
      </c>
      <c r="H123" s="37" t="n">
        <v>2</v>
      </c>
      <c r="I123" s="43" t="n">
        <v>1799</v>
      </c>
      <c r="J123" s="40" t="n">
        <v>0.1</v>
      </c>
    </row>
    <row r="124" customFormat="false" ht="15" hidden="false" customHeight="false" outlineLevel="0" collapsed="false">
      <c r="A124" s="37" t="s">
        <v>268</v>
      </c>
      <c r="B124" s="42" t="n">
        <v>45694</v>
      </c>
      <c r="C124" s="37" t="s">
        <v>144</v>
      </c>
      <c r="D124" s="37" t="s">
        <v>45</v>
      </c>
      <c r="E124" s="37" t="s">
        <v>97</v>
      </c>
      <c r="F124" s="37" t="s">
        <v>117</v>
      </c>
      <c r="G124" s="37" t="s">
        <v>91</v>
      </c>
      <c r="H124" s="37" t="n">
        <v>3</v>
      </c>
      <c r="I124" s="43" t="n">
        <v>1499</v>
      </c>
      <c r="J124" s="40" t="n">
        <v>0</v>
      </c>
    </row>
    <row r="125" customFormat="false" ht="15" hidden="false" customHeight="false" outlineLevel="0" collapsed="false">
      <c r="A125" s="37" t="s">
        <v>269</v>
      </c>
      <c r="B125" s="42" t="n">
        <v>45695</v>
      </c>
      <c r="C125" s="37" t="s">
        <v>142</v>
      </c>
      <c r="D125" s="37" t="s">
        <v>47</v>
      </c>
      <c r="E125" s="37" t="s">
        <v>97</v>
      </c>
      <c r="F125" s="37" t="s">
        <v>121</v>
      </c>
      <c r="G125" s="37" t="s">
        <v>93</v>
      </c>
      <c r="H125" s="37" t="n">
        <v>2</v>
      </c>
      <c r="I125" s="43" t="n">
        <v>999</v>
      </c>
      <c r="J125" s="40" t="n">
        <v>0.1</v>
      </c>
    </row>
    <row r="126" customFormat="false" ht="15" hidden="false" customHeight="false" outlineLevel="0" collapsed="false">
      <c r="A126" s="37" t="s">
        <v>270</v>
      </c>
      <c r="B126" s="42" t="n">
        <v>45691</v>
      </c>
      <c r="C126" s="37" t="s">
        <v>134</v>
      </c>
      <c r="D126" s="37" t="s">
        <v>45</v>
      </c>
      <c r="E126" s="37" t="s">
        <v>97</v>
      </c>
      <c r="F126" s="37" t="s">
        <v>110</v>
      </c>
      <c r="G126" s="37" t="s">
        <v>90</v>
      </c>
      <c r="H126" s="37" t="n">
        <v>2</v>
      </c>
      <c r="I126" s="43" t="n">
        <v>1299</v>
      </c>
      <c r="J126" s="40" t="n">
        <v>0.25</v>
      </c>
    </row>
    <row r="127" customFormat="false" ht="15" hidden="false" customHeight="false" outlineLevel="0" collapsed="false">
      <c r="A127" s="37" t="s">
        <v>271</v>
      </c>
      <c r="B127" s="42" t="n">
        <v>45703</v>
      </c>
      <c r="C127" s="37" t="s">
        <v>138</v>
      </c>
      <c r="D127" s="37" t="s">
        <v>46</v>
      </c>
      <c r="E127" s="37" t="s">
        <v>96</v>
      </c>
      <c r="F127" s="37" t="s">
        <v>112</v>
      </c>
      <c r="G127" s="37" t="s">
        <v>92</v>
      </c>
      <c r="H127" s="37" t="n">
        <v>2</v>
      </c>
      <c r="I127" s="43" t="n">
        <v>3299</v>
      </c>
      <c r="J127" s="40" t="n">
        <v>0.1</v>
      </c>
    </row>
    <row r="128" customFormat="false" ht="15" hidden="false" customHeight="false" outlineLevel="0" collapsed="false">
      <c r="A128" s="37" t="s">
        <v>272</v>
      </c>
      <c r="B128" s="42" t="n">
        <v>45703</v>
      </c>
      <c r="C128" s="37" t="s">
        <v>166</v>
      </c>
      <c r="D128" s="37" t="s">
        <v>44</v>
      </c>
      <c r="E128" s="37" t="s">
        <v>97</v>
      </c>
      <c r="F128" s="37" t="s">
        <v>116</v>
      </c>
      <c r="G128" s="37" t="s">
        <v>91</v>
      </c>
      <c r="H128" s="37" t="n">
        <v>2</v>
      </c>
      <c r="I128" s="43" t="n">
        <v>899</v>
      </c>
      <c r="J128" s="40" t="n">
        <v>0</v>
      </c>
    </row>
    <row r="129" customFormat="false" ht="15" hidden="false" customHeight="false" outlineLevel="0" collapsed="false">
      <c r="A129" s="37" t="s">
        <v>273</v>
      </c>
      <c r="B129" s="42" t="n">
        <v>45711</v>
      </c>
      <c r="C129" s="37" t="s">
        <v>154</v>
      </c>
      <c r="D129" s="37" t="s">
        <v>47</v>
      </c>
      <c r="E129" s="37" t="s">
        <v>96</v>
      </c>
      <c r="F129" s="37" t="s">
        <v>108</v>
      </c>
      <c r="G129" s="37" t="s">
        <v>90</v>
      </c>
      <c r="H129" s="37" t="n">
        <v>1</v>
      </c>
      <c r="I129" s="43" t="n">
        <v>1999</v>
      </c>
      <c r="J129" s="40" t="n">
        <v>0.15</v>
      </c>
    </row>
    <row r="130" customFormat="false" ht="15" hidden="false" customHeight="false" outlineLevel="0" collapsed="false">
      <c r="A130" s="37" t="s">
        <v>274</v>
      </c>
      <c r="B130" s="42" t="n">
        <v>45690</v>
      </c>
      <c r="C130" s="37" t="s">
        <v>144</v>
      </c>
      <c r="D130" s="37" t="s">
        <v>45</v>
      </c>
      <c r="E130" s="37" t="s">
        <v>96</v>
      </c>
      <c r="F130" s="37" t="s">
        <v>116</v>
      </c>
      <c r="G130" s="37" t="s">
        <v>91</v>
      </c>
      <c r="H130" s="37" t="n">
        <v>2</v>
      </c>
      <c r="I130" s="43" t="n">
        <v>899</v>
      </c>
      <c r="J130" s="40" t="n">
        <v>0.15</v>
      </c>
    </row>
    <row r="131" customFormat="false" ht="15" hidden="false" customHeight="false" outlineLevel="0" collapsed="false">
      <c r="A131" s="37" t="s">
        <v>275</v>
      </c>
      <c r="B131" s="42" t="n">
        <v>45716</v>
      </c>
      <c r="C131" s="37" t="s">
        <v>146</v>
      </c>
      <c r="D131" s="37" t="s">
        <v>45</v>
      </c>
      <c r="E131" s="37" t="s">
        <v>1152</v>
      </c>
      <c r="F131" s="37" t="s">
        <v>117</v>
      </c>
      <c r="G131" s="37" t="s">
        <v>91</v>
      </c>
      <c r="H131" s="37" t="n">
        <v>2</v>
      </c>
      <c r="I131" s="43" t="n">
        <v>1499</v>
      </c>
      <c r="J131" s="40" t="n">
        <v>0.1</v>
      </c>
    </row>
    <row r="132" customFormat="false" ht="15" hidden="false" customHeight="false" outlineLevel="0" collapsed="false">
      <c r="A132" s="37" t="s">
        <v>276</v>
      </c>
      <c r="B132" s="42" t="n">
        <v>45709</v>
      </c>
      <c r="C132" s="37" t="s">
        <v>1155</v>
      </c>
      <c r="D132" s="37" t="s">
        <v>45</v>
      </c>
      <c r="E132" s="37" t="s">
        <v>97</v>
      </c>
      <c r="F132" s="37" t="s">
        <v>114</v>
      </c>
      <c r="G132" s="37" t="s">
        <v>92</v>
      </c>
      <c r="H132" s="37" t="n">
        <v>2</v>
      </c>
      <c r="I132" s="43" t="n">
        <v>1199</v>
      </c>
      <c r="J132" s="40" t="n">
        <v>0</v>
      </c>
    </row>
    <row r="133" customFormat="false" ht="15" hidden="false" customHeight="false" outlineLevel="0" collapsed="false">
      <c r="A133" s="37" t="s">
        <v>277</v>
      </c>
      <c r="B133" s="42" t="n">
        <v>45743</v>
      </c>
      <c r="C133" s="37" t="s">
        <v>154</v>
      </c>
      <c r="D133" s="37" t="s">
        <v>47</v>
      </c>
      <c r="E133" s="37" t="s">
        <v>96</v>
      </c>
      <c r="F133" s="37" t="s">
        <v>119</v>
      </c>
      <c r="G133" s="37" t="s">
        <v>91</v>
      </c>
      <c r="H133" s="37" t="n">
        <v>1</v>
      </c>
      <c r="I133" s="43" t="n">
        <v>1099</v>
      </c>
      <c r="J133" s="40" t="n">
        <v>0.1</v>
      </c>
    </row>
    <row r="134" customFormat="false" ht="15" hidden="false" customHeight="false" outlineLevel="0" collapsed="false">
      <c r="A134" s="37" t="s">
        <v>278</v>
      </c>
      <c r="B134" s="42" t="n">
        <v>45718</v>
      </c>
      <c r="C134" s="37" t="s">
        <v>142</v>
      </c>
      <c r="D134" s="37" t="s">
        <v>47</v>
      </c>
      <c r="E134" s="37" t="s">
        <v>96</v>
      </c>
      <c r="F134" s="37" t="s">
        <v>111</v>
      </c>
      <c r="G134" s="37" t="s">
        <v>90</v>
      </c>
      <c r="H134" s="37" t="n">
        <v>1</v>
      </c>
      <c r="I134" s="43" t="n">
        <v>2499</v>
      </c>
      <c r="J134" s="40" t="n">
        <v>0.05</v>
      </c>
    </row>
    <row r="135" customFormat="false" ht="15" hidden="false" customHeight="false" outlineLevel="0" collapsed="false">
      <c r="A135" s="37" t="s">
        <v>279</v>
      </c>
      <c r="B135" s="42" t="n">
        <v>45734</v>
      </c>
      <c r="C135" s="37" t="s">
        <v>1155</v>
      </c>
      <c r="D135" s="37" t="s">
        <v>45</v>
      </c>
      <c r="E135" s="37" t="s">
        <v>96</v>
      </c>
      <c r="F135" s="37" t="s">
        <v>123</v>
      </c>
      <c r="G135" s="37" t="s">
        <v>93</v>
      </c>
      <c r="H135" s="37" t="n">
        <v>3</v>
      </c>
      <c r="I135" s="43" t="n">
        <v>1299</v>
      </c>
      <c r="J135" s="40" t="n">
        <v>0</v>
      </c>
    </row>
    <row r="136" customFormat="false" ht="15" hidden="false" customHeight="false" outlineLevel="0" collapsed="false">
      <c r="A136" s="37" t="s">
        <v>280</v>
      </c>
      <c r="B136" s="42" t="n">
        <v>45736</v>
      </c>
      <c r="C136" s="37" t="s">
        <v>134</v>
      </c>
      <c r="D136" s="37" t="s">
        <v>45</v>
      </c>
      <c r="E136" s="37" t="s">
        <v>96</v>
      </c>
      <c r="F136" s="37" t="s">
        <v>118</v>
      </c>
      <c r="G136" s="37" t="s">
        <v>91</v>
      </c>
      <c r="H136" s="37" t="n">
        <v>1</v>
      </c>
      <c r="I136" s="43" t="n">
        <v>2299</v>
      </c>
      <c r="J136" s="40" t="n">
        <v>0.2</v>
      </c>
    </row>
    <row r="137" customFormat="false" ht="15" hidden="false" customHeight="false" outlineLevel="0" collapsed="false">
      <c r="A137" s="37" t="s">
        <v>281</v>
      </c>
      <c r="B137" s="42" t="n">
        <v>45724</v>
      </c>
      <c r="C137" s="37" t="s">
        <v>1155</v>
      </c>
      <c r="D137" s="37" t="s">
        <v>45</v>
      </c>
      <c r="E137" s="37" t="s">
        <v>96</v>
      </c>
      <c r="F137" s="37" t="s">
        <v>112</v>
      </c>
      <c r="G137" s="37" t="s">
        <v>92</v>
      </c>
      <c r="H137" s="37" t="n">
        <v>1</v>
      </c>
      <c r="I137" s="43" t="n">
        <v>3299</v>
      </c>
      <c r="J137" s="40" t="n">
        <v>0.1</v>
      </c>
    </row>
    <row r="138" customFormat="false" ht="15" hidden="false" customHeight="false" outlineLevel="0" collapsed="false">
      <c r="A138" s="37" t="s">
        <v>282</v>
      </c>
      <c r="B138" s="42" t="n">
        <v>45728</v>
      </c>
      <c r="C138" s="37" t="s">
        <v>160</v>
      </c>
      <c r="D138" s="37" t="s">
        <v>46</v>
      </c>
      <c r="E138" s="37" t="s">
        <v>97</v>
      </c>
      <c r="F138" s="37" t="s">
        <v>122</v>
      </c>
      <c r="G138" s="37" t="s">
        <v>93</v>
      </c>
      <c r="H138" s="37" t="n">
        <v>2</v>
      </c>
      <c r="I138" s="43" t="n">
        <v>1799</v>
      </c>
      <c r="J138" s="40" t="n">
        <v>0</v>
      </c>
    </row>
    <row r="139" customFormat="false" ht="15" hidden="false" customHeight="false" outlineLevel="0" collapsed="false">
      <c r="A139" s="37" t="s">
        <v>283</v>
      </c>
      <c r="B139" s="42" t="n">
        <v>45717</v>
      </c>
      <c r="C139" s="37" t="s">
        <v>140</v>
      </c>
      <c r="D139" s="37" t="s">
        <v>44</v>
      </c>
      <c r="E139" s="37" t="s">
        <v>97</v>
      </c>
      <c r="F139" s="37" t="s">
        <v>121</v>
      </c>
      <c r="G139" s="37" t="s">
        <v>93</v>
      </c>
      <c r="H139" s="37" t="n">
        <v>2</v>
      </c>
      <c r="I139" s="43" t="n">
        <v>999</v>
      </c>
      <c r="J139" s="40" t="n">
        <v>0</v>
      </c>
    </row>
    <row r="140" customFormat="false" ht="15" hidden="false" customHeight="false" outlineLevel="0" collapsed="false">
      <c r="A140" s="37" t="s">
        <v>284</v>
      </c>
      <c r="B140" s="42" t="n">
        <v>45730</v>
      </c>
      <c r="C140" s="37" t="s">
        <v>136</v>
      </c>
      <c r="D140" s="37" t="s">
        <v>47</v>
      </c>
      <c r="E140" s="37" t="s">
        <v>96</v>
      </c>
      <c r="F140" s="37" t="s">
        <v>113</v>
      </c>
      <c r="G140" s="37" t="s">
        <v>92</v>
      </c>
      <c r="H140" s="37" t="n">
        <v>1</v>
      </c>
      <c r="I140" s="43" t="n">
        <v>2199</v>
      </c>
      <c r="J140" s="40" t="n">
        <v>0.2</v>
      </c>
    </row>
    <row r="141" customFormat="false" ht="15" hidden="false" customHeight="false" outlineLevel="0" collapsed="false">
      <c r="A141" s="37" t="s">
        <v>285</v>
      </c>
      <c r="B141" s="42" t="n">
        <v>45735</v>
      </c>
      <c r="C141" s="37" t="s">
        <v>138</v>
      </c>
      <c r="D141" s="37" t="s">
        <v>46</v>
      </c>
      <c r="E141" s="37" t="s">
        <v>96</v>
      </c>
      <c r="F141" s="37" t="s">
        <v>109</v>
      </c>
      <c r="G141" s="37" t="s">
        <v>90</v>
      </c>
      <c r="H141" s="37" t="n">
        <v>4</v>
      </c>
      <c r="I141" s="43" t="n">
        <v>3499</v>
      </c>
      <c r="J141" s="40" t="n">
        <v>0.1</v>
      </c>
    </row>
    <row r="142" customFormat="false" ht="15" hidden="false" customHeight="false" outlineLevel="0" collapsed="false">
      <c r="A142" s="37" t="s">
        <v>286</v>
      </c>
      <c r="B142" s="42" t="n">
        <v>45744</v>
      </c>
      <c r="C142" s="37" t="s">
        <v>136</v>
      </c>
      <c r="D142" s="37" t="s">
        <v>47</v>
      </c>
      <c r="E142" s="37" t="s">
        <v>96</v>
      </c>
      <c r="F142" s="37" t="s">
        <v>114</v>
      </c>
      <c r="G142" s="37" t="s">
        <v>92</v>
      </c>
      <c r="H142" s="37" t="n">
        <v>1</v>
      </c>
      <c r="I142" s="43" t="n">
        <v>1199</v>
      </c>
      <c r="J142" s="40" t="n">
        <v>0.1</v>
      </c>
    </row>
    <row r="143" customFormat="false" ht="15" hidden="false" customHeight="false" outlineLevel="0" collapsed="false">
      <c r="A143" s="37" t="s">
        <v>287</v>
      </c>
      <c r="B143" s="42" t="n">
        <v>45745</v>
      </c>
      <c r="C143" s="37" t="s">
        <v>154</v>
      </c>
      <c r="D143" s="37" t="s">
        <v>47</v>
      </c>
      <c r="E143" s="37" t="s">
        <v>97</v>
      </c>
      <c r="F143" s="37" t="s">
        <v>117</v>
      </c>
      <c r="G143" s="37" t="s">
        <v>91</v>
      </c>
      <c r="H143" s="37" t="n">
        <v>1</v>
      </c>
      <c r="I143" s="43" t="n">
        <v>1499</v>
      </c>
      <c r="J143" s="40" t="n">
        <v>0.1</v>
      </c>
    </row>
    <row r="144" customFormat="false" ht="15" hidden="false" customHeight="false" outlineLevel="0" collapsed="false">
      <c r="A144" s="37" t="s">
        <v>288</v>
      </c>
      <c r="B144" s="42" t="n">
        <v>45722</v>
      </c>
      <c r="C144" s="37" t="s">
        <v>1155</v>
      </c>
      <c r="D144" s="37" t="s">
        <v>45</v>
      </c>
      <c r="E144" s="37" t="s">
        <v>1148</v>
      </c>
      <c r="F144" s="37" t="s">
        <v>108</v>
      </c>
      <c r="G144" s="37" t="s">
        <v>90</v>
      </c>
      <c r="H144" s="37" t="n">
        <v>1</v>
      </c>
      <c r="I144" s="43" t="n">
        <v>1999</v>
      </c>
      <c r="J144" s="40" t="n">
        <v>0.05</v>
      </c>
    </row>
    <row r="145" customFormat="false" ht="15" hidden="false" customHeight="false" outlineLevel="0" collapsed="false">
      <c r="A145" s="37" t="s">
        <v>289</v>
      </c>
      <c r="B145" s="42" t="n">
        <v>45734</v>
      </c>
      <c r="C145" s="37" t="s">
        <v>144</v>
      </c>
      <c r="D145" s="37" t="s">
        <v>45</v>
      </c>
      <c r="E145" s="37" t="s">
        <v>97</v>
      </c>
      <c r="F145" s="37" t="s">
        <v>113</v>
      </c>
      <c r="G145" s="37" t="s">
        <v>92</v>
      </c>
      <c r="H145" s="37" t="n">
        <v>2</v>
      </c>
      <c r="I145" s="43" t="n">
        <v>2199</v>
      </c>
      <c r="J145" s="40" t="n">
        <v>0.1</v>
      </c>
    </row>
    <row r="146" customFormat="false" ht="15" hidden="false" customHeight="false" outlineLevel="0" collapsed="false">
      <c r="A146" s="37" t="s">
        <v>290</v>
      </c>
      <c r="B146" s="42" t="n">
        <v>45741</v>
      </c>
      <c r="C146" s="37" t="s">
        <v>1155</v>
      </c>
      <c r="D146" s="37" t="s">
        <v>45</v>
      </c>
      <c r="E146" s="37" t="s">
        <v>97</v>
      </c>
      <c r="F146" s="37" t="s">
        <v>120</v>
      </c>
      <c r="G146" s="37" t="s">
        <v>93</v>
      </c>
      <c r="H146" s="37" t="n">
        <v>2</v>
      </c>
      <c r="I146" s="43" t="n">
        <v>449</v>
      </c>
      <c r="J146" s="40" t="n">
        <v>0</v>
      </c>
    </row>
    <row r="147" customFormat="false" ht="15" hidden="false" customHeight="false" outlineLevel="0" collapsed="false">
      <c r="A147" s="37" t="s">
        <v>291</v>
      </c>
      <c r="B147" s="42" t="n">
        <v>45719</v>
      </c>
      <c r="C147" s="37" t="s">
        <v>166</v>
      </c>
      <c r="D147" s="37" t="s">
        <v>44</v>
      </c>
      <c r="E147" s="37" t="s">
        <v>96</v>
      </c>
      <c r="F147" s="37" t="s">
        <v>111</v>
      </c>
      <c r="G147" s="37" t="s">
        <v>90</v>
      </c>
      <c r="H147" s="37" t="n">
        <v>1</v>
      </c>
      <c r="I147" s="43" t="n">
        <v>2499</v>
      </c>
      <c r="J147" s="40" t="n">
        <v>0.1</v>
      </c>
    </row>
    <row r="148" customFormat="false" ht="15" hidden="false" customHeight="false" outlineLevel="0" collapsed="false">
      <c r="A148" s="37" t="s">
        <v>292</v>
      </c>
      <c r="B148" s="42" t="n">
        <v>45739</v>
      </c>
      <c r="C148" s="37" t="s">
        <v>1155</v>
      </c>
      <c r="D148" s="37" t="s">
        <v>45</v>
      </c>
      <c r="E148" s="37" t="s">
        <v>96</v>
      </c>
      <c r="F148" s="37" t="s">
        <v>108</v>
      </c>
      <c r="G148" s="37" t="s">
        <v>90</v>
      </c>
      <c r="H148" s="37" t="n">
        <v>1</v>
      </c>
      <c r="I148" s="43" t="n">
        <v>1999</v>
      </c>
      <c r="J148" s="40" t="n">
        <v>0.3</v>
      </c>
    </row>
    <row r="149" customFormat="false" ht="15" hidden="false" customHeight="false" outlineLevel="0" collapsed="false">
      <c r="A149" s="37" t="s">
        <v>293</v>
      </c>
      <c r="B149" s="42" t="n">
        <v>45717</v>
      </c>
      <c r="C149" s="37" t="s">
        <v>172</v>
      </c>
      <c r="D149" s="37" t="s">
        <v>46</v>
      </c>
      <c r="E149" s="37" t="s">
        <v>96</v>
      </c>
      <c r="F149" s="37" t="s">
        <v>117</v>
      </c>
      <c r="G149" s="37" t="s">
        <v>91</v>
      </c>
      <c r="H149" s="37" t="n">
        <v>1</v>
      </c>
      <c r="I149" s="43" t="n">
        <v>1499</v>
      </c>
      <c r="J149" s="40" t="n">
        <v>0</v>
      </c>
    </row>
    <row r="150" customFormat="false" ht="15" hidden="false" customHeight="false" outlineLevel="0" collapsed="false">
      <c r="A150" s="37" t="s">
        <v>294</v>
      </c>
      <c r="B150" s="42" t="n">
        <v>45721</v>
      </c>
      <c r="C150" s="37" t="s">
        <v>140</v>
      </c>
      <c r="D150" s="37" t="s">
        <v>44</v>
      </c>
      <c r="E150" s="37" t="s">
        <v>97</v>
      </c>
      <c r="F150" s="37" t="s">
        <v>111</v>
      </c>
      <c r="G150" s="37" t="s">
        <v>90</v>
      </c>
      <c r="H150" s="37" t="n">
        <v>2</v>
      </c>
      <c r="I150" s="43" t="n">
        <v>2499</v>
      </c>
      <c r="J150" s="40" t="n">
        <v>0.25</v>
      </c>
    </row>
    <row r="151" customFormat="false" ht="15" hidden="false" customHeight="false" outlineLevel="0" collapsed="false">
      <c r="A151" s="37" t="s">
        <v>295</v>
      </c>
      <c r="B151" s="42" t="n">
        <v>45744</v>
      </c>
      <c r="C151" s="37" t="s">
        <v>134</v>
      </c>
      <c r="D151" s="37" t="s">
        <v>45</v>
      </c>
      <c r="E151" s="37" t="s">
        <v>96</v>
      </c>
      <c r="F151" s="37" t="s">
        <v>109</v>
      </c>
      <c r="G151" s="37" t="s">
        <v>90</v>
      </c>
      <c r="H151" s="37" t="n">
        <v>1</v>
      </c>
      <c r="I151" s="43" t="n">
        <v>3499</v>
      </c>
      <c r="J151" s="40" t="n">
        <v>0.2</v>
      </c>
    </row>
    <row r="152" customFormat="false" ht="15" hidden="false" customHeight="false" outlineLevel="0" collapsed="false">
      <c r="A152" s="37" t="s">
        <v>296</v>
      </c>
      <c r="B152" s="42" t="n">
        <v>45721</v>
      </c>
      <c r="C152" s="37" t="s">
        <v>154</v>
      </c>
      <c r="D152" s="37" t="s">
        <v>47</v>
      </c>
      <c r="E152" s="37" t="s">
        <v>1152</v>
      </c>
      <c r="F152" s="37" t="s">
        <v>120</v>
      </c>
      <c r="G152" s="37" t="s">
        <v>93</v>
      </c>
      <c r="H152" s="37" t="n">
        <v>3</v>
      </c>
      <c r="I152" s="43" t="n">
        <v>449</v>
      </c>
      <c r="J152" s="40" t="n">
        <v>0</v>
      </c>
    </row>
    <row r="153" customFormat="false" ht="15" hidden="false" customHeight="false" outlineLevel="0" collapsed="false">
      <c r="A153" s="37" t="s">
        <v>297</v>
      </c>
      <c r="B153" s="42" t="n">
        <v>45739</v>
      </c>
      <c r="C153" s="37" t="s">
        <v>146</v>
      </c>
      <c r="D153" s="37" t="s">
        <v>45</v>
      </c>
      <c r="E153" s="37" t="s">
        <v>96</v>
      </c>
      <c r="F153" s="37" t="s">
        <v>114</v>
      </c>
      <c r="G153" s="37" t="s">
        <v>92</v>
      </c>
      <c r="H153" s="37" t="n">
        <v>2</v>
      </c>
      <c r="I153" s="43" t="n">
        <v>1199</v>
      </c>
      <c r="J153" s="40" t="n">
        <v>0</v>
      </c>
    </row>
    <row r="154" customFormat="false" ht="15" hidden="false" customHeight="false" outlineLevel="0" collapsed="false">
      <c r="A154" s="37" t="s">
        <v>298</v>
      </c>
      <c r="B154" s="42" t="n">
        <v>45728</v>
      </c>
      <c r="C154" s="37" t="s">
        <v>142</v>
      </c>
      <c r="D154" s="37" t="s">
        <v>47</v>
      </c>
      <c r="E154" s="37" t="s">
        <v>96</v>
      </c>
      <c r="F154" s="37" t="s">
        <v>122</v>
      </c>
      <c r="G154" s="37" t="s">
        <v>93</v>
      </c>
      <c r="H154" s="37" t="n">
        <v>1</v>
      </c>
      <c r="I154" s="43" t="n">
        <v>1799</v>
      </c>
      <c r="J154" s="40" t="n">
        <v>0.2</v>
      </c>
    </row>
    <row r="155" customFormat="false" ht="15" hidden="false" customHeight="false" outlineLevel="0" collapsed="false">
      <c r="A155" s="37" t="s">
        <v>299</v>
      </c>
      <c r="B155" s="42" t="n">
        <v>45731</v>
      </c>
      <c r="C155" s="37" t="s">
        <v>172</v>
      </c>
      <c r="D155" s="37" t="s">
        <v>46</v>
      </c>
      <c r="E155" s="37" t="s">
        <v>97</v>
      </c>
      <c r="F155" s="37" t="s">
        <v>116</v>
      </c>
      <c r="G155" s="37" t="s">
        <v>91</v>
      </c>
      <c r="H155" s="37" t="n">
        <v>1</v>
      </c>
      <c r="I155" s="43" t="n">
        <v>899</v>
      </c>
      <c r="J155" s="40" t="n">
        <v>0.1</v>
      </c>
    </row>
    <row r="156" customFormat="false" ht="15" hidden="false" customHeight="false" outlineLevel="0" collapsed="false">
      <c r="A156" s="37" t="s">
        <v>300</v>
      </c>
      <c r="B156" s="42" t="n">
        <v>45731</v>
      </c>
      <c r="C156" s="37" t="s">
        <v>146</v>
      </c>
      <c r="D156" s="37" t="s">
        <v>45</v>
      </c>
      <c r="E156" s="37" t="s">
        <v>97</v>
      </c>
      <c r="F156" s="37" t="s">
        <v>110</v>
      </c>
      <c r="G156" s="37" t="s">
        <v>90</v>
      </c>
      <c r="H156" s="37" t="n">
        <v>1</v>
      </c>
      <c r="I156" s="43" t="n">
        <v>1299</v>
      </c>
      <c r="J156" s="40" t="n">
        <v>0</v>
      </c>
    </row>
    <row r="157" customFormat="false" ht="15" hidden="false" customHeight="false" outlineLevel="0" collapsed="false">
      <c r="A157" s="37" t="s">
        <v>301</v>
      </c>
      <c r="B157" s="42" t="n">
        <v>45720</v>
      </c>
      <c r="C157" s="37" t="s">
        <v>154</v>
      </c>
      <c r="D157" s="37" t="s">
        <v>47</v>
      </c>
      <c r="E157" s="37" t="s">
        <v>97</v>
      </c>
      <c r="F157" s="37" t="s">
        <v>122</v>
      </c>
      <c r="G157" s="37" t="s">
        <v>93</v>
      </c>
      <c r="H157" s="37" t="n">
        <v>1</v>
      </c>
      <c r="I157" s="43" t="n">
        <v>1799</v>
      </c>
      <c r="J157" s="40" t="n">
        <v>0</v>
      </c>
    </row>
    <row r="158" customFormat="false" ht="15" hidden="false" customHeight="false" outlineLevel="0" collapsed="false">
      <c r="A158" s="37" t="s">
        <v>302</v>
      </c>
      <c r="B158" s="42" t="n">
        <v>45722</v>
      </c>
      <c r="C158" s="37" t="s">
        <v>138</v>
      </c>
      <c r="D158" s="37" t="s">
        <v>46</v>
      </c>
      <c r="E158" s="37" t="s">
        <v>96</v>
      </c>
      <c r="F158" s="37" t="s">
        <v>118</v>
      </c>
      <c r="G158" s="37" t="s">
        <v>91</v>
      </c>
      <c r="H158" s="37" t="n">
        <v>4</v>
      </c>
      <c r="I158" s="43" t="n">
        <v>2299</v>
      </c>
      <c r="J158" s="40" t="n">
        <v>0</v>
      </c>
    </row>
    <row r="159" customFormat="false" ht="15" hidden="false" customHeight="false" outlineLevel="0" collapsed="false">
      <c r="A159" s="37" t="s">
        <v>303</v>
      </c>
      <c r="B159" s="42" t="n">
        <v>45728</v>
      </c>
      <c r="C159" s="37" t="s">
        <v>169</v>
      </c>
      <c r="D159" s="37" t="s">
        <v>44</v>
      </c>
      <c r="E159" s="37" t="s">
        <v>97</v>
      </c>
      <c r="F159" s="37" t="s">
        <v>112</v>
      </c>
      <c r="G159" s="37" t="s">
        <v>92</v>
      </c>
      <c r="H159" s="37" t="n">
        <v>1</v>
      </c>
      <c r="I159" s="43" t="n">
        <v>3299</v>
      </c>
      <c r="J159" s="40" t="n">
        <v>0.1</v>
      </c>
    </row>
    <row r="160" customFormat="false" ht="15" hidden="false" customHeight="false" outlineLevel="0" collapsed="false">
      <c r="A160" s="37" t="s">
        <v>304</v>
      </c>
      <c r="B160" s="42" t="n">
        <v>45734</v>
      </c>
      <c r="C160" s="37" t="s">
        <v>140</v>
      </c>
      <c r="D160" s="37" t="s">
        <v>44</v>
      </c>
      <c r="E160" s="37" t="s">
        <v>97</v>
      </c>
      <c r="F160" s="37" t="s">
        <v>117</v>
      </c>
      <c r="G160" s="37" t="s">
        <v>91</v>
      </c>
      <c r="H160" s="37" t="n">
        <v>3</v>
      </c>
      <c r="I160" s="43" t="n">
        <v>1499</v>
      </c>
      <c r="J160" s="40" t="n">
        <v>0</v>
      </c>
    </row>
    <row r="161" customFormat="false" ht="15" hidden="false" customHeight="false" outlineLevel="0" collapsed="false">
      <c r="A161" s="37" t="s">
        <v>305</v>
      </c>
      <c r="B161" s="42" t="n">
        <v>45729</v>
      </c>
      <c r="C161" s="37" t="s">
        <v>169</v>
      </c>
      <c r="D161" s="37" t="s">
        <v>44</v>
      </c>
      <c r="E161" s="37" t="s">
        <v>97</v>
      </c>
      <c r="F161" s="37" t="s">
        <v>121</v>
      </c>
      <c r="G161" s="37" t="s">
        <v>93</v>
      </c>
      <c r="H161" s="37" t="n">
        <v>2</v>
      </c>
      <c r="I161" s="43" t="n">
        <v>999</v>
      </c>
      <c r="J161" s="40" t="n">
        <v>0</v>
      </c>
    </row>
    <row r="162" customFormat="false" ht="15" hidden="false" customHeight="false" outlineLevel="0" collapsed="false">
      <c r="A162" s="37" t="s">
        <v>306</v>
      </c>
      <c r="B162" s="42" t="n">
        <v>45742</v>
      </c>
      <c r="C162" s="37" t="s">
        <v>146</v>
      </c>
      <c r="D162" s="37" t="s">
        <v>45</v>
      </c>
      <c r="E162" s="37" t="s">
        <v>96</v>
      </c>
      <c r="F162" s="37" t="s">
        <v>112</v>
      </c>
      <c r="G162" s="37" t="s">
        <v>92</v>
      </c>
      <c r="H162" s="37" t="n">
        <v>3</v>
      </c>
      <c r="I162" s="43" t="n">
        <v>3299</v>
      </c>
      <c r="J162" s="40" t="n">
        <v>0.15</v>
      </c>
    </row>
    <row r="163" customFormat="false" ht="15" hidden="false" customHeight="false" outlineLevel="0" collapsed="false">
      <c r="A163" s="37" t="s">
        <v>307</v>
      </c>
      <c r="B163" s="42" t="n">
        <v>45734</v>
      </c>
      <c r="C163" s="37" t="s">
        <v>160</v>
      </c>
      <c r="D163" s="37" t="s">
        <v>46</v>
      </c>
      <c r="E163" s="37" t="s">
        <v>96</v>
      </c>
      <c r="F163" s="37" t="s">
        <v>122</v>
      </c>
      <c r="G163" s="37" t="s">
        <v>93</v>
      </c>
      <c r="H163" s="37" t="n">
        <v>1</v>
      </c>
      <c r="I163" s="43" t="n">
        <v>1799</v>
      </c>
      <c r="J163" s="40" t="n">
        <v>0.4</v>
      </c>
    </row>
    <row r="164" customFormat="false" ht="15" hidden="false" customHeight="false" outlineLevel="0" collapsed="false">
      <c r="A164" s="37" t="s">
        <v>308</v>
      </c>
      <c r="B164" s="42" t="n">
        <v>45718</v>
      </c>
      <c r="C164" s="37" t="s">
        <v>166</v>
      </c>
      <c r="D164" s="37" t="s">
        <v>44</v>
      </c>
      <c r="E164" s="37" t="s">
        <v>96</v>
      </c>
      <c r="F164" s="37" t="s">
        <v>108</v>
      </c>
      <c r="G164" s="37" t="s">
        <v>90</v>
      </c>
      <c r="H164" s="37" t="n">
        <v>5</v>
      </c>
      <c r="I164" s="43" t="n">
        <v>1999</v>
      </c>
      <c r="J164" s="40" t="n">
        <v>0.1</v>
      </c>
    </row>
    <row r="165" customFormat="false" ht="15" hidden="false" customHeight="false" outlineLevel="0" collapsed="false">
      <c r="A165" s="37" t="s">
        <v>309</v>
      </c>
      <c r="B165" s="42" t="n">
        <v>45733</v>
      </c>
      <c r="C165" s="37" t="s">
        <v>154</v>
      </c>
      <c r="D165" s="37" t="s">
        <v>47</v>
      </c>
      <c r="E165" s="37" t="s">
        <v>96</v>
      </c>
      <c r="F165" s="37" t="s">
        <v>119</v>
      </c>
      <c r="G165" s="37" t="s">
        <v>91</v>
      </c>
      <c r="H165" s="37" t="n">
        <v>1</v>
      </c>
      <c r="I165" s="43" t="n">
        <v>1099</v>
      </c>
      <c r="J165" s="40" t="n">
        <v>0.15</v>
      </c>
    </row>
    <row r="166" customFormat="false" ht="15" hidden="false" customHeight="false" outlineLevel="0" collapsed="false">
      <c r="A166" s="37" t="s">
        <v>310</v>
      </c>
      <c r="B166" s="42" t="n">
        <v>45722</v>
      </c>
      <c r="C166" s="37" t="s">
        <v>160</v>
      </c>
      <c r="D166" s="37" t="s">
        <v>46</v>
      </c>
      <c r="E166" s="37" t="s">
        <v>97</v>
      </c>
      <c r="F166" s="37" t="s">
        <v>111</v>
      </c>
      <c r="G166" s="37" t="s">
        <v>90</v>
      </c>
      <c r="H166" s="37" t="n">
        <v>1</v>
      </c>
      <c r="I166" s="43" t="n">
        <v>2499</v>
      </c>
      <c r="J166" s="40" t="n">
        <v>0.05</v>
      </c>
    </row>
    <row r="167" customFormat="false" ht="15" hidden="false" customHeight="false" outlineLevel="0" collapsed="false">
      <c r="A167" s="37" t="s">
        <v>311</v>
      </c>
      <c r="B167" s="42" t="n">
        <v>45735</v>
      </c>
      <c r="C167" s="37" t="s">
        <v>172</v>
      </c>
      <c r="D167" s="37" t="s">
        <v>46</v>
      </c>
      <c r="E167" s="37" t="s">
        <v>96</v>
      </c>
      <c r="F167" s="37" t="s">
        <v>118</v>
      </c>
      <c r="G167" s="37" t="s">
        <v>91</v>
      </c>
      <c r="H167" s="37" t="n">
        <v>1</v>
      </c>
      <c r="I167" s="43" t="n">
        <v>2299</v>
      </c>
      <c r="J167" s="40" t="n">
        <v>0.25</v>
      </c>
    </row>
    <row r="168" customFormat="false" ht="15" hidden="false" customHeight="false" outlineLevel="0" collapsed="false">
      <c r="A168" s="37" t="s">
        <v>312</v>
      </c>
      <c r="B168" s="42" t="n">
        <v>45733</v>
      </c>
      <c r="C168" s="37" t="s">
        <v>136</v>
      </c>
      <c r="D168" s="37" t="s">
        <v>47</v>
      </c>
      <c r="E168" s="37" t="s">
        <v>97</v>
      </c>
      <c r="F168" s="37" t="s">
        <v>115</v>
      </c>
      <c r="G168" s="37" t="s">
        <v>92</v>
      </c>
      <c r="H168" s="37" t="n">
        <v>2</v>
      </c>
      <c r="I168" s="43" t="n">
        <v>1799</v>
      </c>
      <c r="J168" s="40" t="n">
        <v>0</v>
      </c>
    </row>
    <row r="169" customFormat="false" ht="15" hidden="false" customHeight="false" outlineLevel="0" collapsed="false">
      <c r="A169" s="37" t="s">
        <v>313</v>
      </c>
      <c r="B169" s="42" t="n">
        <v>45739</v>
      </c>
      <c r="C169" s="37" t="s">
        <v>138</v>
      </c>
      <c r="D169" s="37" t="s">
        <v>46</v>
      </c>
      <c r="E169" s="37" t="s">
        <v>97</v>
      </c>
      <c r="F169" s="37" t="s">
        <v>117</v>
      </c>
      <c r="G169" s="37" t="s">
        <v>91</v>
      </c>
      <c r="H169" s="37" t="n">
        <v>1</v>
      </c>
      <c r="I169" s="43" t="n">
        <v>1499</v>
      </c>
      <c r="J169" s="40" t="n">
        <v>0</v>
      </c>
    </row>
    <row r="170" customFormat="false" ht="15" hidden="false" customHeight="false" outlineLevel="0" collapsed="false">
      <c r="A170" s="37" t="s">
        <v>314</v>
      </c>
      <c r="B170" s="42" t="n">
        <v>45726</v>
      </c>
      <c r="C170" s="37" t="s">
        <v>146</v>
      </c>
      <c r="D170" s="37" t="s">
        <v>45</v>
      </c>
      <c r="E170" s="37" t="s">
        <v>97</v>
      </c>
      <c r="F170" s="37" t="s">
        <v>111</v>
      </c>
      <c r="G170" s="37" t="s">
        <v>90</v>
      </c>
      <c r="H170" s="37" t="n">
        <v>1</v>
      </c>
      <c r="I170" s="43" t="n">
        <v>2499</v>
      </c>
      <c r="J170" s="40" t="n">
        <v>0</v>
      </c>
    </row>
    <row r="171" customFormat="false" ht="15" hidden="false" customHeight="false" outlineLevel="0" collapsed="false">
      <c r="A171" s="37" t="s">
        <v>315</v>
      </c>
      <c r="B171" s="42" t="n">
        <v>45734</v>
      </c>
      <c r="C171" s="37" t="s">
        <v>136</v>
      </c>
      <c r="D171" s="37" t="s">
        <v>47</v>
      </c>
      <c r="E171" s="37" t="s">
        <v>96</v>
      </c>
      <c r="F171" s="37" t="s">
        <v>119</v>
      </c>
      <c r="G171" s="37" t="s">
        <v>91</v>
      </c>
      <c r="H171" s="37" t="n">
        <v>1</v>
      </c>
      <c r="I171" s="43" t="n">
        <v>1099</v>
      </c>
      <c r="J171" s="40" t="n">
        <v>0.15</v>
      </c>
    </row>
    <row r="172" customFormat="false" ht="15" hidden="false" customHeight="false" outlineLevel="0" collapsed="false">
      <c r="A172" s="37" t="s">
        <v>315</v>
      </c>
      <c r="B172" s="42" t="n">
        <v>45734</v>
      </c>
      <c r="C172" s="37" t="s">
        <v>136</v>
      </c>
      <c r="D172" s="37" t="s">
        <v>47</v>
      </c>
      <c r="E172" s="37" t="s">
        <v>96</v>
      </c>
      <c r="F172" s="37" t="s">
        <v>119</v>
      </c>
      <c r="G172" s="37" t="s">
        <v>91</v>
      </c>
      <c r="H172" s="37" t="n">
        <v>1</v>
      </c>
      <c r="I172" s="43" t="n">
        <v>1099</v>
      </c>
      <c r="J172" s="40" t="n">
        <v>0.15</v>
      </c>
    </row>
    <row r="173" customFormat="false" ht="15" hidden="false" customHeight="false" outlineLevel="0" collapsed="false">
      <c r="A173" s="37" t="s">
        <v>316</v>
      </c>
      <c r="B173" s="42" t="n">
        <v>45739</v>
      </c>
      <c r="C173" s="37" t="s">
        <v>172</v>
      </c>
      <c r="D173" s="37" t="s">
        <v>46</v>
      </c>
      <c r="E173" s="37" t="s">
        <v>96</v>
      </c>
      <c r="F173" s="37" t="s">
        <v>114</v>
      </c>
      <c r="G173" s="37" t="s">
        <v>92</v>
      </c>
      <c r="H173" s="37" t="n">
        <v>2</v>
      </c>
      <c r="I173" s="43" t="n">
        <v>1199</v>
      </c>
      <c r="J173" s="37" t="s">
        <v>1160</v>
      </c>
    </row>
    <row r="174" customFormat="false" ht="15" hidden="false" customHeight="false" outlineLevel="0" collapsed="false">
      <c r="A174" s="37" t="s">
        <v>317</v>
      </c>
      <c r="B174" s="42" t="n">
        <v>45722</v>
      </c>
      <c r="C174" s="37" t="s">
        <v>166</v>
      </c>
      <c r="D174" s="37" t="s">
        <v>44</v>
      </c>
      <c r="E174" s="37" t="s">
        <v>96</v>
      </c>
      <c r="F174" s="37" t="s">
        <v>115</v>
      </c>
      <c r="G174" s="37" t="s">
        <v>92</v>
      </c>
      <c r="H174" s="37" t="n">
        <v>1</v>
      </c>
      <c r="I174" s="43" t="n">
        <v>1799</v>
      </c>
      <c r="J174" s="40" t="n">
        <v>0.15</v>
      </c>
    </row>
    <row r="175" customFormat="false" ht="15" hidden="false" customHeight="false" outlineLevel="0" collapsed="false">
      <c r="A175" s="37" t="s">
        <v>318</v>
      </c>
      <c r="B175" s="42" t="n">
        <v>45742</v>
      </c>
      <c r="C175" s="37" t="s">
        <v>140</v>
      </c>
      <c r="D175" s="37" t="s">
        <v>44</v>
      </c>
      <c r="E175" s="37" t="s">
        <v>97</v>
      </c>
      <c r="F175" s="37" t="s">
        <v>109</v>
      </c>
      <c r="G175" s="37" t="s">
        <v>90</v>
      </c>
      <c r="H175" s="37" t="n">
        <v>1</v>
      </c>
      <c r="I175" s="43" t="n">
        <v>3499</v>
      </c>
      <c r="J175" s="40" t="n">
        <v>0.1</v>
      </c>
    </row>
    <row r="176" customFormat="false" ht="15" hidden="false" customHeight="false" outlineLevel="0" collapsed="false">
      <c r="A176" s="37" t="s">
        <v>319</v>
      </c>
      <c r="B176" s="42" t="n">
        <v>45736</v>
      </c>
      <c r="C176" s="37" t="s">
        <v>142</v>
      </c>
      <c r="D176" s="37" t="s">
        <v>47</v>
      </c>
      <c r="E176" s="37" t="s">
        <v>96</v>
      </c>
      <c r="F176" s="37" t="s">
        <v>120</v>
      </c>
      <c r="G176" s="37" t="s">
        <v>93</v>
      </c>
      <c r="H176" s="37" t="n">
        <v>2</v>
      </c>
      <c r="I176" s="43" t="n">
        <v>449</v>
      </c>
      <c r="J176" s="40" t="n">
        <v>0.3</v>
      </c>
    </row>
    <row r="177" customFormat="false" ht="15" hidden="false" customHeight="false" outlineLevel="0" collapsed="false">
      <c r="A177" s="37" t="s">
        <v>320</v>
      </c>
      <c r="B177" s="42" t="n">
        <v>45744</v>
      </c>
      <c r="C177" s="37" t="s">
        <v>142</v>
      </c>
      <c r="D177" s="37" t="s">
        <v>47</v>
      </c>
      <c r="E177" s="37" t="s">
        <v>96</v>
      </c>
      <c r="F177" s="37" t="s">
        <v>110</v>
      </c>
      <c r="G177" s="37" t="s">
        <v>90</v>
      </c>
      <c r="H177" s="37" t="n">
        <v>2</v>
      </c>
      <c r="I177" s="43" t="n">
        <v>1299</v>
      </c>
      <c r="J177" s="40" t="n">
        <v>0.05</v>
      </c>
    </row>
    <row r="178" customFormat="false" ht="15" hidden="false" customHeight="false" outlineLevel="0" collapsed="false">
      <c r="A178" s="37" t="s">
        <v>321</v>
      </c>
      <c r="B178" s="37" t="s">
        <v>1161</v>
      </c>
      <c r="C178" s="37" t="s">
        <v>166</v>
      </c>
      <c r="D178" s="37" t="s">
        <v>44</v>
      </c>
      <c r="E178" s="37" t="s">
        <v>96</v>
      </c>
      <c r="F178" s="37" t="s">
        <v>115</v>
      </c>
      <c r="G178" s="37" t="s">
        <v>92</v>
      </c>
      <c r="H178" s="37" t="n">
        <v>2</v>
      </c>
      <c r="I178" s="43" t="n">
        <v>1799</v>
      </c>
      <c r="J178" s="40" t="n">
        <v>0.2</v>
      </c>
    </row>
    <row r="179" customFormat="false" ht="15" hidden="false" customHeight="false" outlineLevel="0" collapsed="false">
      <c r="A179" s="37" t="s">
        <v>322</v>
      </c>
      <c r="B179" s="42" t="n">
        <v>45730</v>
      </c>
      <c r="C179" s="37" t="s">
        <v>169</v>
      </c>
      <c r="D179" s="37" t="s">
        <v>44</v>
      </c>
      <c r="E179" s="37" t="s">
        <v>96</v>
      </c>
      <c r="F179" s="37" t="s">
        <v>114</v>
      </c>
      <c r="G179" s="37" t="s">
        <v>92</v>
      </c>
      <c r="H179" s="37" t="n">
        <v>1</v>
      </c>
      <c r="I179" s="43" t="n">
        <v>1199</v>
      </c>
      <c r="J179" s="40" t="n">
        <v>0.1</v>
      </c>
    </row>
    <row r="180" customFormat="false" ht="15" hidden="false" customHeight="false" outlineLevel="0" collapsed="false">
      <c r="A180" s="37" t="s">
        <v>323</v>
      </c>
      <c r="B180" s="42" t="n">
        <v>45738</v>
      </c>
      <c r="C180" s="37" t="s">
        <v>136</v>
      </c>
      <c r="D180" s="37" t="s">
        <v>47</v>
      </c>
      <c r="E180" s="37" t="s">
        <v>96</v>
      </c>
      <c r="F180" s="37" t="s">
        <v>112</v>
      </c>
      <c r="G180" s="37" t="s">
        <v>92</v>
      </c>
      <c r="H180" s="37" t="n">
        <v>2</v>
      </c>
      <c r="I180" s="43" t="n">
        <v>3299</v>
      </c>
      <c r="J180" s="40" t="n">
        <v>0.3</v>
      </c>
    </row>
    <row r="181" customFormat="false" ht="15" hidden="false" customHeight="false" outlineLevel="0" collapsed="false">
      <c r="A181" s="37" t="s">
        <v>324</v>
      </c>
      <c r="B181" s="42" t="n">
        <v>45719</v>
      </c>
      <c r="C181" s="37" t="s">
        <v>138</v>
      </c>
      <c r="D181" s="37" t="s">
        <v>46</v>
      </c>
      <c r="E181" s="37" t="s">
        <v>97</v>
      </c>
      <c r="F181" s="37" t="s">
        <v>117</v>
      </c>
      <c r="G181" s="37" t="s">
        <v>91</v>
      </c>
      <c r="H181" s="37" t="n">
        <v>1</v>
      </c>
      <c r="I181" s="43" t="n">
        <v>1499</v>
      </c>
      <c r="J181" s="40" t="n">
        <v>0.05</v>
      </c>
    </row>
    <row r="182" customFormat="false" ht="15" hidden="false" customHeight="false" outlineLevel="0" collapsed="false">
      <c r="A182" s="37" t="s">
        <v>325</v>
      </c>
      <c r="B182" s="42" t="n">
        <v>45722</v>
      </c>
      <c r="C182" s="37" t="s">
        <v>154</v>
      </c>
      <c r="D182" s="37" t="s">
        <v>47</v>
      </c>
      <c r="E182" s="37" t="s">
        <v>96</v>
      </c>
      <c r="F182" s="37" t="s">
        <v>110</v>
      </c>
      <c r="G182" s="37" t="s">
        <v>90</v>
      </c>
      <c r="H182" s="37" t="n">
        <v>2</v>
      </c>
      <c r="I182" s="43" t="n">
        <v>1299</v>
      </c>
      <c r="J182" s="40" t="n">
        <v>0.1</v>
      </c>
    </row>
    <row r="183" customFormat="false" ht="15" hidden="false" customHeight="false" outlineLevel="0" collapsed="false">
      <c r="A183" s="37" t="s">
        <v>326</v>
      </c>
      <c r="B183" s="42" t="n">
        <v>45745</v>
      </c>
      <c r="C183" s="37" t="s">
        <v>1162</v>
      </c>
      <c r="D183" s="37" t="s">
        <v>44</v>
      </c>
      <c r="E183" s="37" t="s">
        <v>96</v>
      </c>
      <c r="F183" s="37" t="s">
        <v>116</v>
      </c>
      <c r="G183" s="37" t="s">
        <v>91</v>
      </c>
      <c r="H183" s="37" t="n">
        <v>1</v>
      </c>
      <c r="I183" s="43" t="n">
        <v>899</v>
      </c>
      <c r="J183" s="40" t="n">
        <v>0.2</v>
      </c>
    </row>
    <row r="184" customFormat="false" ht="15" hidden="false" customHeight="false" outlineLevel="0" collapsed="false">
      <c r="A184" s="37" t="s">
        <v>327</v>
      </c>
      <c r="B184" s="42" t="n">
        <v>45730</v>
      </c>
      <c r="C184" s="37" t="s">
        <v>140</v>
      </c>
      <c r="D184" s="37" t="s">
        <v>44</v>
      </c>
      <c r="E184" s="37" t="s">
        <v>97</v>
      </c>
      <c r="F184" s="37" t="s">
        <v>112</v>
      </c>
      <c r="G184" s="37" t="s">
        <v>92</v>
      </c>
      <c r="H184" s="37" t="n">
        <v>3</v>
      </c>
      <c r="I184" s="43" t="n">
        <v>3299</v>
      </c>
      <c r="J184" s="40" t="n">
        <v>0.05</v>
      </c>
    </row>
    <row r="185" customFormat="false" ht="15" hidden="false" customHeight="false" outlineLevel="0" collapsed="false">
      <c r="A185" s="37" t="s">
        <v>328</v>
      </c>
      <c r="B185" s="42" t="n">
        <v>45723</v>
      </c>
      <c r="C185" s="37" t="s">
        <v>169</v>
      </c>
      <c r="D185" s="37" t="s">
        <v>44</v>
      </c>
      <c r="E185" s="37" t="s">
        <v>97</v>
      </c>
      <c r="F185" s="37" t="s">
        <v>118</v>
      </c>
      <c r="G185" s="37" t="s">
        <v>91</v>
      </c>
      <c r="H185" s="37" t="n">
        <v>1</v>
      </c>
      <c r="I185" s="43" t="n">
        <v>2299</v>
      </c>
      <c r="J185" s="40" t="n">
        <v>0.05</v>
      </c>
    </row>
    <row r="186" customFormat="false" ht="15" hidden="false" customHeight="false" outlineLevel="0" collapsed="false">
      <c r="A186" s="37" t="s">
        <v>329</v>
      </c>
      <c r="B186" s="42" t="n">
        <v>45722</v>
      </c>
      <c r="C186" s="37" t="s">
        <v>1155</v>
      </c>
      <c r="D186" s="37" t="s">
        <v>45</v>
      </c>
      <c r="E186" s="37" t="s">
        <v>97</v>
      </c>
      <c r="F186" s="37" t="s">
        <v>119</v>
      </c>
      <c r="G186" s="37" t="s">
        <v>91</v>
      </c>
      <c r="H186" s="37" t="n">
        <v>1</v>
      </c>
      <c r="I186" s="43" t="n">
        <v>1099</v>
      </c>
      <c r="J186" s="40" t="n">
        <v>0</v>
      </c>
    </row>
    <row r="187" customFormat="false" ht="15" hidden="false" customHeight="false" outlineLevel="0" collapsed="false">
      <c r="A187" s="37" t="s">
        <v>330</v>
      </c>
      <c r="B187" s="42" t="n">
        <v>45741</v>
      </c>
      <c r="C187" s="37" t="s">
        <v>136</v>
      </c>
      <c r="D187" s="37" t="s">
        <v>47</v>
      </c>
      <c r="E187" s="37" t="s">
        <v>96</v>
      </c>
      <c r="F187" s="37" t="s">
        <v>123</v>
      </c>
      <c r="G187" s="37" t="s">
        <v>93</v>
      </c>
      <c r="H187" s="37" t="n">
        <v>2</v>
      </c>
      <c r="I187" s="43" t="n">
        <v>1299</v>
      </c>
      <c r="J187" s="40" t="n">
        <v>0</v>
      </c>
    </row>
    <row r="188" customFormat="false" ht="15" hidden="false" customHeight="false" outlineLevel="0" collapsed="false">
      <c r="A188" s="37" t="s">
        <v>331</v>
      </c>
      <c r="B188" s="42" t="n">
        <v>45720</v>
      </c>
      <c r="C188" s="37" t="s">
        <v>140</v>
      </c>
      <c r="D188" s="37" t="s">
        <v>44</v>
      </c>
      <c r="E188" s="37" t="s">
        <v>97</v>
      </c>
      <c r="F188" s="37" t="s">
        <v>110</v>
      </c>
      <c r="G188" s="37" t="s">
        <v>90</v>
      </c>
      <c r="H188" s="37" t="n">
        <v>2</v>
      </c>
      <c r="I188" s="43" t="n">
        <v>1299</v>
      </c>
      <c r="J188" s="40" t="n">
        <v>0</v>
      </c>
    </row>
    <row r="189" customFormat="false" ht="15" hidden="false" customHeight="false" outlineLevel="0" collapsed="false">
      <c r="A189" s="37" t="s">
        <v>332</v>
      </c>
      <c r="B189" s="42" t="n">
        <v>45729</v>
      </c>
      <c r="C189" s="37" t="s">
        <v>136</v>
      </c>
      <c r="D189" s="37" t="s">
        <v>47</v>
      </c>
      <c r="E189" s="37" t="s">
        <v>97</v>
      </c>
      <c r="F189" s="37" t="s">
        <v>114</v>
      </c>
      <c r="G189" s="37" t="s">
        <v>92</v>
      </c>
      <c r="H189" s="37" t="n">
        <v>1</v>
      </c>
      <c r="I189" s="43" t="n">
        <v>1199</v>
      </c>
      <c r="J189" s="40" t="n">
        <v>0.15</v>
      </c>
    </row>
    <row r="190" customFormat="false" ht="15" hidden="false" customHeight="false" outlineLevel="0" collapsed="false">
      <c r="A190" s="37" t="s">
        <v>333</v>
      </c>
      <c r="B190" s="42" t="n">
        <v>45745</v>
      </c>
      <c r="C190" s="37" t="s">
        <v>146</v>
      </c>
      <c r="D190" s="37" t="s">
        <v>45</v>
      </c>
      <c r="E190" s="37" t="s">
        <v>96</v>
      </c>
      <c r="F190" s="37" t="s">
        <v>108</v>
      </c>
      <c r="G190" s="37" t="s">
        <v>90</v>
      </c>
      <c r="H190" s="37" t="n">
        <v>1</v>
      </c>
      <c r="I190" s="43" t="n">
        <v>1999</v>
      </c>
      <c r="J190" s="40" t="n">
        <v>0.3</v>
      </c>
    </row>
    <row r="191" customFormat="false" ht="15" hidden="false" customHeight="false" outlineLevel="0" collapsed="false">
      <c r="A191" s="37" t="s">
        <v>334</v>
      </c>
      <c r="B191" s="42" t="n">
        <v>45720</v>
      </c>
      <c r="C191" s="37" t="s">
        <v>146</v>
      </c>
      <c r="D191" s="37" t="s">
        <v>45</v>
      </c>
      <c r="E191" s="37" t="s">
        <v>97</v>
      </c>
      <c r="F191" s="37" t="s">
        <v>120</v>
      </c>
      <c r="G191" s="37" t="s">
        <v>93</v>
      </c>
      <c r="H191" s="37" t="n">
        <v>1</v>
      </c>
      <c r="I191" s="43" t="n">
        <v>449</v>
      </c>
      <c r="J191" s="40" t="n">
        <v>0.1</v>
      </c>
    </row>
    <row r="192" customFormat="false" ht="15" hidden="false" customHeight="false" outlineLevel="0" collapsed="false">
      <c r="A192" s="37" t="s">
        <v>335</v>
      </c>
      <c r="B192" s="42" t="n">
        <v>45725</v>
      </c>
      <c r="C192" s="37" t="s">
        <v>144</v>
      </c>
      <c r="D192" s="37" t="s">
        <v>45</v>
      </c>
      <c r="E192" s="37" t="s">
        <v>96</v>
      </c>
      <c r="F192" s="37" t="s">
        <v>115</v>
      </c>
      <c r="G192" s="37" t="s">
        <v>92</v>
      </c>
      <c r="H192" s="37" t="n">
        <v>1</v>
      </c>
      <c r="I192" s="43" t="n">
        <v>1799</v>
      </c>
      <c r="J192" s="40" t="n">
        <v>0.15</v>
      </c>
    </row>
    <row r="193" customFormat="false" ht="15" hidden="false" customHeight="false" outlineLevel="0" collapsed="false">
      <c r="A193" s="37" t="s">
        <v>336</v>
      </c>
      <c r="B193" s="42" t="n">
        <v>45747</v>
      </c>
      <c r="C193" s="37" t="s">
        <v>144</v>
      </c>
      <c r="D193" s="37" t="s">
        <v>45</v>
      </c>
      <c r="E193" s="37" t="s">
        <v>97</v>
      </c>
      <c r="F193" s="37" t="s">
        <v>118</v>
      </c>
      <c r="G193" s="37" t="s">
        <v>91</v>
      </c>
      <c r="H193" s="37" t="n">
        <v>3</v>
      </c>
      <c r="I193" s="43" t="n">
        <v>2299</v>
      </c>
      <c r="J193" s="40" t="n">
        <v>0.05</v>
      </c>
    </row>
    <row r="194" customFormat="false" ht="15" hidden="false" customHeight="false" outlineLevel="0" collapsed="false">
      <c r="A194" s="37" t="s">
        <v>337</v>
      </c>
      <c r="B194" s="42" t="n">
        <v>45733</v>
      </c>
      <c r="C194" s="37" t="s">
        <v>142</v>
      </c>
      <c r="D194" s="37" t="s">
        <v>47</v>
      </c>
      <c r="E194" s="37" t="s">
        <v>96</v>
      </c>
      <c r="F194" s="37" t="s">
        <v>121</v>
      </c>
      <c r="G194" s="37" t="s">
        <v>93</v>
      </c>
      <c r="H194" s="37" t="n">
        <v>1</v>
      </c>
      <c r="I194" s="43" t="n">
        <v>999</v>
      </c>
      <c r="J194" s="40" t="n">
        <v>0.2</v>
      </c>
    </row>
    <row r="195" customFormat="false" ht="15" hidden="false" customHeight="false" outlineLevel="0" collapsed="false">
      <c r="A195" s="37" t="s">
        <v>338</v>
      </c>
      <c r="B195" s="42" t="n">
        <v>45727</v>
      </c>
      <c r="C195" s="37" t="s">
        <v>169</v>
      </c>
      <c r="D195" s="37" t="s">
        <v>44</v>
      </c>
      <c r="E195" s="37" t="s">
        <v>96</v>
      </c>
      <c r="F195" s="37" t="s">
        <v>118</v>
      </c>
      <c r="G195" s="37" t="s">
        <v>91</v>
      </c>
      <c r="H195" s="37" t="n">
        <v>1</v>
      </c>
      <c r="I195" s="43" t="n">
        <v>2299</v>
      </c>
      <c r="J195" s="37" t="s">
        <v>1163</v>
      </c>
    </row>
    <row r="196" customFormat="false" ht="15" hidden="false" customHeight="false" outlineLevel="0" collapsed="false">
      <c r="A196" s="37" t="s">
        <v>339</v>
      </c>
      <c r="B196" s="42" t="n">
        <v>45729</v>
      </c>
      <c r="C196" s="37" t="s">
        <v>166</v>
      </c>
      <c r="D196" s="37" t="s">
        <v>44</v>
      </c>
      <c r="E196" s="37" t="s">
        <v>96</v>
      </c>
      <c r="F196" s="37" t="s">
        <v>119</v>
      </c>
      <c r="G196" s="37" t="s">
        <v>91</v>
      </c>
      <c r="H196" s="37" t="n">
        <v>2</v>
      </c>
      <c r="I196" s="43" t="n">
        <v>1099</v>
      </c>
      <c r="J196" s="40" t="n">
        <v>0.1</v>
      </c>
    </row>
    <row r="197" customFormat="false" ht="15" hidden="false" customHeight="false" outlineLevel="0" collapsed="false">
      <c r="A197" s="37" t="s">
        <v>340</v>
      </c>
      <c r="B197" s="42" t="n">
        <v>45729</v>
      </c>
      <c r="C197" s="37" t="s">
        <v>142</v>
      </c>
      <c r="D197" s="37" t="s">
        <v>47</v>
      </c>
      <c r="E197" s="37" t="s">
        <v>96</v>
      </c>
      <c r="F197" s="37" t="s">
        <v>115</v>
      </c>
      <c r="G197" s="37" t="s">
        <v>92</v>
      </c>
      <c r="H197" s="37" t="n">
        <v>1</v>
      </c>
      <c r="I197" s="43" t="n">
        <v>1799</v>
      </c>
      <c r="J197" s="40" t="n">
        <v>0.1</v>
      </c>
    </row>
    <row r="198" customFormat="false" ht="15" hidden="false" customHeight="false" outlineLevel="0" collapsed="false">
      <c r="A198" s="37" t="s">
        <v>341</v>
      </c>
      <c r="B198" s="42" t="n">
        <v>45746</v>
      </c>
      <c r="C198" s="37" t="s">
        <v>142</v>
      </c>
      <c r="D198" s="37" t="s">
        <v>47</v>
      </c>
      <c r="E198" s="37" t="s">
        <v>97</v>
      </c>
      <c r="F198" s="37" t="s">
        <v>113</v>
      </c>
      <c r="G198" s="37" t="s">
        <v>92</v>
      </c>
      <c r="H198" s="37" t="n">
        <v>1</v>
      </c>
      <c r="I198" s="43" t="n">
        <v>2199</v>
      </c>
      <c r="J198" s="40" t="n">
        <v>0.15</v>
      </c>
    </row>
    <row r="199" customFormat="false" ht="15" hidden="false" customHeight="false" outlineLevel="0" collapsed="false">
      <c r="A199" s="37" t="s">
        <v>342</v>
      </c>
      <c r="B199" s="42" t="n">
        <v>45745</v>
      </c>
      <c r="C199" s="37" t="s">
        <v>1155</v>
      </c>
      <c r="D199" s="37" t="s">
        <v>45</v>
      </c>
      <c r="E199" s="37" t="s">
        <v>97</v>
      </c>
      <c r="F199" s="37" t="s">
        <v>110</v>
      </c>
      <c r="G199" s="37" t="s">
        <v>90</v>
      </c>
      <c r="H199" s="37" t="n">
        <v>1</v>
      </c>
      <c r="I199" s="43" t="n">
        <v>1299</v>
      </c>
      <c r="J199" s="40" t="n">
        <v>0</v>
      </c>
    </row>
    <row r="200" customFormat="false" ht="15" hidden="false" customHeight="false" outlineLevel="0" collapsed="false">
      <c r="A200" s="37" t="s">
        <v>343</v>
      </c>
      <c r="B200" s="42" t="n">
        <v>45734</v>
      </c>
      <c r="C200" s="37" t="s">
        <v>138</v>
      </c>
      <c r="D200" s="37" t="s">
        <v>46</v>
      </c>
      <c r="E200" s="37" t="s">
        <v>96</v>
      </c>
      <c r="F200" s="37" t="s">
        <v>121</v>
      </c>
      <c r="G200" s="37" t="s">
        <v>93</v>
      </c>
      <c r="H200" s="37" t="n">
        <v>5</v>
      </c>
      <c r="I200" s="43" t="n">
        <v>999</v>
      </c>
      <c r="J200" s="40" t="n">
        <v>0.05</v>
      </c>
    </row>
    <row r="201" customFormat="false" ht="15" hidden="false" customHeight="false" outlineLevel="0" collapsed="false">
      <c r="A201" s="37" t="s">
        <v>344</v>
      </c>
      <c r="B201" s="42" t="n">
        <v>45745</v>
      </c>
      <c r="C201" s="37" t="s">
        <v>169</v>
      </c>
      <c r="D201" s="37" t="s">
        <v>44</v>
      </c>
      <c r="E201" s="37" t="s">
        <v>96</v>
      </c>
      <c r="F201" s="37" t="s">
        <v>110</v>
      </c>
      <c r="G201" s="37" t="s">
        <v>90</v>
      </c>
      <c r="H201" s="37" t="n">
        <v>1</v>
      </c>
      <c r="I201" s="43" t="n">
        <v>1299</v>
      </c>
      <c r="J201" s="40" t="n">
        <v>0.2</v>
      </c>
    </row>
    <row r="202" customFormat="false" ht="15" hidden="false" customHeight="false" outlineLevel="0" collapsed="false">
      <c r="A202" s="37" t="s">
        <v>345</v>
      </c>
      <c r="B202" s="42" t="n">
        <v>45734</v>
      </c>
      <c r="C202" s="37" t="s">
        <v>154</v>
      </c>
      <c r="D202" s="37" t="s">
        <v>47</v>
      </c>
      <c r="E202" s="37" t="s">
        <v>96</v>
      </c>
      <c r="F202" s="37" t="s">
        <v>119</v>
      </c>
      <c r="G202" s="37" t="s">
        <v>91</v>
      </c>
      <c r="H202" s="37" t="n">
        <v>3</v>
      </c>
      <c r="I202" s="43" t="n">
        <v>1099</v>
      </c>
      <c r="J202" s="40" t="n">
        <v>0.05</v>
      </c>
    </row>
    <row r="203" customFormat="false" ht="15" hidden="false" customHeight="false" outlineLevel="0" collapsed="false">
      <c r="A203" s="37" t="s">
        <v>346</v>
      </c>
      <c r="B203" s="42" t="n">
        <v>45747</v>
      </c>
      <c r="C203" s="37" t="s">
        <v>140</v>
      </c>
      <c r="D203" s="37" t="s">
        <v>44</v>
      </c>
      <c r="E203" s="37" t="s">
        <v>97</v>
      </c>
      <c r="F203" s="37" t="s">
        <v>113</v>
      </c>
      <c r="G203" s="37" t="s">
        <v>92</v>
      </c>
      <c r="H203" s="37" t="n">
        <v>2</v>
      </c>
      <c r="I203" s="43" t="n">
        <v>2199</v>
      </c>
      <c r="J203" s="40" t="n">
        <v>0.1</v>
      </c>
    </row>
    <row r="204" customFormat="false" ht="15" hidden="false" customHeight="false" outlineLevel="0" collapsed="false">
      <c r="A204" s="37" t="s">
        <v>347</v>
      </c>
      <c r="B204" s="42" t="n">
        <v>45741</v>
      </c>
      <c r="C204" s="37" t="s">
        <v>140</v>
      </c>
      <c r="D204" s="37" t="s">
        <v>44</v>
      </c>
      <c r="E204" s="37" t="s">
        <v>97</v>
      </c>
      <c r="F204" s="37" t="s">
        <v>115</v>
      </c>
      <c r="G204" s="37" t="s">
        <v>92</v>
      </c>
      <c r="H204" s="37" t="n">
        <v>5</v>
      </c>
      <c r="I204" s="43" t="n">
        <v>1799</v>
      </c>
      <c r="J204" s="40" t="n">
        <v>0</v>
      </c>
    </row>
    <row r="205" customFormat="false" ht="15" hidden="false" customHeight="false" outlineLevel="0" collapsed="false">
      <c r="A205" s="37" t="s">
        <v>348</v>
      </c>
      <c r="B205" s="42" t="n">
        <v>45745</v>
      </c>
      <c r="C205" s="37" t="s">
        <v>1155</v>
      </c>
      <c r="D205" s="37" t="s">
        <v>45</v>
      </c>
      <c r="E205" s="37" t="s">
        <v>96</v>
      </c>
      <c r="F205" s="37" t="s">
        <v>108</v>
      </c>
      <c r="G205" s="37" t="s">
        <v>90</v>
      </c>
      <c r="H205" s="37" t="n">
        <v>5</v>
      </c>
      <c r="I205" s="43" t="n">
        <v>1999</v>
      </c>
      <c r="J205" s="40" t="n">
        <v>0</v>
      </c>
    </row>
    <row r="206" customFormat="false" ht="15" hidden="false" customHeight="false" outlineLevel="0" collapsed="false">
      <c r="A206" s="37" t="s">
        <v>349</v>
      </c>
      <c r="B206" s="42" t="n">
        <v>45720</v>
      </c>
      <c r="C206" s="37" t="s">
        <v>154</v>
      </c>
      <c r="D206" s="37" t="s">
        <v>47</v>
      </c>
      <c r="E206" s="37" t="s">
        <v>97</v>
      </c>
      <c r="F206" s="37" t="s">
        <v>108</v>
      </c>
      <c r="G206" s="37" t="s">
        <v>90</v>
      </c>
      <c r="H206" s="37" t="n">
        <v>3</v>
      </c>
      <c r="I206" s="43" t="n">
        <v>1999</v>
      </c>
      <c r="J206" s="40" t="n">
        <v>0.1</v>
      </c>
    </row>
    <row r="207" customFormat="false" ht="15" hidden="false" customHeight="false" outlineLevel="0" collapsed="false">
      <c r="A207" s="37" t="s">
        <v>350</v>
      </c>
      <c r="B207" s="42" t="n">
        <v>45728</v>
      </c>
      <c r="C207" s="37" t="s">
        <v>140</v>
      </c>
      <c r="D207" s="37" t="s">
        <v>44</v>
      </c>
      <c r="E207" s="37" t="s">
        <v>97</v>
      </c>
      <c r="F207" s="37" t="s">
        <v>117</v>
      </c>
      <c r="G207" s="37" t="s">
        <v>91</v>
      </c>
      <c r="H207" s="37" t="n">
        <v>1</v>
      </c>
      <c r="I207" s="43" t="n">
        <v>1499</v>
      </c>
      <c r="J207" s="40" t="n">
        <v>0</v>
      </c>
    </row>
    <row r="208" customFormat="false" ht="15" hidden="false" customHeight="false" outlineLevel="0" collapsed="false">
      <c r="A208" s="37" t="s">
        <v>351</v>
      </c>
      <c r="B208" s="42" t="n">
        <v>45742</v>
      </c>
      <c r="C208" s="37" t="s">
        <v>142</v>
      </c>
      <c r="D208" s="37" t="s">
        <v>47</v>
      </c>
      <c r="E208" s="37" t="s">
        <v>96</v>
      </c>
      <c r="F208" s="37" t="s">
        <v>115</v>
      </c>
      <c r="G208" s="37" t="s">
        <v>92</v>
      </c>
      <c r="H208" s="37" t="n">
        <v>1</v>
      </c>
      <c r="I208" s="43" t="n">
        <v>1799</v>
      </c>
      <c r="J208" s="40" t="n">
        <v>0.1</v>
      </c>
    </row>
    <row r="209" customFormat="false" ht="15" hidden="false" customHeight="false" outlineLevel="0" collapsed="false">
      <c r="A209" s="37" t="s">
        <v>352</v>
      </c>
      <c r="B209" s="42" t="n">
        <v>45733</v>
      </c>
      <c r="C209" s="37" t="s">
        <v>169</v>
      </c>
      <c r="D209" s="37" t="s">
        <v>44</v>
      </c>
      <c r="E209" s="37" t="s">
        <v>97</v>
      </c>
      <c r="F209" s="37" t="s">
        <v>119</v>
      </c>
      <c r="G209" s="37" t="s">
        <v>91</v>
      </c>
      <c r="H209" s="37" t="n">
        <v>1</v>
      </c>
      <c r="I209" s="43" t="n">
        <v>1099</v>
      </c>
      <c r="J209" s="40" t="n">
        <v>0.15</v>
      </c>
    </row>
    <row r="210" customFormat="false" ht="15" hidden="false" customHeight="false" outlineLevel="0" collapsed="false">
      <c r="A210" s="37" t="s">
        <v>353</v>
      </c>
      <c r="B210" s="42" t="n">
        <v>45723</v>
      </c>
      <c r="C210" s="37" t="s">
        <v>160</v>
      </c>
      <c r="D210" s="37" t="s">
        <v>46</v>
      </c>
      <c r="E210" s="37" t="s">
        <v>97</v>
      </c>
      <c r="F210" s="37" t="s">
        <v>119</v>
      </c>
      <c r="G210" s="37" t="s">
        <v>91</v>
      </c>
      <c r="H210" s="37" t="n">
        <v>2</v>
      </c>
      <c r="I210" s="43" t="n">
        <v>1099</v>
      </c>
      <c r="J210" s="40" t="n">
        <v>0</v>
      </c>
    </row>
    <row r="211" customFormat="false" ht="15" hidden="false" customHeight="false" outlineLevel="0" collapsed="false">
      <c r="A211" s="37" t="s">
        <v>354</v>
      </c>
      <c r="B211" s="42" t="n">
        <v>45722</v>
      </c>
      <c r="C211" s="37" t="s">
        <v>144</v>
      </c>
      <c r="D211" s="37" t="s">
        <v>45</v>
      </c>
      <c r="E211" s="37" t="s">
        <v>96</v>
      </c>
      <c r="F211" s="37" t="s">
        <v>116</v>
      </c>
      <c r="G211" s="37" t="s">
        <v>91</v>
      </c>
      <c r="H211" s="37" t="n">
        <v>1</v>
      </c>
      <c r="I211" s="43" t="n">
        <v>899</v>
      </c>
      <c r="J211" s="40" t="n">
        <v>0.1</v>
      </c>
    </row>
    <row r="212" customFormat="false" ht="15" hidden="false" customHeight="false" outlineLevel="0" collapsed="false">
      <c r="A212" s="37" t="s">
        <v>355</v>
      </c>
      <c r="B212" s="42" t="n">
        <v>45761</v>
      </c>
      <c r="C212" s="37" t="s">
        <v>138</v>
      </c>
      <c r="D212" s="37" t="s">
        <v>46</v>
      </c>
      <c r="E212" s="37" t="s">
        <v>97</v>
      </c>
      <c r="F212" s="37" t="s">
        <v>108</v>
      </c>
      <c r="G212" s="37" t="s">
        <v>90</v>
      </c>
      <c r="H212" s="37" t="n">
        <v>1</v>
      </c>
      <c r="I212" s="43" t="n">
        <v>1999</v>
      </c>
      <c r="J212" s="40" t="n">
        <v>0.05</v>
      </c>
    </row>
    <row r="213" customFormat="false" ht="15" hidden="false" customHeight="false" outlineLevel="0" collapsed="false">
      <c r="A213" s="37" t="s">
        <v>356</v>
      </c>
      <c r="B213" s="42" t="n">
        <v>45775</v>
      </c>
      <c r="C213" s="37" t="s">
        <v>154</v>
      </c>
      <c r="D213" s="37" t="s">
        <v>47</v>
      </c>
      <c r="E213" s="37" t="s">
        <v>96</v>
      </c>
      <c r="F213" s="37" t="s">
        <v>119</v>
      </c>
      <c r="G213" s="37"/>
      <c r="H213" s="37" t="n">
        <v>2</v>
      </c>
      <c r="I213" s="43" t="n">
        <v>1099</v>
      </c>
      <c r="J213" s="40" t="n">
        <v>0.25</v>
      </c>
    </row>
    <row r="214" customFormat="false" ht="15" hidden="false" customHeight="false" outlineLevel="0" collapsed="false">
      <c r="A214" s="37" t="s">
        <v>357</v>
      </c>
      <c r="B214" s="42" t="n">
        <v>45777</v>
      </c>
      <c r="C214" s="37" t="s">
        <v>146</v>
      </c>
      <c r="D214" s="37" t="s">
        <v>45</v>
      </c>
      <c r="E214" s="37" t="s">
        <v>96</v>
      </c>
      <c r="F214" s="37" t="s">
        <v>116</v>
      </c>
      <c r="G214" s="37" t="s">
        <v>91</v>
      </c>
      <c r="H214" s="37" t="n">
        <v>2</v>
      </c>
      <c r="I214" s="43" t="n">
        <v>899</v>
      </c>
      <c r="J214" s="40" t="n">
        <v>0.1</v>
      </c>
    </row>
    <row r="215" customFormat="false" ht="15" hidden="false" customHeight="false" outlineLevel="0" collapsed="false">
      <c r="A215" s="37" t="s">
        <v>358</v>
      </c>
      <c r="B215" s="42" t="n">
        <v>45772</v>
      </c>
      <c r="C215" s="37" t="s">
        <v>136</v>
      </c>
      <c r="D215" s="37" t="s">
        <v>47</v>
      </c>
      <c r="E215" s="37" t="s">
        <v>96</v>
      </c>
      <c r="F215" s="37" t="s">
        <v>121</v>
      </c>
      <c r="G215" s="37" t="s">
        <v>93</v>
      </c>
      <c r="H215" s="37" t="n">
        <v>1</v>
      </c>
      <c r="I215" s="43" t="n">
        <v>999</v>
      </c>
      <c r="J215" s="40" t="n">
        <v>0.05</v>
      </c>
    </row>
    <row r="216" customFormat="false" ht="15" hidden="false" customHeight="false" outlineLevel="0" collapsed="false">
      <c r="A216" s="37" t="s">
        <v>359</v>
      </c>
      <c r="B216" s="42" t="n">
        <v>45758</v>
      </c>
      <c r="C216" s="37" t="s">
        <v>166</v>
      </c>
      <c r="D216" s="37" t="s">
        <v>44</v>
      </c>
      <c r="E216" s="37" t="s">
        <v>97</v>
      </c>
      <c r="F216" s="37" t="s">
        <v>113</v>
      </c>
      <c r="G216" s="37" t="s">
        <v>92</v>
      </c>
      <c r="H216" s="37" t="n">
        <v>2</v>
      </c>
      <c r="I216" s="43" t="n">
        <v>2199</v>
      </c>
      <c r="J216" s="40" t="n">
        <v>0</v>
      </c>
    </row>
    <row r="217" customFormat="false" ht="15" hidden="false" customHeight="false" outlineLevel="0" collapsed="false">
      <c r="A217" s="37" t="s">
        <v>360</v>
      </c>
      <c r="B217" s="42" t="n">
        <v>45777</v>
      </c>
      <c r="C217" s="37" t="s">
        <v>172</v>
      </c>
      <c r="D217" s="37" t="s">
        <v>46</v>
      </c>
      <c r="E217" s="37" t="s">
        <v>1147</v>
      </c>
      <c r="F217" s="37" t="s">
        <v>110</v>
      </c>
      <c r="G217" s="37" t="s">
        <v>90</v>
      </c>
      <c r="H217" s="37" t="n">
        <v>1</v>
      </c>
      <c r="I217" s="43" t="n">
        <v>1299</v>
      </c>
      <c r="J217" s="40" t="n">
        <v>0.1</v>
      </c>
    </row>
    <row r="218" customFormat="false" ht="15" hidden="false" customHeight="false" outlineLevel="0" collapsed="false">
      <c r="A218" s="37" t="s">
        <v>361</v>
      </c>
      <c r="B218" s="42" t="n">
        <v>45774</v>
      </c>
      <c r="C218" s="37" t="s">
        <v>136</v>
      </c>
      <c r="D218" s="37" t="s">
        <v>47</v>
      </c>
      <c r="E218" s="37" t="s">
        <v>96</v>
      </c>
      <c r="F218" s="37" t="s">
        <v>115</v>
      </c>
      <c r="G218" s="37" t="s">
        <v>92</v>
      </c>
      <c r="H218" s="37" t="n">
        <v>1</v>
      </c>
      <c r="I218" s="43" t="n">
        <v>1799</v>
      </c>
      <c r="J218" s="40" t="n">
        <v>0.15</v>
      </c>
    </row>
    <row r="219" customFormat="false" ht="15" hidden="false" customHeight="false" outlineLevel="0" collapsed="false">
      <c r="A219" s="37" t="s">
        <v>362</v>
      </c>
      <c r="B219" s="42" t="n">
        <v>45758</v>
      </c>
      <c r="C219" s="37" t="s">
        <v>146</v>
      </c>
      <c r="D219" s="37" t="s">
        <v>45</v>
      </c>
      <c r="E219" s="37" t="s">
        <v>97</v>
      </c>
      <c r="F219" s="37" t="s">
        <v>119</v>
      </c>
      <c r="G219" s="37" t="s">
        <v>91</v>
      </c>
      <c r="H219" s="37" t="n">
        <v>1</v>
      </c>
      <c r="I219" s="43" t="n">
        <v>1099</v>
      </c>
      <c r="J219" s="40" t="n">
        <v>0</v>
      </c>
    </row>
    <row r="220" customFormat="false" ht="15" hidden="false" customHeight="false" outlineLevel="0" collapsed="false">
      <c r="A220" s="37" t="s">
        <v>363</v>
      </c>
      <c r="B220" s="42" t="n">
        <v>45763</v>
      </c>
      <c r="C220" s="37" t="s">
        <v>154</v>
      </c>
      <c r="D220" s="37" t="s">
        <v>47</v>
      </c>
      <c r="E220" s="37" t="s">
        <v>97</v>
      </c>
      <c r="F220" s="37" t="s">
        <v>119</v>
      </c>
      <c r="G220" s="37" t="s">
        <v>91</v>
      </c>
      <c r="H220" s="37" t="n">
        <v>1</v>
      </c>
      <c r="I220" s="43" t="n">
        <v>1099</v>
      </c>
      <c r="J220" s="40" t="n">
        <v>0.1</v>
      </c>
    </row>
    <row r="221" customFormat="false" ht="15" hidden="false" customHeight="false" outlineLevel="0" collapsed="false">
      <c r="A221" s="37" t="s">
        <v>364</v>
      </c>
      <c r="B221" s="42" t="n">
        <v>45748</v>
      </c>
      <c r="C221" s="37" t="s">
        <v>140</v>
      </c>
      <c r="D221" s="37" t="s">
        <v>44</v>
      </c>
      <c r="E221" s="37" t="s">
        <v>96</v>
      </c>
      <c r="F221" s="37" t="s">
        <v>122</v>
      </c>
      <c r="G221" s="37" t="s">
        <v>93</v>
      </c>
      <c r="H221" s="37" t="n">
        <v>3</v>
      </c>
      <c r="I221" s="43" t="n">
        <v>1799</v>
      </c>
      <c r="J221" s="37" t="s">
        <v>1164</v>
      </c>
    </row>
    <row r="222" customFormat="false" ht="15" hidden="false" customHeight="false" outlineLevel="0" collapsed="false">
      <c r="A222" s="37" t="s">
        <v>365</v>
      </c>
      <c r="B222" s="42" t="n">
        <v>45768</v>
      </c>
      <c r="C222" s="37" t="s">
        <v>140</v>
      </c>
      <c r="D222" s="37" t="s">
        <v>44</v>
      </c>
      <c r="E222" s="37" t="s">
        <v>96</v>
      </c>
      <c r="F222" s="37" t="s">
        <v>115</v>
      </c>
      <c r="G222" s="37" t="s">
        <v>92</v>
      </c>
      <c r="H222" s="37" t="n">
        <v>4</v>
      </c>
      <c r="I222" s="43" t="n">
        <v>1799</v>
      </c>
      <c r="J222" s="40" t="n">
        <v>0.2</v>
      </c>
    </row>
    <row r="223" customFormat="false" ht="15" hidden="false" customHeight="false" outlineLevel="0" collapsed="false">
      <c r="A223" s="37" t="s">
        <v>366</v>
      </c>
      <c r="B223" s="42" t="n">
        <v>45766</v>
      </c>
      <c r="C223" s="37" t="s">
        <v>172</v>
      </c>
      <c r="D223" s="37" t="s">
        <v>46</v>
      </c>
      <c r="E223" s="37" t="s">
        <v>97</v>
      </c>
      <c r="F223" s="37" t="s">
        <v>111</v>
      </c>
      <c r="G223" s="37" t="s">
        <v>90</v>
      </c>
      <c r="H223" s="37" t="n">
        <v>4</v>
      </c>
      <c r="I223" s="43" t="n">
        <v>2499</v>
      </c>
      <c r="J223" s="40" t="n">
        <v>0</v>
      </c>
    </row>
    <row r="224" customFormat="false" ht="15" hidden="false" customHeight="false" outlineLevel="0" collapsed="false">
      <c r="A224" s="37" t="s">
        <v>367</v>
      </c>
      <c r="B224" s="42" t="n">
        <v>45776</v>
      </c>
      <c r="C224" s="37" t="s">
        <v>144</v>
      </c>
      <c r="D224" s="37" t="s">
        <v>45</v>
      </c>
      <c r="E224" s="37" t="s">
        <v>97</v>
      </c>
      <c r="F224" s="37" t="s">
        <v>119</v>
      </c>
      <c r="G224" s="37" t="s">
        <v>91</v>
      </c>
      <c r="H224" s="37" t="n">
        <v>2</v>
      </c>
      <c r="I224" s="43" t="n">
        <v>1099</v>
      </c>
      <c r="J224" s="40" t="n">
        <v>0.05</v>
      </c>
    </row>
    <row r="225" customFormat="false" ht="15" hidden="false" customHeight="false" outlineLevel="0" collapsed="false">
      <c r="A225" s="37" t="s">
        <v>368</v>
      </c>
      <c r="B225" s="42" t="n">
        <v>45756</v>
      </c>
      <c r="C225" s="37" t="s">
        <v>134</v>
      </c>
      <c r="D225" s="37" t="s">
        <v>45</v>
      </c>
      <c r="E225" s="37" t="s">
        <v>96</v>
      </c>
      <c r="F225" s="37" t="s">
        <v>108</v>
      </c>
      <c r="G225" s="37" t="s">
        <v>90</v>
      </c>
      <c r="H225" s="37" t="n">
        <v>1</v>
      </c>
      <c r="I225" s="43" t="n">
        <v>1999</v>
      </c>
      <c r="J225" s="40" t="n">
        <v>0.2</v>
      </c>
    </row>
    <row r="226" customFormat="false" ht="15" hidden="false" customHeight="false" outlineLevel="0" collapsed="false">
      <c r="A226" s="37" t="s">
        <v>369</v>
      </c>
      <c r="B226" s="42" t="n">
        <v>45751</v>
      </c>
      <c r="C226" s="37" t="s">
        <v>140</v>
      </c>
      <c r="D226" s="37" t="s">
        <v>44</v>
      </c>
      <c r="E226" s="37" t="s">
        <v>96</v>
      </c>
      <c r="F226" s="37" t="s">
        <v>123</v>
      </c>
      <c r="G226" s="37" t="s">
        <v>93</v>
      </c>
      <c r="H226" s="37" t="n">
        <v>2</v>
      </c>
      <c r="I226" s="43" t="n">
        <v>1299</v>
      </c>
      <c r="J226" s="40" t="n">
        <v>0.1</v>
      </c>
    </row>
    <row r="227" customFormat="false" ht="15" hidden="false" customHeight="false" outlineLevel="0" collapsed="false">
      <c r="A227" s="37" t="s">
        <v>370</v>
      </c>
      <c r="B227" s="42" t="n">
        <v>45758</v>
      </c>
      <c r="C227" s="37" t="s">
        <v>1155</v>
      </c>
      <c r="D227" s="37" t="s">
        <v>45</v>
      </c>
      <c r="E227" s="37" t="s">
        <v>96</v>
      </c>
      <c r="F227" s="37" t="s">
        <v>115</v>
      </c>
      <c r="G227" s="37" t="s">
        <v>92</v>
      </c>
      <c r="H227" s="37" t="n">
        <v>1</v>
      </c>
      <c r="I227" s="43" t="n">
        <v>1799</v>
      </c>
      <c r="J227" s="40" t="n">
        <v>0</v>
      </c>
    </row>
    <row r="228" customFormat="false" ht="15" hidden="false" customHeight="false" outlineLevel="0" collapsed="false">
      <c r="A228" s="37" t="s">
        <v>371</v>
      </c>
      <c r="B228" s="42" t="n">
        <v>45753</v>
      </c>
      <c r="C228" s="37" t="s">
        <v>136</v>
      </c>
      <c r="D228" s="37" t="s">
        <v>47</v>
      </c>
      <c r="E228" s="37" t="s">
        <v>96</v>
      </c>
      <c r="F228" s="37" t="s">
        <v>116</v>
      </c>
      <c r="G228" s="37" t="s">
        <v>91</v>
      </c>
      <c r="H228" s="37" t="n">
        <v>2</v>
      </c>
      <c r="I228" s="43" t="n">
        <v>899</v>
      </c>
      <c r="J228" s="40" t="n">
        <v>0.1</v>
      </c>
    </row>
    <row r="229" customFormat="false" ht="15" hidden="false" customHeight="false" outlineLevel="0" collapsed="false">
      <c r="A229" s="37" t="s">
        <v>372</v>
      </c>
      <c r="B229" s="42" t="n">
        <v>45753</v>
      </c>
      <c r="C229" s="37" t="s">
        <v>166</v>
      </c>
      <c r="D229" s="37" t="s">
        <v>44</v>
      </c>
      <c r="E229" s="37" t="s">
        <v>97</v>
      </c>
      <c r="F229" s="37" t="s">
        <v>117</v>
      </c>
      <c r="G229" s="37" t="s">
        <v>91</v>
      </c>
      <c r="H229" s="37" t="n">
        <v>1</v>
      </c>
      <c r="I229" s="43" t="n">
        <v>1499</v>
      </c>
      <c r="J229" s="40" t="n">
        <v>0.05</v>
      </c>
    </row>
    <row r="230" customFormat="false" ht="15" hidden="false" customHeight="false" outlineLevel="0" collapsed="false">
      <c r="A230" s="37" t="s">
        <v>373</v>
      </c>
      <c r="B230" s="42" t="n">
        <v>45770</v>
      </c>
      <c r="C230" s="37" t="s">
        <v>166</v>
      </c>
      <c r="D230" s="37" t="s">
        <v>44</v>
      </c>
      <c r="E230" s="37" t="s">
        <v>96</v>
      </c>
      <c r="F230" s="37" t="s">
        <v>115</v>
      </c>
      <c r="G230" s="37" t="s">
        <v>92</v>
      </c>
      <c r="H230" s="37" t="n">
        <v>2</v>
      </c>
      <c r="I230" s="43" t="n">
        <v>1799</v>
      </c>
      <c r="J230" s="40" t="n">
        <v>0.15</v>
      </c>
    </row>
    <row r="231" customFormat="false" ht="15" hidden="false" customHeight="false" outlineLevel="0" collapsed="false">
      <c r="A231" s="37" t="s">
        <v>374</v>
      </c>
      <c r="B231" s="42" t="n">
        <v>45760</v>
      </c>
      <c r="C231" s="37" t="s">
        <v>1165</v>
      </c>
      <c r="D231" s="37" t="s">
        <v>47</v>
      </c>
      <c r="E231" s="37" t="s">
        <v>97</v>
      </c>
      <c r="F231" s="37" t="s">
        <v>112</v>
      </c>
      <c r="G231" s="37" t="s">
        <v>92</v>
      </c>
      <c r="H231" s="37" t="n">
        <v>1</v>
      </c>
      <c r="I231" s="43" t="n">
        <v>3299</v>
      </c>
      <c r="J231" s="40" t="n">
        <v>0.05</v>
      </c>
    </row>
    <row r="232" customFormat="false" ht="15" hidden="false" customHeight="false" outlineLevel="0" collapsed="false">
      <c r="A232" s="37" t="s">
        <v>375</v>
      </c>
      <c r="B232" s="42" t="n">
        <v>45762</v>
      </c>
      <c r="C232" s="37" t="s">
        <v>134</v>
      </c>
      <c r="D232" s="37" t="s">
        <v>45</v>
      </c>
      <c r="E232" s="37" t="s">
        <v>97</v>
      </c>
      <c r="F232" s="37" t="s">
        <v>116</v>
      </c>
      <c r="G232" s="37" t="s">
        <v>91</v>
      </c>
      <c r="H232" s="37" t="n">
        <v>1</v>
      </c>
      <c r="I232" s="43" t="n">
        <v>899</v>
      </c>
      <c r="J232" s="40" t="n">
        <v>0</v>
      </c>
    </row>
    <row r="233" customFormat="false" ht="15" hidden="false" customHeight="false" outlineLevel="0" collapsed="false">
      <c r="A233" s="37" t="s">
        <v>376</v>
      </c>
      <c r="B233" s="42" t="n">
        <v>45749</v>
      </c>
      <c r="C233" s="37" t="s">
        <v>134</v>
      </c>
      <c r="D233" s="37" t="s">
        <v>45</v>
      </c>
      <c r="E233" s="37" t="s">
        <v>96</v>
      </c>
      <c r="F233" s="37" t="s">
        <v>109</v>
      </c>
      <c r="G233" s="37" t="s">
        <v>90</v>
      </c>
      <c r="H233" s="37" t="n">
        <v>1</v>
      </c>
      <c r="I233" s="43" t="n">
        <v>3499</v>
      </c>
      <c r="J233" s="40" t="n">
        <v>0.15</v>
      </c>
    </row>
    <row r="234" customFormat="false" ht="15" hidden="false" customHeight="false" outlineLevel="0" collapsed="false">
      <c r="A234" s="37" t="s">
        <v>376</v>
      </c>
      <c r="B234" s="42" t="n">
        <v>45749</v>
      </c>
      <c r="C234" s="37" t="s">
        <v>134</v>
      </c>
      <c r="D234" s="37" t="s">
        <v>45</v>
      </c>
      <c r="E234" s="37" t="s">
        <v>96</v>
      </c>
      <c r="F234" s="37" t="s">
        <v>109</v>
      </c>
      <c r="G234" s="37" t="s">
        <v>90</v>
      </c>
      <c r="H234" s="37" t="n">
        <v>1</v>
      </c>
      <c r="I234" s="43" t="n">
        <v>3499</v>
      </c>
      <c r="J234" s="40" t="n">
        <v>0.15</v>
      </c>
    </row>
    <row r="235" customFormat="false" ht="15" hidden="false" customHeight="false" outlineLevel="0" collapsed="false">
      <c r="A235" s="37" t="s">
        <v>377</v>
      </c>
      <c r="B235" s="42" t="n">
        <v>45769</v>
      </c>
      <c r="C235" s="37" t="s">
        <v>169</v>
      </c>
      <c r="D235" s="37" t="s">
        <v>44</v>
      </c>
      <c r="E235" s="37" t="s">
        <v>96</v>
      </c>
      <c r="F235" s="37" t="s">
        <v>110</v>
      </c>
      <c r="G235" s="37" t="s">
        <v>90</v>
      </c>
      <c r="H235" s="37" t="n">
        <v>1</v>
      </c>
      <c r="I235" s="43" t="n">
        <v>1299</v>
      </c>
      <c r="J235" s="40" t="n">
        <v>0.15</v>
      </c>
    </row>
    <row r="236" customFormat="false" ht="15" hidden="false" customHeight="false" outlineLevel="0" collapsed="false">
      <c r="A236" s="37" t="s">
        <v>378</v>
      </c>
      <c r="B236" s="42" t="n">
        <v>45766</v>
      </c>
      <c r="C236" s="37" t="s">
        <v>166</v>
      </c>
      <c r="D236" s="37" t="s">
        <v>44</v>
      </c>
      <c r="E236" s="37" t="s">
        <v>96</v>
      </c>
      <c r="F236" s="37" t="s">
        <v>117</v>
      </c>
      <c r="G236" s="37" t="s">
        <v>91</v>
      </c>
      <c r="H236" s="37" t="n">
        <v>1</v>
      </c>
      <c r="I236" s="43" t="n">
        <v>1499</v>
      </c>
      <c r="J236" s="40" t="n">
        <v>0.2</v>
      </c>
    </row>
    <row r="237" customFormat="false" ht="15" hidden="false" customHeight="false" outlineLevel="0" collapsed="false">
      <c r="A237" s="37" t="s">
        <v>379</v>
      </c>
      <c r="B237" s="42" t="n">
        <v>45774</v>
      </c>
      <c r="C237" s="37" t="s">
        <v>136</v>
      </c>
      <c r="D237" s="37" t="s">
        <v>47</v>
      </c>
      <c r="E237" s="37" t="s">
        <v>96</v>
      </c>
      <c r="F237" s="37" t="s">
        <v>120</v>
      </c>
      <c r="G237" s="37"/>
      <c r="H237" s="37" t="n">
        <v>2</v>
      </c>
      <c r="I237" s="43" t="n">
        <v>449</v>
      </c>
      <c r="J237" s="40" t="n">
        <v>0.1</v>
      </c>
    </row>
    <row r="238" customFormat="false" ht="15" hidden="false" customHeight="false" outlineLevel="0" collapsed="false">
      <c r="A238" s="37" t="s">
        <v>380</v>
      </c>
      <c r="B238" s="42" t="n">
        <v>45771</v>
      </c>
      <c r="C238" s="37" t="s">
        <v>154</v>
      </c>
      <c r="D238" s="37" t="s">
        <v>47</v>
      </c>
      <c r="E238" s="37" t="s">
        <v>96</v>
      </c>
      <c r="F238" s="37" t="s">
        <v>119</v>
      </c>
      <c r="G238" s="37" t="s">
        <v>91</v>
      </c>
      <c r="H238" s="37" t="n">
        <v>1</v>
      </c>
      <c r="I238" s="43" t="n">
        <v>1099</v>
      </c>
      <c r="J238" s="40" t="n">
        <v>0.1</v>
      </c>
    </row>
    <row r="239" customFormat="false" ht="15" hidden="false" customHeight="false" outlineLevel="0" collapsed="false">
      <c r="A239" s="37" t="s">
        <v>381</v>
      </c>
      <c r="B239" s="42" t="n">
        <v>45750</v>
      </c>
      <c r="C239" s="37" t="s">
        <v>172</v>
      </c>
      <c r="D239" s="37" t="s">
        <v>46</v>
      </c>
      <c r="E239" s="37" t="s">
        <v>97</v>
      </c>
      <c r="F239" s="37" t="s">
        <v>117</v>
      </c>
      <c r="G239" s="37" t="s">
        <v>91</v>
      </c>
      <c r="H239" s="37" t="n">
        <v>1</v>
      </c>
      <c r="I239" s="43" t="n">
        <v>1499</v>
      </c>
      <c r="J239" s="40" t="n">
        <v>0.15</v>
      </c>
    </row>
    <row r="240" customFormat="false" ht="15" hidden="false" customHeight="false" outlineLevel="0" collapsed="false">
      <c r="A240" s="37" t="s">
        <v>382</v>
      </c>
      <c r="B240" s="42" t="n">
        <v>45753</v>
      </c>
      <c r="C240" s="37" t="s">
        <v>169</v>
      </c>
      <c r="D240" s="37" t="s">
        <v>44</v>
      </c>
      <c r="E240" s="37" t="s">
        <v>1148</v>
      </c>
      <c r="F240" s="37" t="s">
        <v>115</v>
      </c>
      <c r="G240" s="37" t="s">
        <v>92</v>
      </c>
      <c r="H240" s="37" t="n">
        <v>1</v>
      </c>
      <c r="I240" s="43" t="n">
        <v>1799</v>
      </c>
      <c r="J240" s="40" t="n">
        <v>0.05</v>
      </c>
    </row>
    <row r="241" customFormat="false" ht="15" hidden="false" customHeight="false" outlineLevel="0" collapsed="false">
      <c r="A241" s="37" t="s">
        <v>383</v>
      </c>
      <c r="B241" s="42" t="n">
        <v>45777</v>
      </c>
      <c r="C241" s="37" t="s">
        <v>154</v>
      </c>
      <c r="D241" s="37" t="s">
        <v>47</v>
      </c>
      <c r="E241" s="37" t="s">
        <v>97</v>
      </c>
      <c r="F241" s="37" t="s">
        <v>113</v>
      </c>
      <c r="G241" s="37" t="s">
        <v>92</v>
      </c>
      <c r="H241" s="37" t="n">
        <v>2</v>
      </c>
      <c r="I241" s="43" t="n">
        <v>2199</v>
      </c>
      <c r="J241" s="40" t="n">
        <v>0.05</v>
      </c>
    </row>
    <row r="242" customFormat="false" ht="15" hidden="false" customHeight="false" outlineLevel="0" collapsed="false">
      <c r="A242" s="37" t="s">
        <v>384</v>
      </c>
      <c r="B242" s="42" t="n">
        <v>45752</v>
      </c>
      <c r="C242" s="37" t="s">
        <v>169</v>
      </c>
      <c r="D242" s="37" t="s">
        <v>44</v>
      </c>
      <c r="E242" s="37" t="s">
        <v>97</v>
      </c>
      <c r="F242" s="37" t="s">
        <v>114</v>
      </c>
      <c r="G242" s="37" t="s">
        <v>92</v>
      </c>
      <c r="H242" s="37" t="n">
        <v>1</v>
      </c>
      <c r="I242" s="43" t="n">
        <v>1199</v>
      </c>
      <c r="J242" s="40" t="n">
        <v>0</v>
      </c>
    </row>
    <row r="243" customFormat="false" ht="15" hidden="false" customHeight="false" outlineLevel="0" collapsed="false">
      <c r="A243" s="37" t="s">
        <v>385</v>
      </c>
      <c r="B243" s="42" t="n">
        <v>45764</v>
      </c>
      <c r="C243" s="37" t="s">
        <v>154</v>
      </c>
      <c r="D243" s="37" t="s">
        <v>47</v>
      </c>
      <c r="E243" s="37" t="s">
        <v>96</v>
      </c>
      <c r="F243" s="37" t="s">
        <v>117</v>
      </c>
      <c r="G243" s="37" t="s">
        <v>91</v>
      </c>
      <c r="H243" s="37" t="n">
        <v>1</v>
      </c>
      <c r="I243" s="43" t="n">
        <v>1499</v>
      </c>
      <c r="J243" s="40" t="n">
        <v>0.2</v>
      </c>
    </row>
    <row r="244" customFormat="false" ht="15" hidden="false" customHeight="false" outlineLevel="0" collapsed="false">
      <c r="A244" s="37" t="s">
        <v>386</v>
      </c>
      <c r="B244" s="42" t="n">
        <v>45769</v>
      </c>
      <c r="C244" s="37" t="s">
        <v>134</v>
      </c>
      <c r="D244" s="37" t="s">
        <v>45</v>
      </c>
      <c r="E244" s="37" t="s">
        <v>97</v>
      </c>
      <c r="F244" s="37" t="s">
        <v>119</v>
      </c>
      <c r="G244" s="37" t="s">
        <v>91</v>
      </c>
      <c r="H244" s="37" t="n">
        <v>1</v>
      </c>
      <c r="I244" s="43" t="n">
        <v>1099</v>
      </c>
      <c r="J244" s="40" t="n">
        <v>0.05</v>
      </c>
    </row>
    <row r="245" customFormat="false" ht="15" hidden="false" customHeight="false" outlineLevel="0" collapsed="false">
      <c r="A245" s="37" t="s">
        <v>387</v>
      </c>
      <c r="B245" s="42" t="n">
        <v>45762</v>
      </c>
      <c r="C245" s="37" t="s">
        <v>154</v>
      </c>
      <c r="D245" s="37" t="s">
        <v>47</v>
      </c>
      <c r="E245" s="37" t="s">
        <v>97</v>
      </c>
      <c r="F245" s="37" t="s">
        <v>122</v>
      </c>
      <c r="G245" s="37" t="s">
        <v>93</v>
      </c>
      <c r="H245" s="37" t="n">
        <v>1</v>
      </c>
      <c r="I245" s="43" t="n">
        <v>1799</v>
      </c>
      <c r="J245" s="40" t="n">
        <v>0.05</v>
      </c>
    </row>
    <row r="246" customFormat="false" ht="15" hidden="false" customHeight="false" outlineLevel="0" collapsed="false">
      <c r="A246" s="37" t="s">
        <v>388</v>
      </c>
      <c r="B246" s="42" t="n">
        <v>45767</v>
      </c>
      <c r="C246" s="37" t="s">
        <v>1166</v>
      </c>
      <c r="D246" s="37" t="s">
        <v>46</v>
      </c>
      <c r="E246" s="37" t="s">
        <v>96</v>
      </c>
      <c r="F246" s="37" t="s">
        <v>115</v>
      </c>
      <c r="G246" s="37" t="s">
        <v>92</v>
      </c>
      <c r="H246" s="37" t="n">
        <v>4</v>
      </c>
      <c r="I246" s="43" t="n">
        <v>1799</v>
      </c>
      <c r="J246" s="40" t="n">
        <v>0.1</v>
      </c>
    </row>
    <row r="247" customFormat="false" ht="15" hidden="false" customHeight="false" outlineLevel="0" collapsed="false">
      <c r="A247" s="37" t="s">
        <v>389</v>
      </c>
      <c r="B247" s="42" t="n">
        <v>45763</v>
      </c>
      <c r="C247" s="37" t="s">
        <v>136</v>
      </c>
      <c r="D247" s="37" t="s">
        <v>47</v>
      </c>
      <c r="E247" s="37" t="s">
        <v>97</v>
      </c>
      <c r="F247" s="37" t="s">
        <v>118</v>
      </c>
      <c r="G247" s="37" t="s">
        <v>91</v>
      </c>
      <c r="H247" s="37" t="n">
        <v>5</v>
      </c>
      <c r="I247" s="43" t="n">
        <v>2299</v>
      </c>
      <c r="J247" s="40" t="n">
        <v>0.1</v>
      </c>
    </row>
    <row r="248" customFormat="false" ht="15" hidden="false" customHeight="false" outlineLevel="0" collapsed="false">
      <c r="A248" s="37" t="s">
        <v>390</v>
      </c>
      <c r="B248" s="42" t="n">
        <v>45775</v>
      </c>
      <c r="C248" s="37" t="s">
        <v>172</v>
      </c>
      <c r="D248" s="37" t="s">
        <v>46</v>
      </c>
      <c r="E248" s="37" t="s">
        <v>96</v>
      </c>
      <c r="F248" s="37" t="s">
        <v>108</v>
      </c>
      <c r="G248" s="37" t="s">
        <v>90</v>
      </c>
      <c r="H248" s="37" t="n">
        <v>2</v>
      </c>
      <c r="I248" s="43" t="n">
        <v>1999</v>
      </c>
      <c r="J248" s="40" t="n">
        <v>0</v>
      </c>
    </row>
    <row r="249" customFormat="false" ht="15" hidden="false" customHeight="false" outlineLevel="0" collapsed="false">
      <c r="A249" s="37" t="s">
        <v>391</v>
      </c>
      <c r="B249" s="42" t="n">
        <v>45753</v>
      </c>
      <c r="C249" s="37" t="s">
        <v>146</v>
      </c>
      <c r="D249" s="37" t="s">
        <v>45</v>
      </c>
      <c r="E249" s="37" t="s">
        <v>96</v>
      </c>
      <c r="F249" s="37" t="s">
        <v>110</v>
      </c>
      <c r="G249" s="37" t="s">
        <v>90</v>
      </c>
      <c r="H249" s="37" t="n">
        <v>2</v>
      </c>
      <c r="I249" s="43" t="n">
        <v>1299</v>
      </c>
      <c r="J249" s="40" t="n">
        <v>0.2</v>
      </c>
    </row>
    <row r="250" customFormat="false" ht="15" hidden="false" customHeight="false" outlineLevel="0" collapsed="false">
      <c r="A250" s="37" t="s">
        <v>392</v>
      </c>
      <c r="B250" s="42" t="n">
        <v>45757</v>
      </c>
      <c r="C250" s="37" t="s">
        <v>136</v>
      </c>
      <c r="D250" s="37" t="s">
        <v>47</v>
      </c>
      <c r="E250" s="37" t="s">
        <v>96</v>
      </c>
      <c r="F250" s="37" t="s">
        <v>108</v>
      </c>
      <c r="G250" s="37" t="s">
        <v>90</v>
      </c>
      <c r="H250" s="37" t="n">
        <v>2</v>
      </c>
      <c r="I250" s="43" t="n">
        <v>1999</v>
      </c>
      <c r="J250" s="40" t="n">
        <v>0.05</v>
      </c>
    </row>
    <row r="251" customFormat="false" ht="15" hidden="false" customHeight="false" outlineLevel="0" collapsed="false">
      <c r="A251" s="37" t="s">
        <v>393</v>
      </c>
      <c r="B251" s="42" t="n">
        <v>45769</v>
      </c>
      <c r="C251" s="37" t="s">
        <v>144</v>
      </c>
      <c r="D251" s="37" t="s">
        <v>45</v>
      </c>
      <c r="E251" s="37" t="s">
        <v>96</v>
      </c>
      <c r="F251" s="37" t="s">
        <v>116</v>
      </c>
      <c r="G251" s="37" t="s">
        <v>91</v>
      </c>
      <c r="H251" s="37" t="n">
        <v>1</v>
      </c>
      <c r="I251" s="43" t="n">
        <v>899</v>
      </c>
      <c r="J251" s="40" t="n">
        <v>0.05</v>
      </c>
    </row>
    <row r="252" customFormat="false" ht="15" hidden="false" customHeight="false" outlineLevel="0" collapsed="false">
      <c r="A252" s="37" t="s">
        <v>394</v>
      </c>
      <c r="B252" s="42" t="n">
        <v>45768</v>
      </c>
      <c r="C252" s="37" t="s">
        <v>1167</v>
      </c>
      <c r="D252" s="37" t="s">
        <v>45</v>
      </c>
      <c r="E252" s="37" t="s">
        <v>97</v>
      </c>
      <c r="F252" s="37" t="s">
        <v>120</v>
      </c>
      <c r="G252" s="37" t="s">
        <v>93</v>
      </c>
      <c r="H252" s="37" t="n">
        <v>3</v>
      </c>
      <c r="I252" s="43" t="n">
        <v>449</v>
      </c>
      <c r="J252" s="40" t="n">
        <v>0.15</v>
      </c>
    </row>
    <row r="253" customFormat="false" ht="15" hidden="false" customHeight="false" outlineLevel="0" collapsed="false">
      <c r="A253" s="37" t="s">
        <v>395</v>
      </c>
      <c r="B253" s="42" t="n">
        <v>45775</v>
      </c>
      <c r="C253" s="37" t="s">
        <v>134</v>
      </c>
      <c r="D253" s="37" t="s">
        <v>45</v>
      </c>
      <c r="E253" s="37" t="s">
        <v>97</v>
      </c>
      <c r="F253" s="37" t="s">
        <v>118</v>
      </c>
      <c r="G253" s="37" t="s">
        <v>91</v>
      </c>
      <c r="H253" s="37" t="n">
        <v>1</v>
      </c>
      <c r="I253" s="43" t="n">
        <v>2299</v>
      </c>
      <c r="J253" s="40" t="n">
        <v>0</v>
      </c>
    </row>
    <row r="254" customFormat="false" ht="15" hidden="false" customHeight="false" outlineLevel="0" collapsed="false">
      <c r="A254" s="37" t="s">
        <v>396</v>
      </c>
      <c r="B254" s="42" t="n">
        <v>45777</v>
      </c>
      <c r="C254" s="37" t="s">
        <v>166</v>
      </c>
      <c r="D254" s="37" t="s">
        <v>44</v>
      </c>
      <c r="E254" s="37" t="s">
        <v>1158</v>
      </c>
      <c r="F254" s="37" t="s">
        <v>115</v>
      </c>
      <c r="G254" s="37" t="s">
        <v>92</v>
      </c>
      <c r="H254" s="37" t="n">
        <v>1</v>
      </c>
      <c r="I254" s="43" t="n">
        <v>1799</v>
      </c>
      <c r="J254" s="40" t="n">
        <v>0.1</v>
      </c>
    </row>
    <row r="255" customFormat="false" ht="15" hidden="false" customHeight="false" outlineLevel="0" collapsed="false">
      <c r="A255" s="37" t="s">
        <v>397</v>
      </c>
      <c r="B255" s="42" t="n">
        <v>45755</v>
      </c>
      <c r="C255" s="37" t="s">
        <v>146</v>
      </c>
      <c r="D255" s="37" t="s">
        <v>45</v>
      </c>
      <c r="E255" s="37" t="s">
        <v>97</v>
      </c>
      <c r="F255" s="37" t="s">
        <v>118</v>
      </c>
      <c r="G255" s="37" t="s">
        <v>91</v>
      </c>
      <c r="H255" s="37" t="n">
        <v>1</v>
      </c>
      <c r="I255" s="43" t="n">
        <v>2299</v>
      </c>
      <c r="J255" s="40" t="n">
        <v>0.1</v>
      </c>
    </row>
    <row r="256" customFormat="false" ht="15" hidden="false" customHeight="false" outlineLevel="0" collapsed="false">
      <c r="A256" s="37" t="s">
        <v>398</v>
      </c>
      <c r="B256" s="42" t="n">
        <v>45765</v>
      </c>
      <c r="C256" s="37" t="s">
        <v>134</v>
      </c>
      <c r="D256" s="37" t="s">
        <v>45</v>
      </c>
      <c r="E256" s="37" t="s">
        <v>96</v>
      </c>
      <c r="F256" s="37" t="s">
        <v>117</v>
      </c>
      <c r="G256" s="37" t="s">
        <v>91</v>
      </c>
      <c r="H256" s="37" t="n">
        <v>1</v>
      </c>
      <c r="I256" s="43" t="n">
        <v>1499</v>
      </c>
      <c r="J256" s="40" t="n">
        <v>0</v>
      </c>
    </row>
    <row r="257" customFormat="false" ht="15" hidden="false" customHeight="false" outlineLevel="0" collapsed="false">
      <c r="A257" s="37" t="s">
        <v>399</v>
      </c>
      <c r="B257" s="42" t="n">
        <v>45752</v>
      </c>
      <c r="C257" s="37" t="s">
        <v>134</v>
      </c>
      <c r="D257" s="37" t="s">
        <v>45</v>
      </c>
      <c r="E257" s="37" t="s">
        <v>97</v>
      </c>
      <c r="F257" s="37" t="s">
        <v>110</v>
      </c>
      <c r="G257" s="37" t="s">
        <v>90</v>
      </c>
      <c r="H257" s="37" t="n">
        <v>1</v>
      </c>
      <c r="I257" s="43" t="n">
        <v>1299</v>
      </c>
      <c r="J257" s="40" t="n">
        <v>0.15</v>
      </c>
    </row>
    <row r="258" customFormat="false" ht="15" hidden="false" customHeight="false" outlineLevel="0" collapsed="false">
      <c r="A258" s="37" t="s">
        <v>400</v>
      </c>
      <c r="B258" s="42" t="n">
        <v>45748</v>
      </c>
      <c r="C258" s="37" t="s">
        <v>154</v>
      </c>
      <c r="D258" s="37" t="s">
        <v>47</v>
      </c>
      <c r="E258" s="37" t="s">
        <v>97</v>
      </c>
      <c r="F258" s="37" t="s">
        <v>109</v>
      </c>
      <c r="G258" s="37" t="s">
        <v>90</v>
      </c>
      <c r="H258" s="37" t="n">
        <v>4</v>
      </c>
      <c r="I258" s="43" t="n">
        <v>3499</v>
      </c>
      <c r="J258" s="40" t="n">
        <v>0.1</v>
      </c>
    </row>
    <row r="259" customFormat="false" ht="15" hidden="false" customHeight="false" outlineLevel="0" collapsed="false">
      <c r="A259" s="37" t="s">
        <v>401</v>
      </c>
      <c r="B259" s="42" t="n">
        <v>45775</v>
      </c>
      <c r="C259" s="37" t="s">
        <v>166</v>
      </c>
      <c r="D259" s="37" t="s">
        <v>44</v>
      </c>
      <c r="E259" s="37" t="s">
        <v>96</v>
      </c>
      <c r="F259" s="37" t="s">
        <v>114</v>
      </c>
      <c r="G259" s="37" t="s">
        <v>92</v>
      </c>
      <c r="H259" s="37" t="n">
        <v>2</v>
      </c>
      <c r="I259" s="43" t="n">
        <v>1199</v>
      </c>
      <c r="J259" s="40" t="n">
        <v>0.05</v>
      </c>
    </row>
    <row r="260" customFormat="false" ht="15" hidden="false" customHeight="false" outlineLevel="0" collapsed="false">
      <c r="A260" s="37" t="s">
        <v>402</v>
      </c>
      <c r="B260" s="42" t="n">
        <v>45777</v>
      </c>
      <c r="C260" s="37" t="s">
        <v>169</v>
      </c>
      <c r="D260" s="37" t="s">
        <v>44</v>
      </c>
      <c r="E260" s="37" t="s">
        <v>96</v>
      </c>
      <c r="F260" s="37" t="s">
        <v>116</v>
      </c>
      <c r="G260" s="37" t="s">
        <v>91</v>
      </c>
      <c r="H260" s="37" t="n">
        <v>3</v>
      </c>
      <c r="I260" s="43" t="n">
        <v>899</v>
      </c>
      <c r="J260" s="40" t="n">
        <v>0.1</v>
      </c>
    </row>
    <row r="261" customFormat="false" ht="15" hidden="false" customHeight="false" outlineLevel="0" collapsed="false">
      <c r="A261" s="37" t="s">
        <v>403</v>
      </c>
      <c r="B261" s="42" t="n">
        <v>45751</v>
      </c>
      <c r="C261" s="37" t="s">
        <v>154</v>
      </c>
      <c r="D261" s="37" t="s">
        <v>47</v>
      </c>
      <c r="E261" s="37" t="s">
        <v>97</v>
      </c>
      <c r="F261" s="37" t="s">
        <v>123</v>
      </c>
      <c r="G261" s="37" t="s">
        <v>93</v>
      </c>
      <c r="H261" s="37" t="n">
        <v>1</v>
      </c>
      <c r="I261" s="43" t="n">
        <v>1299</v>
      </c>
      <c r="J261" s="40" t="n">
        <v>0.05</v>
      </c>
    </row>
    <row r="262" customFormat="false" ht="15" hidden="false" customHeight="false" outlineLevel="0" collapsed="false">
      <c r="A262" s="37" t="s">
        <v>404</v>
      </c>
      <c r="B262" s="42" t="n">
        <v>45765</v>
      </c>
      <c r="C262" s="37" t="s">
        <v>166</v>
      </c>
      <c r="D262" s="37" t="s">
        <v>44</v>
      </c>
      <c r="E262" s="37" t="s">
        <v>96</v>
      </c>
      <c r="F262" s="37" t="s">
        <v>110</v>
      </c>
      <c r="G262" s="37" t="s">
        <v>90</v>
      </c>
      <c r="H262" s="37" t="n">
        <v>3</v>
      </c>
      <c r="I262" s="43" t="n">
        <v>1299</v>
      </c>
      <c r="J262" s="37" t="s">
        <v>1168</v>
      </c>
    </row>
    <row r="263" customFormat="false" ht="15" hidden="false" customHeight="false" outlineLevel="0" collapsed="false">
      <c r="A263" s="37" t="s">
        <v>405</v>
      </c>
      <c r="B263" s="42" t="n">
        <v>45750</v>
      </c>
      <c r="C263" s="37" t="s">
        <v>138</v>
      </c>
      <c r="D263" s="37" t="s">
        <v>46</v>
      </c>
      <c r="E263" s="37" t="s">
        <v>97</v>
      </c>
      <c r="F263" s="37" t="s">
        <v>115</v>
      </c>
      <c r="G263" s="37" t="s">
        <v>92</v>
      </c>
      <c r="H263" s="37" t="n">
        <v>1</v>
      </c>
      <c r="I263" s="43" t="n">
        <v>1799</v>
      </c>
      <c r="J263" s="40" t="n">
        <v>0.2</v>
      </c>
    </row>
    <row r="264" customFormat="false" ht="15" hidden="false" customHeight="false" outlineLevel="0" collapsed="false">
      <c r="A264" s="37" t="s">
        <v>406</v>
      </c>
      <c r="B264" s="42" t="n">
        <v>45773</v>
      </c>
      <c r="C264" s="37" t="s">
        <v>136</v>
      </c>
      <c r="D264" s="37" t="s">
        <v>47</v>
      </c>
      <c r="E264" s="37" t="s">
        <v>97</v>
      </c>
      <c r="F264" s="37" t="s">
        <v>110</v>
      </c>
      <c r="G264" s="37" t="s">
        <v>90</v>
      </c>
      <c r="H264" s="37" t="n">
        <v>1</v>
      </c>
      <c r="I264" s="43" t="n">
        <v>1299</v>
      </c>
      <c r="J264" s="40" t="n">
        <v>0.1</v>
      </c>
    </row>
    <row r="265" customFormat="false" ht="15" hidden="false" customHeight="false" outlineLevel="0" collapsed="false">
      <c r="A265" s="37" t="s">
        <v>407</v>
      </c>
      <c r="B265" s="42" t="n">
        <v>45758</v>
      </c>
      <c r="C265" s="37" t="s">
        <v>144</v>
      </c>
      <c r="D265" s="37" t="s">
        <v>45</v>
      </c>
      <c r="E265" s="37" t="s">
        <v>97</v>
      </c>
      <c r="F265" s="37" t="s">
        <v>111</v>
      </c>
      <c r="G265" s="37" t="s">
        <v>90</v>
      </c>
      <c r="H265" s="37" t="n">
        <v>1</v>
      </c>
      <c r="I265" s="43" t="n">
        <v>2499</v>
      </c>
      <c r="J265" s="40" t="n">
        <v>0.05</v>
      </c>
    </row>
    <row r="266" customFormat="false" ht="15" hidden="false" customHeight="false" outlineLevel="0" collapsed="false">
      <c r="A266" s="37" t="s">
        <v>408</v>
      </c>
      <c r="B266" s="42" t="n">
        <v>45770</v>
      </c>
      <c r="C266" s="37" t="s">
        <v>144</v>
      </c>
      <c r="D266" s="37" t="s">
        <v>45</v>
      </c>
      <c r="E266" s="37" t="s">
        <v>96</v>
      </c>
      <c r="F266" s="37" t="s">
        <v>112</v>
      </c>
      <c r="G266" s="37" t="s">
        <v>92</v>
      </c>
      <c r="H266" s="37" t="n">
        <v>1</v>
      </c>
      <c r="I266" s="43" t="n">
        <v>3299</v>
      </c>
      <c r="J266" s="40" t="n">
        <v>0.2</v>
      </c>
    </row>
    <row r="267" customFormat="false" ht="15" hidden="false" customHeight="false" outlineLevel="0" collapsed="false">
      <c r="A267" s="37" t="s">
        <v>409</v>
      </c>
      <c r="B267" s="42" t="n">
        <v>45751</v>
      </c>
      <c r="C267" s="37" t="s">
        <v>134</v>
      </c>
      <c r="D267" s="37" t="s">
        <v>45</v>
      </c>
      <c r="E267" s="37" t="s">
        <v>96</v>
      </c>
      <c r="F267" s="37" t="s">
        <v>118</v>
      </c>
      <c r="G267" s="37" t="s">
        <v>91</v>
      </c>
      <c r="H267" s="37" t="n">
        <v>1</v>
      </c>
      <c r="I267" s="43" t="n">
        <v>2299</v>
      </c>
      <c r="J267" s="40" t="n">
        <v>0.1</v>
      </c>
    </row>
    <row r="268" customFormat="false" ht="15" hidden="false" customHeight="false" outlineLevel="0" collapsed="false">
      <c r="A268" s="37" t="s">
        <v>410</v>
      </c>
      <c r="B268" s="42" t="n">
        <v>45763</v>
      </c>
      <c r="C268" s="37" t="s">
        <v>136</v>
      </c>
      <c r="D268" s="37" t="s">
        <v>47</v>
      </c>
      <c r="E268" s="37" t="s">
        <v>96</v>
      </c>
      <c r="F268" s="37" t="s">
        <v>110</v>
      </c>
      <c r="G268" s="37" t="s">
        <v>90</v>
      </c>
      <c r="H268" s="37" t="n">
        <v>2</v>
      </c>
      <c r="I268" s="43" t="n">
        <v>1299</v>
      </c>
      <c r="J268" s="40" t="n">
        <v>0.05</v>
      </c>
    </row>
    <row r="269" customFormat="false" ht="15" hidden="false" customHeight="false" outlineLevel="0" collapsed="false">
      <c r="A269" s="37" t="s">
        <v>411</v>
      </c>
      <c r="B269" s="42" t="n">
        <v>45770</v>
      </c>
      <c r="C269" s="37" t="s">
        <v>134</v>
      </c>
      <c r="D269" s="37" t="s">
        <v>45</v>
      </c>
      <c r="E269" s="37" t="s">
        <v>97</v>
      </c>
      <c r="F269" s="37" t="s">
        <v>110</v>
      </c>
      <c r="G269" s="37" t="s">
        <v>90</v>
      </c>
      <c r="H269" s="37" t="n">
        <v>1</v>
      </c>
      <c r="I269" s="43" t="n">
        <v>1299</v>
      </c>
      <c r="J269" s="40" t="n">
        <v>0</v>
      </c>
    </row>
    <row r="270" customFormat="false" ht="15" hidden="false" customHeight="false" outlineLevel="0" collapsed="false">
      <c r="A270" s="37" t="s">
        <v>412</v>
      </c>
      <c r="B270" s="42" t="n">
        <v>45770</v>
      </c>
      <c r="C270" s="37" t="s">
        <v>136</v>
      </c>
      <c r="D270" s="37" t="s">
        <v>47</v>
      </c>
      <c r="E270" s="37" t="s">
        <v>97</v>
      </c>
      <c r="F270" s="37" t="s">
        <v>120</v>
      </c>
      <c r="G270" s="37" t="s">
        <v>93</v>
      </c>
      <c r="H270" s="37" t="n">
        <v>1</v>
      </c>
      <c r="I270" s="43" t="n">
        <v>449</v>
      </c>
      <c r="J270" s="40" t="n">
        <v>0.05</v>
      </c>
    </row>
    <row r="271" customFormat="false" ht="15" hidden="false" customHeight="false" outlineLevel="0" collapsed="false">
      <c r="A271" s="37" t="s">
        <v>413</v>
      </c>
      <c r="B271" s="42" t="n">
        <v>45757</v>
      </c>
      <c r="C271" s="37" t="s">
        <v>169</v>
      </c>
      <c r="D271" s="37" t="s">
        <v>44</v>
      </c>
      <c r="E271" s="37" t="s">
        <v>96</v>
      </c>
      <c r="F271" s="37" t="s">
        <v>117</v>
      </c>
      <c r="G271" s="37" t="s">
        <v>91</v>
      </c>
      <c r="H271" s="37" t="n">
        <v>1</v>
      </c>
      <c r="I271" s="43" t="n">
        <v>1499</v>
      </c>
      <c r="J271" s="40" t="n">
        <v>0.15</v>
      </c>
    </row>
    <row r="272" customFormat="false" ht="15" hidden="false" customHeight="false" outlineLevel="0" collapsed="false">
      <c r="A272" s="37" t="s">
        <v>414</v>
      </c>
      <c r="B272" s="42" t="n">
        <v>45766</v>
      </c>
      <c r="C272" s="37" t="s">
        <v>142</v>
      </c>
      <c r="D272" s="37" t="s">
        <v>47</v>
      </c>
      <c r="E272" s="37" t="s">
        <v>97</v>
      </c>
      <c r="F272" s="37" t="s">
        <v>117</v>
      </c>
      <c r="G272" s="37" t="s">
        <v>91</v>
      </c>
      <c r="H272" s="37" t="n">
        <v>2</v>
      </c>
      <c r="I272" s="43" t="n">
        <v>1499</v>
      </c>
      <c r="J272" s="40" t="n">
        <v>0.05</v>
      </c>
    </row>
    <row r="273" customFormat="false" ht="15" hidden="false" customHeight="false" outlineLevel="0" collapsed="false">
      <c r="A273" s="37" t="s">
        <v>415</v>
      </c>
      <c r="B273" s="42" t="n">
        <v>45770</v>
      </c>
      <c r="C273" s="37" t="s">
        <v>136</v>
      </c>
      <c r="D273" s="37" t="s">
        <v>47</v>
      </c>
      <c r="E273" s="37" t="s">
        <v>96</v>
      </c>
      <c r="F273" s="37" t="s">
        <v>120</v>
      </c>
      <c r="G273" s="37" t="s">
        <v>93</v>
      </c>
      <c r="H273" s="37" t="n">
        <v>1</v>
      </c>
      <c r="I273" s="43" t="n">
        <v>449</v>
      </c>
      <c r="J273" s="40" t="n">
        <v>0.25</v>
      </c>
    </row>
    <row r="274" customFormat="false" ht="15" hidden="false" customHeight="false" outlineLevel="0" collapsed="false">
      <c r="A274" s="37" t="s">
        <v>416</v>
      </c>
      <c r="B274" s="42" t="n">
        <v>45766</v>
      </c>
      <c r="C274" s="37" t="s">
        <v>146</v>
      </c>
      <c r="D274" s="37" t="s">
        <v>45</v>
      </c>
      <c r="E274" s="37" t="s">
        <v>96</v>
      </c>
      <c r="F274" s="37" t="s">
        <v>114</v>
      </c>
      <c r="G274" s="37"/>
      <c r="H274" s="37" t="n">
        <v>3</v>
      </c>
      <c r="I274" s="43" t="n">
        <v>1199</v>
      </c>
      <c r="J274" s="40" t="n">
        <v>0.05</v>
      </c>
    </row>
    <row r="275" customFormat="false" ht="15" hidden="false" customHeight="false" outlineLevel="0" collapsed="false">
      <c r="A275" s="37" t="s">
        <v>417</v>
      </c>
      <c r="B275" s="42" t="n">
        <v>45764</v>
      </c>
      <c r="C275" s="37" t="s">
        <v>134</v>
      </c>
      <c r="D275" s="37" t="s">
        <v>45</v>
      </c>
      <c r="E275" s="37" t="s">
        <v>96</v>
      </c>
      <c r="F275" s="37" t="s">
        <v>111</v>
      </c>
      <c r="G275" s="37" t="s">
        <v>90</v>
      </c>
      <c r="H275" s="37" t="n">
        <v>1</v>
      </c>
      <c r="I275" s="43" t="n">
        <v>2499</v>
      </c>
      <c r="J275" s="40" t="n">
        <v>0.2</v>
      </c>
    </row>
    <row r="276" customFormat="false" ht="15" hidden="false" customHeight="false" outlineLevel="0" collapsed="false">
      <c r="A276" s="37" t="s">
        <v>418</v>
      </c>
      <c r="B276" s="42" t="n">
        <v>45762</v>
      </c>
      <c r="C276" s="37" t="s">
        <v>134</v>
      </c>
      <c r="D276" s="37" t="s">
        <v>45</v>
      </c>
      <c r="E276" s="37" t="s">
        <v>97</v>
      </c>
      <c r="F276" s="37" t="s">
        <v>118</v>
      </c>
      <c r="G276" s="37" t="s">
        <v>91</v>
      </c>
      <c r="H276" s="37" t="n">
        <v>1</v>
      </c>
      <c r="I276" s="43" t="n">
        <v>2299</v>
      </c>
      <c r="J276" s="40" t="n">
        <v>0</v>
      </c>
    </row>
    <row r="277" customFormat="false" ht="15" hidden="false" customHeight="false" outlineLevel="0" collapsed="false">
      <c r="A277" s="37" t="s">
        <v>419</v>
      </c>
      <c r="B277" s="42" t="n">
        <v>45766</v>
      </c>
      <c r="C277" s="37" t="s">
        <v>154</v>
      </c>
      <c r="D277" s="37" t="s">
        <v>47</v>
      </c>
      <c r="E277" s="37" t="s">
        <v>96</v>
      </c>
      <c r="F277" s="37" t="s">
        <v>115</v>
      </c>
      <c r="G277" s="37" t="s">
        <v>92</v>
      </c>
      <c r="H277" s="37" t="n">
        <v>1</v>
      </c>
      <c r="I277" s="43" t="n">
        <v>1799</v>
      </c>
      <c r="J277" s="40" t="n">
        <v>0.15</v>
      </c>
    </row>
    <row r="278" customFormat="false" ht="15" hidden="false" customHeight="false" outlineLevel="0" collapsed="false">
      <c r="A278" s="37" t="s">
        <v>420</v>
      </c>
      <c r="B278" s="42" t="n">
        <v>45771</v>
      </c>
      <c r="C278" s="37" t="s">
        <v>134</v>
      </c>
      <c r="D278" s="37" t="s">
        <v>45</v>
      </c>
      <c r="E278" s="37" t="s">
        <v>97</v>
      </c>
      <c r="F278" s="37" t="s">
        <v>110</v>
      </c>
      <c r="G278" s="37" t="s">
        <v>90</v>
      </c>
      <c r="H278" s="37" t="n">
        <v>1</v>
      </c>
      <c r="I278" s="43" t="n">
        <v>1299</v>
      </c>
      <c r="J278" s="40" t="n">
        <v>0.15</v>
      </c>
    </row>
    <row r="279" customFormat="false" ht="15" hidden="false" customHeight="false" outlineLevel="0" collapsed="false">
      <c r="A279" s="37" t="s">
        <v>421</v>
      </c>
      <c r="B279" s="42" t="n">
        <v>45753</v>
      </c>
      <c r="C279" s="37" t="s">
        <v>142</v>
      </c>
      <c r="D279" s="37" t="s">
        <v>47</v>
      </c>
      <c r="E279" s="37" t="s">
        <v>1156</v>
      </c>
      <c r="F279" s="37" t="s">
        <v>111</v>
      </c>
      <c r="G279" s="37" t="s">
        <v>90</v>
      </c>
      <c r="H279" s="37" t="n">
        <v>2</v>
      </c>
      <c r="I279" s="43" t="n">
        <v>2499</v>
      </c>
      <c r="J279" s="40" t="n">
        <v>0.05</v>
      </c>
    </row>
    <row r="280" customFormat="false" ht="15" hidden="false" customHeight="false" outlineLevel="0" collapsed="false">
      <c r="A280" s="37" t="s">
        <v>422</v>
      </c>
      <c r="B280" s="42" t="n">
        <v>45763</v>
      </c>
      <c r="C280" s="37" t="s">
        <v>146</v>
      </c>
      <c r="D280" s="37" t="s">
        <v>45</v>
      </c>
      <c r="E280" s="37" t="s">
        <v>96</v>
      </c>
      <c r="F280" s="37" t="s">
        <v>109</v>
      </c>
      <c r="G280" s="37" t="s">
        <v>90</v>
      </c>
      <c r="H280" s="37" t="n">
        <v>1</v>
      </c>
      <c r="I280" s="43" t="n">
        <v>3499</v>
      </c>
      <c r="J280" s="37" t="s">
        <v>1169</v>
      </c>
    </row>
    <row r="281" customFormat="false" ht="15" hidden="false" customHeight="false" outlineLevel="0" collapsed="false">
      <c r="A281" s="37" t="s">
        <v>423</v>
      </c>
      <c r="B281" s="42" t="n">
        <v>45764</v>
      </c>
      <c r="C281" s="37" t="s">
        <v>166</v>
      </c>
      <c r="D281" s="37" t="s">
        <v>44</v>
      </c>
      <c r="E281" s="37" t="s">
        <v>96</v>
      </c>
      <c r="F281" s="37" t="s">
        <v>115</v>
      </c>
      <c r="G281" s="37" t="s">
        <v>92</v>
      </c>
      <c r="H281" s="37" t="n">
        <v>3</v>
      </c>
      <c r="I281" s="43" t="n">
        <v>1799</v>
      </c>
      <c r="J281" s="37" t="s">
        <v>1170</v>
      </c>
    </row>
    <row r="282" customFormat="false" ht="15" hidden="false" customHeight="false" outlineLevel="0" collapsed="false">
      <c r="A282" s="37" t="s">
        <v>424</v>
      </c>
      <c r="B282" s="42" t="n">
        <v>45759</v>
      </c>
      <c r="C282" s="37" t="s">
        <v>172</v>
      </c>
      <c r="D282" s="37" t="s">
        <v>46</v>
      </c>
      <c r="E282" s="37" t="s">
        <v>96</v>
      </c>
      <c r="F282" s="37" t="s">
        <v>113</v>
      </c>
      <c r="G282" s="37" t="s">
        <v>92</v>
      </c>
      <c r="H282" s="37" t="n">
        <v>1</v>
      </c>
      <c r="I282" s="43" t="n">
        <v>2199</v>
      </c>
      <c r="J282" s="40" t="n">
        <v>0.15</v>
      </c>
    </row>
    <row r="283" customFormat="false" ht="15" hidden="false" customHeight="false" outlineLevel="0" collapsed="false">
      <c r="A283" s="37" t="s">
        <v>425</v>
      </c>
      <c r="B283" s="42" t="n">
        <v>45778</v>
      </c>
      <c r="C283" s="37" t="s">
        <v>136</v>
      </c>
      <c r="D283" s="37" t="s">
        <v>47</v>
      </c>
      <c r="E283" s="37" t="s">
        <v>97</v>
      </c>
      <c r="F283" s="37" t="s">
        <v>110</v>
      </c>
      <c r="G283" s="37" t="s">
        <v>90</v>
      </c>
      <c r="H283" s="37" t="n">
        <v>1</v>
      </c>
      <c r="I283" s="43" t="n">
        <v>1299</v>
      </c>
      <c r="J283" s="40" t="n">
        <v>0.1</v>
      </c>
    </row>
    <row r="284" customFormat="false" ht="15" hidden="false" customHeight="false" outlineLevel="0" collapsed="false">
      <c r="A284" s="37" t="s">
        <v>426</v>
      </c>
      <c r="B284" s="42" t="n">
        <v>45785</v>
      </c>
      <c r="C284" s="37" t="s">
        <v>140</v>
      </c>
      <c r="D284" s="37" t="s">
        <v>44</v>
      </c>
      <c r="E284" s="37" t="s">
        <v>97</v>
      </c>
      <c r="F284" s="37" t="s">
        <v>123</v>
      </c>
      <c r="G284" s="37" t="s">
        <v>93</v>
      </c>
      <c r="H284" s="37" t="n">
        <v>1</v>
      </c>
      <c r="I284" s="43" t="n">
        <v>1299</v>
      </c>
      <c r="J284" s="40" t="n">
        <v>0.05</v>
      </c>
    </row>
    <row r="285" customFormat="false" ht="15" hidden="false" customHeight="false" outlineLevel="0" collapsed="false">
      <c r="A285" s="37" t="s">
        <v>427</v>
      </c>
      <c r="B285" s="42" t="n">
        <v>45800</v>
      </c>
      <c r="C285" s="37" t="s">
        <v>142</v>
      </c>
      <c r="D285" s="37" t="s">
        <v>47</v>
      </c>
      <c r="E285" s="37" t="s">
        <v>97</v>
      </c>
      <c r="F285" s="37" t="s">
        <v>110</v>
      </c>
      <c r="G285" s="37" t="s">
        <v>90</v>
      </c>
      <c r="H285" s="37" t="n">
        <v>1</v>
      </c>
      <c r="I285" s="43" t="n">
        <v>1299</v>
      </c>
      <c r="J285" s="40" t="n">
        <v>0.05</v>
      </c>
    </row>
    <row r="286" customFormat="false" ht="15" hidden="false" customHeight="false" outlineLevel="0" collapsed="false">
      <c r="A286" s="37" t="s">
        <v>428</v>
      </c>
      <c r="B286" s="42" t="n">
        <v>45799</v>
      </c>
      <c r="C286" s="37" t="s">
        <v>160</v>
      </c>
      <c r="D286" s="37" t="s">
        <v>46</v>
      </c>
      <c r="E286" s="37" t="s">
        <v>97</v>
      </c>
      <c r="F286" s="37" t="s">
        <v>120</v>
      </c>
      <c r="G286" s="37" t="s">
        <v>93</v>
      </c>
      <c r="H286" s="37" t="n">
        <v>2</v>
      </c>
      <c r="I286" s="43" t="n">
        <v>449</v>
      </c>
      <c r="J286" s="40" t="n">
        <v>0</v>
      </c>
    </row>
    <row r="287" customFormat="false" ht="15" hidden="false" customHeight="false" outlineLevel="0" collapsed="false">
      <c r="A287" s="37" t="s">
        <v>429</v>
      </c>
      <c r="B287" s="42" t="n">
        <v>45803</v>
      </c>
      <c r="C287" s="37" t="s">
        <v>140</v>
      </c>
      <c r="D287" s="37" t="s">
        <v>44</v>
      </c>
      <c r="E287" s="37" t="s">
        <v>96</v>
      </c>
      <c r="F287" s="37" t="s">
        <v>120</v>
      </c>
      <c r="G287" s="37" t="s">
        <v>93</v>
      </c>
      <c r="H287" s="37" t="n">
        <v>1</v>
      </c>
      <c r="I287" s="43" t="n">
        <v>449</v>
      </c>
      <c r="J287" s="40" t="n">
        <v>0.15</v>
      </c>
    </row>
    <row r="288" customFormat="false" ht="15" hidden="false" customHeight="false" outlineLevel="0" collapsed="false">
      <c r="A288" s="37" t="s">
        <v>430</v>
      </c>
      <c r="B288" s="42" t="n">
        <v>45778</v>
      </c>
      <c r="C288" s="37" t="s">
        <v>166</v>
      </c>
      <c r="D288" s="37" t="s">
        <v>44</v>
      </c>
      <c r="E288" s="37" t="s">
        <v>96</v>
      </c>
      <c r="F288" s="37" t="s">
        <v>108</v>
      </c>
      <c r="G288" s="37" t="s">
        <v>90</v>
      </c>
      <c r="H288" s="37" t="n">
        <v>1</v>
      </c>
      <c r="I288" s="43" t="n">
        <v>1999</v>
      </c>
      <c r="J288" s="37" t="s">
        <v>1169</v>
      </c>
    </row>
    <row r="289" customFormat="false" ht="15" hidden="false" customHeight="false" outlineLevel="0" collapsed="false">
      <c r="A289" s="37" t="s">
        <v>431</v>
      </c>
      <c r="B289" s="42" t="n">
        <v>45788</v>
      </c>
      <c r="C289" s="37" t="s">
        <v>169</v>
      </c>
      <c r="D289" s="37" t="s">
        <v>44</v>
      </c>
      <c r="E289" s="37" t="s">
        <v>96</v>
      </c>
      <c r="F289" s="37" t="s">
        <v>115</v>
      </c>
      <c r="G289" s="37" t="s">
        <v>92</v>
      </c>
      <c r="H289" s="37" t="n">
        <v>1</v>
      </c>
      <c r="I289" s="43" t="n">
        <v>1799</v>
      </c>
      <c r="J289" s="40" t="n">
        <v>0.2</v>
      </c>
    </row>
    <row r="290" customFormat="false" ht="15" hidden="false" customHeight="false" outlineLevel="0" collapsed="false">
      <c r="A290" s="37" t="s">
        <v>432</v>
      </c>
      <c r="B290" s="42" t="n">
        <v>45781</v>
      </c>
      <c r="C290" s="37" t="s">
        <v>134</v>
      </c>
      <c r="D290" s="37" t="s">
        <v>45</v>
      </c>
      <c r="E290" s="37" t="s">
        <v>97</v>
      </c>
      <c r="F290" s="37" t="s">
        <v>120</v>
      </c>
      <c r="G290" s="37" t="s">
        <v>93</v>
      </c>
      <c r="H290" s="37" t="n">
        <v>1</v>
      </c>
      <c r="I290" s="43" t="n">
        <v>449</v>
      </c>
      <c r="J290" s="40" t="n">
        <v>0</v>
      </c>
    </row>
    <row r="291" customFormat="false" ht="15" hidden="false" customHeight="false" outlineLevel="0" collapsed="false">
      <c r="A291" s="37" t="s">
        <v>433</v>
      </c>
      <c r="B291" s="42" t="n">
        <v>45807</v>
      </c>
      <c r="C291" s="37" t="s">
        <v>140</v>
      </c>
      <c r="D291" s="37" t="s">
        <v>44</v>
      </c>
      <c r="E291" s="37" t="s">
        <v>96</v>
      </c>
      <c r="F291" s="37" t="s">
        <v>121</v>
      </c>
      <c r="G291" s="37" t="s">
        <v>93</v>
      </c>
      <c r="H291" s="37" t="n">
        <v>3</v>
      </c>
      <c r="I291" s="43" t="n">
        <v>999</v>
      </c>
      <c r="J291" s="40" t="n">
        <v>0.1</v>
      </c>
    </row>
    <row r="292" customFormat="false" ht="15" hidden="false" customHeight="false" outlineLevel="0" collapsed="false">
      <c r="A292" s="37" t="s">
        <v>434</v>
      </c>
      <c r="B292" s="37" t="s">
        <v>1171</v>
      </c>
      <c r="C292" s="37" t="s">
        <v>140</v>
      </c>
      <c r="D292" s="37" t="s">
        <v>44</v>
      </c>
      <c r="E292" s="37" t="s">
        <v>96</v>
      </c>
      <c r="F292" s="37" t="s">
        <v>118</v>
      </c>
      <c r="G292" s="37" t="s">
        <v>91</v>
      </c>
      <c r="H292" s="37" t="n">
        <v>4</v>
      </c>
      <c r="I292" s="43" t="n">
        <v>2299</v>
      </c>
      <c r="J292" s="40" t="n">
        <v>0.05</v>
      </c>
    </row>
    <row r="293" customFormat="false" ht="15" hidden="false" customHeight="false" outlineLevel="0" collapsed="false">
      <c r="A293" s="37" t="s">
        <v>435</v>
      </c>
      <c r="B293" s="42" t="n">
        <v>45786</v>
      </c>
      <c r="C293" s="37" t="s">
        <v>144</v>
      </c>
      <c r="D293" s="37" t="s">
        <v>45</v>
      </c>
      <c r="E293" s="37" t="s">
        <v>97</v>
      </c>
      <c r="F293" s="37" t="s">
        <v>108</v>
      </c>
      <c r="G293" s="37" t="s">
        <v>90</v>
      </c>
      <c r="H293" s="37" t="n">
        <v>2</v>
      </c>
      <c r="I293" s="43" t="n">
        <v>1999</v>
      </c>
      <c r="J293" s="40" t="n">
        <v>0.15</v>
      </c>
    </row>
    <row r="294" customFormat="false" ht="15" hidden="false" customHeight="false" outlineLevel="0" collapsed="false">
      <c r="A294" s="37" t="s">
        <v>436</v>
      </c>
      <c r="B294" s="42" t="n">
        <v>45787</v>
      </c>
      <c r="C294" s="37" t="s">
        <v>142</v>
      </c>
      <c r="D294" s="37" t="s">
        <v>47</v>
      </c>
      <c r="E294" s="37" t="s">
        <v>96</v>
      </c>
      <c r="F294" s="37" t="s">
        <v>122</v>
      </c>
      <c r="G294" s="37" t="s">
        <v>93</v>
      </c>
      <c r="H294" s="37" t="n">
        <v>1</v>
      </c>
      <c r="I294" s="43" t="n">
        <v>1799</v>
      </c>
      <c r="J294" s="40" t="n">
        <v>0.2</v>
      </c>
    </row>
    <row r="295" customFormat="false" ht="15" hidden="false" customHeight="false" outlineLevel="0" collapsed="false">
      <c r="A295" s="37" t="s">
        <v>437</v>
      </c>
      <c r="B295" s="42" t="n">
        <v>45796</v>
      </c>
      <c r="C295" s="37" t="s">
        <v>172</v>
      </c>
      <c r="D295" s="37" t="s">
        <v>46</v>
      </c>
      <c r="E295" s="37" t="s">
        <v>96</v>
      </c>
      <c r="F295" s="37" t="s">
        <v>114</v>
      </c>
      <c r="G295" s="37" t="s">
        <v>92</v>
      </c>
      <c r="H295" s="37" t="n">
        <v>1</v>
      </c>
      <c r="I295" s="43" t="n">
        <v>1199</v>
      </c>
      <c r="J295" s="40" t="n">
        <v>0.1</v>
      </c>
    </row>
    <row r="296" customFormat="false" ht="15" hidden="false" customHeight="false" outlineLevel="0" collapsed="false">
      <c r="A296" s="37" t="s">
        <v>438</v>
      </c>
      <c r="B296" s="42" t="n">
        <v>45781</v>
      </c>
      <c r="C296" s="37" t="s">
        <v>169</v>
      </c>
      <c r="D296" s="37" t="s">
        <v>44</v>
      </c>
      <c r="E296" s="37" t="s">
        <v>97</v>
      </c>
      <c r="F296" s="37" t="s">
        <v>121</v>
      </c>
      <c r="G296" s="37" t="s">
        <v>93</v>
      </c>
      <c r="H296" s="37" t="n">
        <v>2</v>
      </c>
      <c r="I296" s="43" t="n">
        <v>999</v>
      </c>
      <c r="J296" s="40" t="n">
        <v>0</v>
      </c>
    </row>
    <row r="297" customFormat="false" ht="15" hidden="false" customHeight="false" outlineLevel="0" collapsed="false">
      <c r="A297" s="37" t="s">
        <v>439</v>
      </c>
      <c r="B297" s="42" t="n">
        <v>45795</v>
      </c>
      <c r="C297" s="37" t="s">
        <v>146</v>
      </c>
      <c r="D297" s="37" t="s">
        <v>45</v>
      </c>
      <c r="E297" s="37" t="s">
        <v>96</v>
      </c>
      <c r="F297" s="37" t="s">
        <v>110</v>
      </c>
      <c r="G297" s="37" t="s">
        <v>90</v>
      </c>
      <c r="H297" s="37" t="n">
        <v>1</v>
      </c>
      <c r="I297" s="43" t="n">
        <v>1299</v>
      </c>
      <c r="J297" s="40" t="n">
        <v>0.25</v>
      </c>
    </row>
    <row r="298" customFormat="false" ht="15" hidden="false" customHeight="false" outlineLevel="0" collapsed="false">
      <c r="A298" s="37" t="s">
        <v>440</v>
      </c>
      <c r="B298" s="42" t="n">
        <v>45796</v>
      </c>
      <c r="C298" s="37" t="s">
        <v>146</v>
      </c>
      <c r="D298" s="37" t="s">
        <v>45</v>
      </c>
      <c r="E298" s="37" t="s">
        <v>96</v>
      </c>
      <c r="F298" s="37" t="s">
        <v>110</v>
      </c>
      <c r="G298" s="37" t="s">
        <v>90</v>
      </c>
      <c r="H298" s="37" t="n">
        <v>1</v>
      </c>
      <c r="I298" s="43" t="n">
        <v>1299</v>
      </c>
      <c r="J298" s="40" t="n">
        <v>0.15</v>
      </c>
    </row>
    <row r="299" customFormat="false" ht="15" hidden="false" customHeight="false" outlineLevel="0" collapsed="false">
      <c r="A299" s="37" t="s">
        <v>441</v>
      </c>
      <c r="B299" s="42" t="n">
        <v>45785</v>
      </c>
      <c r="C299" s="37" t="s">
        <v>160</v>
      </c>
      <c r="D299" s="37" t="s">
        <v>46</v>
      </c>
      <c r="E299" s="37" t="s">
        <v>97</v>
      </c>
      <c r="F299" s="37" t="s">
        <v>108</v>
      </c>
      <c r="G299" s="37" t="s">
        <v>90</v>
      </c>
      <c r="H299" s="37" t="n">
        <v>1</v>
      </c>
      <c r="I299" s="43" t="n">
        <v>1999</v>
      </c>
      <c r="J299" s="37" t="s">
        <v>1170</v>
      </c>
    </row>
    <row r="300" customFormat="false" ht="15" hidden="false" customHeight="false" outlineLevel="0" collapsed="false">
      <c r="A300" s="37" t="s">
        <v>442</v>
      </c>
      <c r="B300" s="42" t="n">
        <v>45807</v>
      </c>
      <c r="C300" s="37"/>
      <c r="D300" s="37" t="s">
        <v>47</v>
      </c>
      <c r="E300" s="37" t="s">
        <v>97</v>
      </c>
      <c r="F300" s="37" t="s">
        <v>117</v>
      </c>
      <c r="G300" s="37" t="s">
        <v>91</v>
      </c>
      <c r="H300" s="37" t="n">
        <v>1</v>
      </c>
      <c r="I300" s="43" t="n">
        <v>1499</v>
      </c>
      <c r="J300" s="40" t="n">
        <v>0</v>
      </c>
    </row>
    <row r="301" customFormat="false" ht="15" hidden="false" customHeight="false" outlineLevel="0" collapsed="false">
      <c r="A301" s="37" t="s">
        <v>443</v>
      </c>
      <c r="B301" s="42" t="n">
        <v>45793</v>
      </c>
      <c r="C301" s="37" t="s">
        <v>144</v>
      </c>
      <c r="D301" s="37" t="s">
        <v>45</v>
      </c>
      <c r="E301" s="37" t="s">
        <v>97</v>
      </c>
      <c r="F301" s="37" t="s">
        <v>108</v>
      </c>
      <c r="G301" s="37" t="s">
        <v>90</v>
      </c>
      <c r="H301" s="37" t="n">
        <v>1</v>
      </c>
      <c r="I301" s="43" t="n">
        <v>1999</v>
      </c>
      <c r="J301" s="40" t="n">
        <v>0</v>
      </c>
    </row>
    <row r="302" customFormat="false" ht="15" hidden="false" customHeight="false" outlineLevel="0" collapsed="false">
      <c r="A302" s="37" t="s">
        <v>444</v>
      </c>
      <c r="B302" s="42" t="n">
        <v>45778</v>
      </c>
      <c r="C302" s="37" t="s">
        <v>154</v>
      </c>
      <c r="D302" s="37" t="s">
        <v>47</v>
      </c>
      <c r="E302" s="37" t="s">
        <v>96</v>
      </c>
      <c r="F302" s="37" t="s">
        <v>116</v>
      </c>
      <c r="G302" s="37" t="s">
        <v>91</v>
      </c>
      <c r="H302" s="37" t="n">
        <v>2</v>
      </c>
      <c r="I302" s="43" t="n">
        <v>899</v>
      </c>
      <c r="J302" s="40" t="n">
        <v>0.15</v>
      </c>
    </row>
    <row r="303" customFormat="false" ht="15" hidden="false" customHeight="false" outlineLevel="0" collapsed="false">
      <c r="A303" s="37" t="s">
        <v>445</v>
      </c>
      <c r="B303" s="42" t="n">
        <v>45796</v>
      </c>
      <c r="C303" s="37" t="s">
        <v>166</v>
      </c>
      <c r="D303" s="37" t="s">
        <v>44</v>
      </c>
      <c r="E303" s="37" t="s">
        <v>97</v>
      </c>
      <c r="F303" s="37" t="s">
        <v>122</v>
      </c>
      <c r="G303" s="37" t="s">
        <v>93</v>
      </c>
      <c r="H303" s="37" t="n">
        <v>2</v>
      </c>
      <c r="I303" s="43" t="n">
        <v>1799</v>
      </c>
      <c r="J303" s="40" t="n">
        <v>0.1</v>
      </c>
    </row>
    <row r="304" customFormat="false" ht="15" hidden="false" customHeight="false" outlineLevel="0" collapsed="false">
      <c r="A304" s="37" t="s">
        <v>446</v>
      </c>
      <c r="B304" s="42" t="n">
        <v>45799</v>
      </c>
      <c r="C304" s="37" t="s">
        <v>154</v>
      </c>
      <c r="D304" s="37" t="s">
        <v>47</v>
      </c>
      <c r="E304" s="37" t="s">
        <v>97</v>
      </c>
      <c r="F304" s="37" t="s">
        <v>121</v>
      </c>
      <c r="G304" s="37" t="s">
        <v>93</v>
      </c>
      <c r="H304" s="37" t="n">
        <v>2</v>
      </c>
      <c r="I304" s="43" t="n">
        <v>999</v>
      </c>
      <c r="J304" s="40" t="n">
        <v>0.25</v>
      </c>
    </row>
    <row r="305" customFormat="false" ht="15" hidden="false" customHeight="false" outlineLevel="0" collapsed="false">
      <c r="A305" s="37" t="s">
        <v>447</v>
      </c>
      <c r="B305" s="42" t="n">
        <v>45781</v>
      </c>
      <c r="C305" s="37" t="s">
        <v>138</v>
      </c>
      <c r="D305" s="37" t="s">
        <v>46</v>
      </c>
      <c r="E305" s="37" t="s">
        <v>97</v>
      </c>
      <c r="F305" s="37" t="s">
        <v>116</v>
      </c>
      <c r="G305" s="37" t="s">
        <v>91</v>
      </c>
      <c r="H305" s="37" t="n">
        <v>2</v>
      </c>
      <c r="I305" s="43" t="n">
        <v>899</v>
      </c>
      <c r="J305" s="40" t="n">
        <v>0</v>
      </c>
    </row>
    <row r="306" customFormat="false" ht="15" hidden="false" customHeight="false" outlineLevel="0" collapsed="false">
      <c r="A306" s="37" t="s">
        <v>448</v>
      </c>
      <c r="B306" s="42" t="n">
        <v>45782</v>
      </c>
      <c r="C306" s="37" t="s">
        <v>142</v>
      </c>
      <c r="D306" s="37" t="s">
        <v>47</v>
      </c>
      <c r="E306" s="37" t="s">
        <v>96</v>
      </c>
      <c r="F306" s="37" t="s">
        <v>112</v>
      </c>
      <c r="G306" s="37" t="s">
        <v>92</v>
      </c>
      <c r="H306" s="37" t="n">
        <v>3</v>
      </c>
      <c r="I306" s="43" t="n">
        <v>3299</v>
      </c>
      <c r="J306" s="40" t="n">
        <v>0.05</v>
      </c>
    </row>
    <row r="307" customFormat="false" ht="15" hidden="false" customHeight="false" outlineLevel="0" collapsed="false">
      <c r="A307" s="37" t="s">
        <v>449</v>
      </c>
      <c r="B307" s="42" t="n">
        <v>45807</v>
      </c>
      <c r="C307" s="37" t="s">
        <v>134</v>
      </c>
      <c r="D307" s="37" t="s">
        <v>45</v>
      </c>
      <c r="E307" s="37" t="s">
        <v>96</v>
      </c>
      <c r="F307" s="37" t="s">
        <v>123</v>
      </c>
      <c r="G307" s="37" t="s">
        <v>93</v>
      </c>
      <c r="H307" s="37" t="n">
        <v>1</v>
      </c>
      <c r="I307" s="43" t="n">
        <v>1299</v>
      </c>
      <c r="J307" s="40" t="n">
        <v>0.2</v>
      </c>
    </row>
    <row r="308" customFormat="false" ht="15" hidden="false" customHeight="false" outlineLevel="0" collapsed="false">
      <c r="A308" s="37" t="s">
        <v>450</v>
      </c>
      <c r="B308" s="42" t="n">
        <v>45795</v>
      </c>
      <c r="C308" s="37" t="s">
        <v>134</v>
      </c>
      <c r="D308" s="37" t="s">
        <v>45</v>
      </c>
      <c r="E308" s="37" t="s">
        <v>97</v>
      </c>
      <c r="F308" s="37" t="s">
        <v>122</v>
      </c>
      <c r="G308" s="37" t="s">
        <v>93</v>
      </c>
      <c r="H308" s="37" t="n">
        <v>1</v>
      </c>
      <c r="I308" s="43" t="n">
        <v>1799</v>
      </c>
      <c r="J308" s="40" t="n">
        <v>0.1</v>
      </c>
    </row>
    <row r="309" customFormat="false" ht="15" hidden="false" customHeight="false" outlineLevel="0" collapsed="false">
      <c r="A309" s="37" t="s">
        <v>451</v>
      </c>
      <c r="B309" s="42" t="n">
        <v>45779</v>
      </c>
      <c r="C309" s="37" t="s">
        <v>136</v>
      </c>
      <c r="D309" s="37" t="s">
        <v>47</v>
      </c>
      <c r="E309" s="37" t="s">
        <v>96</v>
      </c>
      <c r="F309" s="37" t="s">
        <v>116</v>
      </c>
      <c r="G309" s="37" t="s">
        <v>91</v>
      </c>
      <c r="H309" s="37" t="n">
        <v>1</v>
      </c>
      <c r="I309" s="43" t="n">
        <v>899</v>
      </c>
      <c r="J309" s="40" t="n">
        <v>0.2</v>
      </c>
    </row>
    <row r="310" customFormat="false" ht="15" hidden="false" customHeight="false" outlineLevel="0" collapsed="false">
      <c r="A310" s="37" t="s">
        <v>452</v>
      </c>
      <c r="B310" s="42" t="n">
        <v>45797</v>
      </c>
      <c r="C310" s="37" t="s">
        <v>140</v>
      </c>
      <c r="D310" s="37" t="s">
        <v>44</v>
      </c>
      <c r="E310" s="37" t="s">
        <v>97</v>
      </c>
      <c r="F310" s="37" t="s">
        <v>117</v>
      </c>
      <c r="G310" s="37" t="s">
        <v>91</v>
      </c>
      <c r="H310" s="37" t="n">
        <v>3</v>
      </c>
      <c r="I310" s="43" t="n">
        <v>1499</v>
      </c>
      <c r="J310" s="40" t="n">
        <v>0</v>
      </c>
    </row>
    <row r="311" customFormat="false" ht="15" hidden="false" customHeight="false" outlineLevel="0" collapsed="false">
      <c r="A311" s="37" t="s">
        <v>453</v>
      </c>
      <c r="B311" s="42" t="n">
        <v>45800</v>
      </c>
      <c r="C311" s="37" t="s">
        <v>169</v>
      </c>
      <c r="D311" s="37" t="s">
        <v>44</v>
      </c>
      <c r="E311" s="37" t="s">
        <v>96</v>
      </c>
      <c r="F311" s="37" t="s">
        <v>113</v>
      </c>
      <c r="G311" s="37" t="s">
        <v>92</v>
      </c>
      <c r="H311" s="37" t="n">
        <v>2</v>
      </c>
      <c r="I311" s="43" t="n">
        <v>2199</v>
      </c>
      <c r="J311" s="40" t="n">
        <v>0.1</v>
      </c>
    </row>
    <row r="312" customFormat="false" ht="15" hidden="false" customHeight="false" outlineLevel="0" collapsed="false">
      <c r="A312" s="37" t="s">
        <v>454</v>
      </c>
      <c r="B312" s="42" t="n">
        <v>45808</v>
      </c>
      <c r="C312" s="37" t="s">
        <v>136</v>
      </c>
      <c r="D312" s="37" t="s">
        <v>47</v>
      </c>
      <c r="E312" s="37" t="s">
        <v>96</v>
      </c>
      <c r="F312" s="37" t="s">
        <v>120</v>
      </c>
      <c r="G312" s="37" t="s">
        <v>93</v>
      </c>
      <c r="H312" s="37" t="n">
        <v>1</v>
      </c>
      <c r="I312" s="43" t="n">
        <v>449</v>
      </c>
      <c r="J312" s="40" t="n">
        <v>0.1</v>
      </c>
    </row>
    <row r="313" customFormat="false" ht="15" hidden="false" customHeight="false" outlineLevel="0" collapsed="false">
      <c r="A313" s="37" t="s">
        <v>455</v>
      </c>
      <c r="B313" s="42" t="n">
        <v>45796</v>
      </c>
      <c r="C313" s="37" t="s">
        <v>166</v>
      </c>
      <c r="D313" s="37" t="s">
        <v>44</v>
      </c>
      <c r="E313" s="37" t="s">
        <v>97</v>
      </c>
      <c r="F313" s="37" t="s">
        <v>112</v>
      </c>
      <c r="G313" s="37" t="s">
        <v>92</v>
      </c>
      <c r="H313" s="37" t="n">
        <v>1</v>
      </c>
      <c r="I313" s="43" t="n">
        <v>3299</v>
      </c>
      <c r="J313" s="40" t="n">
        <v>0</v>
      </c>
    </row>
    <row r="314" customFormat="false" ht="15" hidden="false" customHeight="false" outlineLevel="0" collapsed="false">
      <c r="A314" s="37" t="s">
        <v>456</v>
      </c>
      <c r="B314" s="42" t="n">
        <v>45792</v>
      </c>
      <c r="C314" s="37" t="s">
        <v>144</v>
      </c>
      <c r="D314" s="37" t="s">
        <v>45</v>
      </c>
      <c r="E314" s="37" t="s">
        <v>96</v>
      </c>
      <c r="F314" s="37" t="s">
        <v>123</v>
      </c>
      <c r="G314" s="37" t="s">
        <v>93</v>
      </c>
      <c r="H314" s="37" t="n">
        <v>2</v>
      </c>
      <c r="I314" s="43" t="n">
        <v>1299</v>
      </c>
      <c r="J314" s="40" t="n">
        <v>0.05</v>
      </c>
    </row>
    <row r="315" customFormat="false" ht="15" hidden="false" customHeight="false" outlineLevel="0" collapsed="false">
      <c r="A315" s="37" t="s">
        <v>457</v>
      </c>
      <c r="B315" s="42" t="n">
        <v>45798</v>
      </c>
      <c r="C315" s="37" t="s">
        <v>144</v>
      </c>
      <c r="D315" s="37" t="s">
        <v>45</v>
      </c>
      <c r="E315" s="37" t="s">
        <v>96</v>
      </c>
      <c r="F315" s="37" t="s">
        <v>116</v>
      </c>
      <c r="G315" s="37" t="s">
        <v>91</v>
      </c>
      <c r="H315" s="37" t="n">
        <v>2</v>
      </c>
      <c r="I315" s="43" t="n">
        <v>899</v>
      </c>
      <c r="J315" s="40" t="n">
        <v>0.2</v>
      </c>
    </row>
    <row r="316" customFormat="false" ht="15" hidden="false" customHeight="false" outlineLevel="0" collapsed="false">
      <c r="A316" s="37" t="s">
        <v>458</v>
      </c>
      <c r="B316" s="42" t="n">
        <v>45800</v>
      </c>
      <c r="C316" s="37" t="s">
        <v>146</v>
      </c>
      <c r="D316" s="37" t="s">
        <v>45</v>
      </c>
      <c r="E316" s="37" t="s">
        <v>96</v>
      </c>
      <c r="F316" s="37" t="s">
        <v>122</v>
      </c>
      <c r="G316" s="37" t="s">
        <v>93</v>
      </c>
      <c r="H316" s="37" t="n">
        <v>2</v>
      </c>
      <c r="I316" s="43" t="n">
        <v>1799</v>
      </c>
      <c r="J316" s="40" t="n">
        <v>0</v>
      </c>
    </row>
    <row r="317" customFormat="false" ht="15" hidden="false" customHeight="false" outlineLevel="0" collapsed="false">
      <c r="A317" s="37" t="s">
        <v>459</v>
      </c>
      <c r="B317" s="42" t="n">
        <v>45790</v>
      </c>
      <c r="C317" s="37" t="s">
        <v>142</v>
      </c>
      <c r="D317" s="37" t="s">
        <v>47</v>
      </c>
      <c r="E317" s="37" t="s">
        <v>96</v>
      </c>
      <c r="F317" s="37" t="s">
        <v>118</v>
      </c>
      <c r="G317" s="37" t="s">
        <v>91</v>
      </c>
      <c r="H317" s="37" t="n">
        <v>1</v>
      </c>
      <c r="I317" s="43" t="n">
        <v>2299</v>
      </c>
      <c r="J317" s="40" t="n">
        <v>0.25</v>
      </c>
    </row>
    <row r="318" customFormat="false" ht="15" hidden="false" customHeight="false" outlineLevel="0" collapsed="false">
      <c r="A318" s="37" t="s">
        <v>460</v>
      </c>
      <c r="B318" s="42" t="n">
        <v>45808</v>
      </c>
      <c r="C318" s="37" t="s">
        <v>136</v>
      </c>
      <c r="D318" s="37" t="s">
        <v>47</v>
      </c>
      <c r="E318" s="37" t="s">
        <v>97</v>
      </c>
      <c r="F318" s="37" t="s">
        <v>111</v>
      </c>
      <c r="G318" s="37" t="s">
        <v>90</v>
      </c>
      <c r="H318" s="37" t="n">
        <v>2</v>
      </c>
      <c r="I318" s="43" t="n">
        <v>2499</v>
      </c>
      <c r="J318" s="40" t="n">
        <v>0.05</v>
      </c>
    </row>
    <row r="319" customFormat="false" ht="15" hidden="false" customHeight="false" outlineLevel="0" collapsed="false">
      <c r="A319" s="37" t="s">
        <v>461</v>
      </c>
      <c r="B319" s="42" t="n">
        <v>45778</v>
      </c>
      <c r="C319" s="37" t="s">
        <v>166</v>
      </c>
      <c r="D319" s="37" t="s">
        <v>44</v>
      </c>
      <c r="E319" s="37" t="s">
        <v>97</v>
      </c>
      <c r="F319" s="37" t="s">
        <v>109</v>
      </c>
      <c r="G319" s="37" t="s">
        <v>90</v>
      </c>
      <c r="H319" s="37" t="n">
        <v>1</v>
      </c>
      <c r="I319" s="43" t="n">
        <v>3499</v>
      </c>
      <c r="J319" s="40" t="n">
        <v>0.05</v>
      </c>
    </row>
    <row r="320" customFormat="false" ht="15" hidden="false" customHeight="false" outlineLevel="0" collapsed="false">
      <c r="A320" s="37" t="s">
        <v>462</v>
      </c>
      <c r="B320" s="42" t="n">
        <v>45790</v>
      </c>
      <c r="C320" s="37" t="s">
        <v>146</v>
      </c>
      <c r="D320" s="37" t="s">
        <v>45</v>
      </c>
      <c r="E320" s="37" t="s">
        <v>97</v>
      </c>
      <c r="F320" s="37" t="s">
        <v>108</v>
      </c>
      <c r="G320" s="37" t="s">
        <v>90</v>
      </c>
      <c r="H320" s="37" t="n">
        <v>1</v>
      </c>
      <c r="I320" s="43" t="n">
        <v>1999</v>
      </c>
      <c r="J320" s="40" t="n">
        <v>0</v>
      </c>
    </row>
    <row r="321" customFormat="false" ht="15" hidden="false" customHeight="false" outlineLevel="0" collapsed="false">
      <c r="A321" s="37" t="s">
        <v>463</v>
      </c>
      <c r="B321" s="42" t="n">
        <v>45784</v>
      </c>
      <c r="C321" s="37" t="s">
        <v>134</v>
      </c>
      <c r="D321" s="37" t="s">
        <v>45</v>
      </c>
      <c r="E321" s="37" t="s">
        <v>96</v>
      </c>
      <c r="F321" s="37" t="s">
        <v>110</v>
      </c>
      <c r="G321" s="37" t="s">
        <v>90</v>
      </c>
      <c r="H321" s="37" t="n">
        <v>2</v>
      </c>
      <c r="I321" s="43" t="n">
        <v>1299</v>
      </c>
      <c r="J321" s="40" t="n">
        <v>0.15</v>
      </c>
    </row>
    <row r="322" customFormat="false" ht="15" hidden="false" customHeight="false" outlineLevel="0" collapsed="false">
      <c r="A322" s="37" t="s">
        <v>464</v>
      </c>
      <c r="B322" s="42" t="n">
        <v>45778</v>
      </c>
      <c r="C322" s="37" t="s">
        <v>172</v>
      </c>
      <c r="D322" s="37" t="s">
        <v>46</v>
      </c>
      <c r="E322" s="37" t="s">
        <v>97</v>
      </c>
      <c r="F322" s="37" t="s">
        <v>119</v>
      </c>
      <c r="G322" s="37" t="s">
        <v>91</v>
      </c>
      <c r="H322" s="37" t="n">
        <v>2</v>
      </c>
      <c r="I322" s="43" t="n">
        <v>1099</v>
      </c>
      <c r="J322" s="40" t="n">
        <v>0</v>
      </c>
    </row>
    <row r="323" customFormat="false" ht="15" hidden="false" customHeight="false" outlineLevel="0" collapsed="false">
      <c r="A323" s="37" t="s">
        <v>465</v>
      </c>
      <c r="B323" s="42" t="n">
        <v>45803</v>
      </c>
      <c r="C323" s="37" t="s">
        <v>146</v>
      </c>
      <c r="D323" s="37" t="s">
        <v>45</v>
      </c>
      <c r="E323" s="37" t="s">
        <v>96</v>
      </c>
      <c r="F323" s="37" t="s">
        <v>111</v>
      </c>
      <c r="G323" s="37" t="s">
        <v>90</v>
      </c>
      <c r="H323" s="37" t="n">
        <v>3</v>
      </c>
      <c r="I323" s="43" t="n">
        <v>2499</v>
      </c>
      <c r="J323" s="40" t="n">
        <v>0.05</v>
      </c>
    </row>
    <row r="324" customFormat="false" ht="15" hidden="false" customHeight="false" outlineLevel="0" collapsed="false">
      <c r="A324" s="37" t="s">
        <v>466</v>
      </c>
      <c r="B324" s="42" t="n">
        <v>45790</v>
      </c>
      <c r="C324" s="37" t="s">
        <v>166</v>
      </c>
      <c r="D324" s="37" t="s">
        <v>44</v>
      </c>
      <c r="E324" s="37" t="s">
        <v>96</v>
      </c>
      <c r="F324" s="37" t="s">
        <v>122</v>
      </c>
      <c r="G324" s="37" t="s">
        <v>93</v>
      </c>
      <c r="H324" s="37" t="n">
        <v>1</v>
      </c>
      <c r="I324" s="43" t="n">
        <v>1799</v>
      </c>
      <c r="J324" s="40" t="n">
        <v>0.15</v>
      </c>
    </row>
    <row r="325" customFormat="false" ht="15" hidden="false" customHeight="false" outlineLevel="0" collapsed="false">
      <c r="A325" s="37" t="s">
        <v>467</v>
      </c>
      <c r="B325" s="42" t="n">
        <v>45801</v>
      </c>
      <c r="C325" s="37" t="s">
        <v>134</v>
      </c>
      <c r="D325" s="37" t="s">
        <v>45</v>
      </c>
      <c r="E325" s="37" t="s">
        <v>96</v>
      </c>
      <c r="F325" s="37" t="s">
        <v>115</v>
      </c>
      <c r="G325" s="37" t="s">
        <v>92</v>
      </c>
      <c r="H325" s="37" t="n">
        <v>1</v>
      </c>
      <c r="I325" s="43" t="n">
        <v>1799</v>
      </c>
      <c r="J325" s="40" t="n">
        <v>0.1</v>
      </c>
    </row>
    <row r="326" customFormat="false" ht="15" hidden="false" customHeight="false" outlineLevel="0" collapsed="false">
      <c r="A326" s="37" t="s">
        <v>468</v>
      </c>
      <c r="B326" s="42" t="n">
        <v>45796</v>
      </c>
      <c r="C326" s="37" t="s">
        <v>1155</v>
      </c>
      <c r="D326" s="37" t="s">
        <v>45</v>
      </c>
      <c r="E326" s="37" t="s">
        <v>97</v>
      </c>
      <c r="F326" s="37" t="s">
        <v>116</v>
      </c>
      <c r="G326" s="37" t="s">
        <v>91</v>
      </c>
      <c r="H326" s="37" t="n">
        <v>1</v>
      </c>
      <c r="I326" s="43" t="n">
        <v>899</v>
      </c>
      <c r="J326" s="40" t="n">
        <v>0</v>
      </c>
    </row>
    <row r="327" customFormat="false" ht="15" hidden="false" customHeight="false" outlineLevel="0" collapsed="false">
      <c r="A327" s="37" t="s">
        <v>469</v>
      </c>
      <c r="B327" s="42" t="n">
        <v>45803</v>
      </c>
      <c r="C327" s="37" t="s">
        <v>140</v>
      </c>
      <c r="D327" s="37" t="s">
        <v>44</v>
      </c>
      <c r="E327" s="37" t="s">
        <v>97</v>
      </c>
      <c r="F327" s="37" t="s">
        <v>111</v>
      </c>
      <c r="G327" s="37" t="s">
        <v>90</v>
      </c>
      <c r="H327" s="37" t="n">
        <v>2</v>
      </c>
      <c r="I327" s="43" t="n">
        <v>2499</v>
      </c>
      <c r="J327" s="40" t="n">
        <v>0</v>
      </c>
    </row>
    <row r="328" customFormat="false" ht="15" hidden="false" customHeight="false" outlineLevel="0" collapsed="false">
      <c r="A328" s="37" t="s">
        <v>470</v>
      </c>
      <c r="B328" s="42" t="n">
        <v>45801</v>
      </c>
      <c r="C328" s="37" t="s">
        <v>136</v>
      </c>
      <c r="D328" s="37" t="s">
        <v>47</v>
      </c>
      <c r="E328" s="37" t="s">
        <v>96</v>
      </c>
      <c r="F328" s="37" t="s">
        <v>110</v>
      </c>
      <c r="G328" s="37" t="s">
        <v>90</v>
      </c>
      <c r="H328" s="37" t="n">
        <v>1</v>
      </c>
      <c r="I328" s="43" t="n">
        <v>1299</v>
      </c>
      <c r="J328" s="40" t="n">
        <v>0.4</v>
      </c>
    </row>
    <row r="329" customFormat="false" ht="15" hidden="false" customHeight="false" outlineLevel="0" collapsed="false">
      <c r="A329" s="37" t="s">
        <v>471</v>
      </c>
      <c r="B329" s="42" t="n">
        <v>45784</v>
      </c>
      <c r="C329" s="37" t="s">
        <v>144</v>
      </c>
      <c r="D329" s="37" t="s">
        <v>45</v>
      </c>
      <c r="E329" s="37" t="s">
        <v>96</v>
      </c>
      <c r="F329" s="37" t="s">
        <v>121</v>
      </c>
      <c r="G329" s="37" t="s">
        <v>93</v>
      </c>
      <c r="H329" s="37" t="n">
        <v>1</v>
      </c>
      <c r="I329" s="43" t="n">
        <v>999</v>
      </c>
      <c r="J329" s="40" t="n">
        <v>0</v>
      </c>
    </row>
    <row r="330" customFormat="false" ht="15" hidden="false" customHeight="false" outlineLevel="0" collapsed="false">
      <c r="A330" s="37" t="s">
        <v>472</v>
      </c>
      <c r="B330" s="42" t="n">
        <v>45786</v>
      </c>
      <c r="C330" s="37" t="s">
        <v>172</v>
      </c>
      <c r="D330" s="37" t="s">
        <v>46</v>
      </c>
      <c r="E330" s="37" t="s">
        <v>96</v>
      </c>
      <c r="F330" s="37" t="s">
        <v>109</v>
      </c>
      <c r="G330" s="37" t="s">
        <v>90</v>
      </c>
      <c r="H330" s="37" t="n">
        <v>1</v>
      </c>
      <c r="I330" s="43" t="n">
        <v>3499</v>
      </c>
      <c r="J330" s="40" t="n">
        <v>0.05</v>
      </c>
    </row>
    <row r="331" customFormat="false" ht="15" hidden="false" customHeight="false" outlineLevel="0" collapsed="false">
      <c r="A331" s="37" t="s">
        <v>473</v>
      </c>
      <c r="B331" s="42" t="n">
        <v>45793</v>
      </c>
      <c r="C331" s="37" t="s">
        <v>134</v>
      </c>
      <c r="D331" s="37" t="s">
        <v>45</v>
      </c>
      <c r="E331" s="37" t="s">
        <v>97</v>
      </c>
      <c r="F331" s="37" t="s">
        <v>112</v>
      </c>
      <c r="G331" s="37" t="s">
        <v>92</v>
      </c>
      <c r="H331" s="37" t="n">
        <v>2</v>
      </c>
      <c r="I331" s="43" t="n">
        <v>3299</v>
      </c>
      <c r="J331" s="40" t="n">
        <v>0</v>
      </c>
    </row>
    <row r="332" customFormat="false" ht="15" hidden="false" customHeight="false" outlineLevel="0" collapsed="false">
      <c r="A332" s="37" t="s">
        <v>474</v>
      </c>
      <c r="B332" s="42" t="n">
        <v>45803</v>
      </c>
      <c r="C332" s="37" t="s">
        <v>172</v>
      </c>
      <c r="D332" s="37" t="s">
        <v>46</v>
      </c>
      <c r="E332" s="37" t="s">
        <v>96</v>
      </c>
      <c r="F332" s="37" t="s">
        <v>114</v>
      </c>
      <c r="G332" s="37" t="s">
        <v>92</v>
      </c>
      <c r="H332" s="37" t="n">
        <v>2</v>
      </c>
      <c r="I332" s="43" t="n">
        <v>1199</v>
      </c>
      <c r="J332" s="40" t="n">
        <v>0.15</v>
      </c>
    </row>
    <row r="333" customFormat="false" ht="15" hidden="false" customHeight="false" outlineLevel="0" collapsed="false">
      <c r="A333" s="37" t="s">
        <v>475</v>
      </c>
      <c r="B333" s="42" t="n">
        <v>45796</v>
      </c>
      <c r="C333" s="37" t="s">
        <v>142</v>
      </c>
      <c r="D333" s="37" t="s">
        <v>47</v>
      </c>
      <c r="E333" s="37" t="s">
        <v>96</v>
      </c>
      <c r="F333" s="37" t="s">
        <v>108</v>
      </c>
      <c r="G333" s="37" t="s">
        <v>90</v>
      </c>
      <c r="H333" s="37" t="n">
        <v>1</v>
      </c>
      <c r="I333" s="43" t="n">
        <v>1999</v>
      </c>
      <c r="J333" s="40" t="n">
        <v>0.05</v>
      </c>
    </row>
    <row r="334" customFormat="false" ht="15" hidden="false" customHeight="false" outlineLevel="0" collapsed="false">
      <c r="A334" s="37" t="s">
        <v>476</v>
      </c>
      <c r="B334" s="42" t="n">
        <v>45802</v>
      </c>
      <c r="C334" s="37" t="s">
        <v>154</v>
      </c>
      <c r="D334" s="37" t="s">
        <v>47</v>
      </c>
      <c r="E334" s="37" t="s">
        <v>96</v>
      </c>
      <c r="F334" s="37" t="s">
        <v>110</v>
      </c>
      <c r="G334" s="37" t="s">
        <v>90</v>
      </c>
      <c r="H334" s="37" t="n">
        <v>1</v>
      </c>
      <c r="I334" s="43" t="n">
        <v>1299</v>
      </c>
      <c r="J334" s="40" t="n">
        <v>0.1</v>
      </c>
    </row>
    <row r="335" customFormat="false" ht="15" hidden="false" customHeight="false" outlineLevel="0" collapsed="false">
      <c r="A335" s="37" t="s">
        <v>477</v>
      </c>
      <c r="B335" s="37" t="s">
        <v>1172</v>
      </c>
      <c r="C335" s="37" t="s">
        <v>134</v>
      </c>
      <c r="D335" s="37" t="s">
        <v>45</v>
      </c>
      <c r="E335" s="37" t="s">
        <v>97</v>
      </c>
      <c r="F335" s="37" t="s">
        <v>117</v>
      </c>
      <c r="G335" s="37" t="s">
        <v>91</v>
      </c>
      <c r="H335" s="37" t="n">
        <v>1</v>
      </c>
      <c r="I335" s="43" t="n">
        <v>1499</v>
      </c>
      <c r="J335" s="40" t="n">
        <v>0</v>
      </c>
    </row>
    <row r="336" customFormat="false" ht="15" hidden="false" customHeight="false" outlineLevel="0" collapsed="false">
      <c r="A336" s="37" t="s">
        <v>478</v>
      </c>
      <c r="B336" s="42" t="n">
        <v>45782</v>
      </c>
      <c r="C336" s="37" t="s">
        <v>136</v>
      </c>
      <c r="D336" s="37" t="s">
        <v>47</v>
      </c>
      <c r="E336" s="37" t="s">
        <v>96</v>
      </c>
      <c r="F336" s="37" t="s">
        <v>112</v>
      </c>
      <c r="G336" s="37" t="s">
        <v>92</v>
      </c>
      <c r="H336" s="37" t="n">
        <v>3</v>
      </c>
      <c r="I336" s="43" t="n">
        <v>3299</v>
      </c>
      <c r="J336" s="40" t="n">
        <v>0.05</v>
      </c>
    </row>
    <row r="337" customFormat="false" ht="15" hidden="false" customHeight="false" outlineLevel="0" collapsed="false">
      <c r="A337" s="37" t="s">
        <v>479</v>
      </c>
      <c r="B337" s="42" t="n">
        <v>45800</v>
      </c>
      <c r="C337" s="37" t="s">
        <v>154</v>
      </c>
      <c r="D337" s="37" t="s">
        <v>47</v>
      </c>
      <c r="E337" s="37" t="s">
        <v>96</v>
      </c>
      <c r="F337" s="37" t="s">
        <v>111</v>
      </c>
      <c r="G337" s="37" t="s">
        <v>90</v>
      </c>
      <c r="H337" s="37" t="n">
        <v>1</v>
      </c>
      <c r="I337" s="43" t="n">
        <v>2499</v>
      </c>
      <c r="J337" s="40" t="n">
        <v>0.1</v>
      </c>
    </row>
    <row r="338" customFormat="false" ht="15" hidden="false" customHeight="false" outlineLevel="0" collapsed="false">
      <c r="A338" s="37" t="s">
        <v>480</v>
      </c>
      <c r="B338" s="42" t="n">
        <v>45791</v>
      </c>
      <c r="C338" s="37" t="s">
        <v>134</v>
      </c>
      <c r="D338" s="37" t="s">
        <v>45</v>
      </c>
      <c r="E338" s="37" t="s">
        <v>97</v>
      </c>
      <c r="F338" s="37" t="s">
        <v>114</v>
      </c>
      <c r="G338" s="37" t="s">
        <v>92</v>
      </c>
      <c r="H338" s="37" t="n">
        <v>1</v>
      </c>
      <c r="I338" s="43" t="n">
        <v>1199</v>
      </c>
      <c r="J338" s="37" t="s">
        <v>1169</v>
      </c>
    </row>
    <row r="339" customFormat="false" ht="15" hidden="false" customHeight="false" outlineLevel="0" collapsed="false">
      <c r="A339" s="37" t="s">
        <v>481</v>
      </c>
      <c r="B339" s="42" t="n">
        <v>45789</v>
      </c>
      <c r="C339" s="37" t="s">
        <v>146</v>
      </c>
      <c r="D339" s="37" t="s">
        <v>45</v>
      </c>
      <c r="E339" s="37" t="s">
        <v>97</v>
      </c>
      <c r="F339" s="37" t="s">
        <v>109</v>
      </c>
      <c r="G339" s="37" t="s">
        <v>90</v>
      </c>
      <c r="H339" s="37" t="n">
        <v>1</v>
      </c>
      <c r="I339" s="43" t="n">
        <v>3499</v>
      </c>
      <c r="J339" s="40" t="n">
        <v>0.05</v>
      </c>
    </row>
    <row r="340" customFormat="false" ht="15" hidden="false" customHeight="false" outlineLevel="0" collapsed="false">
      <c r="A340" s="37" t="s">
        <v>482</v>
      </c>
      <c r="B340" s="42" t="n">
        <v>45799</v>
      </c>
      <c r="C340" s="37" t="s">
        <v>154</v>
      </c>
      <c r="D340" s="37" t="s">
        <v>47</v>
      </c>
      <c r="E340" s="37" t="s">
        <v>97</v>
      </c>
      <c r="F340" s="37" t="s">
        <v>113</v>
      </c>
      <c r="G340" s="37" t="s">
        <v>92</v>
      </c>
      <c r="H340" s="37" t="n">
        <v>2</v>
      </c>
      <c r="I340" s="43" t="n">
        <v>2199</v>
      </c>
      <c r="J340" s="40" t="n">
        <v>0</v>
      </c>
    </row>
    <row r="341" customFormat="false" ht="15" hidden="false" customHeight="false" outlineLevel="0" collapsed="false">
      <c r="A341" s="37" t="s">
        <v>483</v>
      </c>
      <c r="B341" s="42" t="n">
        <v>45788</v>
      </c>
      <c r="C341" s="37" t="s">
        <v>146</v>
      </c>
      <c r="D341" s="37" t="s">
        <v>45</v>
      </c>
      <c r="E341" s="37" t="s">
        <v>96</v>
      </c>
      <c r="F341" s="37" t="s">
        <v>121</v>
      </c>
      <c r="G341" s="37" t="s">
        <v>93</v>
      </c>
      <c r="H341" s="37" t="n">
        <v>1</v>
      </c>
      <c r="I341" s="43" t="n">
        <v>999</v>
      </c>
      <c r="J341" s="40" t="n">
        <v>0</v>
      </c>
    </row>
    <row r="342" customFormat="false" ht="15" hidden="false" customHeight="false" outlineLevel="0" collapsed="false">
      <c r="A342" s="37" t="s">
        <v>484</v>
      </c>
      <c r="B342" s="42" t="n">
        <v>45783</v>
      </c>
      <c r="C342" s="37" t="s">
        <v>140</v>
      </c>
      <c r="D342" s="37" t="s">
        <v>44</v>
      </c>
      <c r="E342" s="37" t="s">
        <v>96</v>
      </c>
      <c r="F342" s="37" t="s">
        <v>118</v>
      </c>
      <c r="G342" s="37" t="s">
        <v>91</v>
      </c>
      <c r="H342" s="37" t="n">
        <v>2</v>
      </c>
      <c r="I342" s="43" t="n">
        <v>2299</v>
      </c>
      <c r="J342" s="40" t="n">
        <v>0.05</v>
      </c>
    </row>
    <row r="343" customFormat="false" ht="15" hidden="false" customHeight="false" outlineLevel="0" collapsed="false">
      <c r="A343" s="37" t="s">
        <v>485</v>
      </c>
      <c r="B343" s="42" t="n">
        <v>45788</v>
      </c>
      <c r="C343" s="37" t="s">
        <v>166</v>
      </c>
      <c r="D343" s="37" t="s">
        <v>44</v>
      </c>
      <c r="E343" s="37" t="s">
        <v>97</v>
      </c>
      <c r="F343" s="37" t="s">
        <v>112</v>
      </c>
      <c r="G343" s="37" t="s">
        <v>92</v>
      </c>
      <c r="H343" s="37" t="n">
        <v>1</v>
      </c>
      <c r="I343" s="43" t="n">
        <v>3299</v>
      </c>
      <c r="J343" s="40" t="n">
        <v>0</v>
      </c>
    </row>
    <row r="344" customFormat="false" ht="15" hidden="false" customHeight="false" outlineLevel="0" collapsed="false">
      <c r="A344" s="37" t="s">
        <v>486</v>
      </c>
      <c r="B344" s="42" t="n">
        <v>45779</v>
      </c>
      <c r="C344" s="37" t="s">
        <v>136</v>
      </c>
      <c r="D344" s="37" t="s">
        <v>47</v>
      </c>
      <c r="E344" s="37" t="s">
        <v>1152</v>
      </c>
      <c r="F344" s="37" t="s">
        <v>117</v>
      </c>
      <c r="G344" s="37" t="s">
        <v>91</v>
      </c>
      <c r="H344" s="37" t="n">
        <v>2</v>
      </c>
      <c r="I344" s="43" t="n">
        <v>1499</v>
      </c>
      <c r="J344" s="40" t="n">
        <v>0.1</v>
      </c>
    </row>
    <row r="345" customFormat="false" ht="15" hidden="false" customHeight="false" outlineLevel="0" collapsed="false">
      <c r="A345" s="37" t="s">
        <v>487</v>
      </c>
      <c r="B345" s="42" t="n">
        <v>45787</v>
      </c>
      <c r="C345" s="37" t="s">
        <v>136</v>
      </c>
      <c r="D345" s="37" t="s">
        <v>47</v>
      </c>
      <c r="E345" s="37" t="s">
        <v>96</v>
      </c>
      <c r="F345" s="37" t="s">
        <v>109</v>
      </c>
      <c r="G345" s="37" t="s">
        <v>90</v>
      </c>
      <c r="H345" s="37" t="n">
        <v>2</v>
      </c>
      <c r="I345" s="43" t="n">
        <v>3499</v>
      </c>
      <c r="J345" s="40" t="n">
        <v>0.15</v>
      </c>
    </row>
    <row r="346" customFormat="false" ht="15" hidden="false" customHeight="false" outlineLevel="0" collapsed="false">
      <c r="A346" s="37" t="s">
        <v>488</v>
      </c>
      <c r="B346" s="42" t="n">
        <v>45799</v>
      </c>
      <c r="C346" s="37" t="s">
        <v>134</v>
      </c>
      <c r="D346" s="37" t="s">
        <v>45</v>
      </c>
      <c r="E346" s="37" t="s">
        <v>96</v>
      </c>
      <c r="F346" s="37" t="s">
        <v>120</v>
      </c>
      <c r="G346" s="37" t="s">
        <v>93</v>
      </c>
      <c r="H346" s="37" t="n">
        <v>1</v>
      </c>
      <c r="I346" s="43" t="n">
        <v>449</v>
      </c>
      <c r="J346" s="40" t="n">
        <v>0.15</v>
      </c>
    </row>
    <row r="347" customFormat="false" ht="15" hidden="false" customHeight="false" outlineLevel="0" collapsed="false">
      <c r="A347" s="37" t="s">
        <v>489</v>
      </c>
      <c r="B347" s="42" t="n">
        <v>45805</v>
      </c>
      <c r="C347" s="37" t="s">
        <v>1155</v>
      </c>
      <c r="D347" s="37" t="s">
        <v>45</v>
      </c>
      <c r="E347" s="37" t="s">
        <v>1147</v>
      </c>
      <c r="F347" s="37" t="s">
        <v>109</v>
      </c>
      <c r="G347" s="37" t="s">
        <v>90</v>
      </c>
      <c r="H347" s="37" t="n">
        <v>1</v>
      </c>
      <c r="I347" s="43" t="n">
        <v>3499</v>
      </c>
      <c r="J347" s="40" t="n">
        <v>0.05</v>
      </c>
    </row>
    <row r="348" customFormat="false" ht="15" hidden="false" customHeight="false" outlineLevel="0" collapsed="false">
      <c r="A348" s="37" t="s">
        <v>490</v>
      </c>
      <c r="B348" s="42" t="n">
        <v>45804</v>
      </c>
      <c r="C348" s="37" t="s">
        <v>154</v>
      </c>
      <c r="D348" s="37" t="s">
        <v>47</v>
      </c>
      <c r="E348" s="37" t="s">
        <v>96</v>
      </c>
      <c r="F348" s="37" t="s">
        <v>109</v>
      </c>
      <c r="G348" s="37" t="s">
        <v>90</v>
      </c>
      <c r="H348" s="37" t="n">
        <v>1</v>
      </c>
      <c r="I348" s="43" t="n">
        <v>3499</v>
      </c>
      <c r="J348" s="40" t="n">
        <v>0.3</v>
      </c>
    </row>
    <row r="349" customFormat="false" ht="15" hidden="false" customHeight="false" outlineLevel="0" collapsed="false">
      <c r="A349" s="37" t="s">
        <v>491</v>
      </c>
      <c r="B349" s="42" t="n">
        <v>45805</v>
      </c>
      <c r="C349" s="37" t="s">
        <v>154</v>
      </c>
      <c r="D349" s="37" t="s">
        <v>47</v>
      </c>
      <c r="E349" s="37" t="s">
        <v>1153</v>
      </c>
      <c r="F349" s="37" t="s">
        <v>110</v>
      </c>
      <c r="G349" s="37" t="s">
        <v>90</v>
      </c>
      <c r="H349" s="37" t="n">
        <v>2</v>
      </c>
      <c r="I349" s="43" t="n">
        <v>1299</v>
      </c>
      <c r="J349" s="40" t="n">
        <v>0.15</v>
      </c>
    </row>
    <row r="350" customFormat="false" ht="15" hidden="false" customHeight="false" outlineLevel="0" collapsed="false">
      <c r="A350" s="37" t="s">
        <v>492</v>
      </c>
      <c r="B350" s="42" t="n">
        <v>45788</v>
      </c>
      <c r="C350" s="37" t="s">
        <v>142</v>
      </c>
      <c r="D350" s="37" t="s">
        <v>47</v>
      </c>
      <c r="E350" s="37" t="s">
        <v>97</v>
      </c>
      <c r="F350" s="37" t="s">
        <v>120</v>
      </c>
      <c r="G350" s="37" t="s">
        <v>93</v>
      </c>
      <c r="H350" s="37" t="n">
        <v>1</v>
      </c>
      <c r="I350" s="43" t="n">
        <v>449</v>
      </c>
      <c r="J350" s="40" t="n">
        <v>0.15</v>
      </c>
    </row>
    <row r="351" customFormat="false" ht="15" hidden="false" customHeight="false" outlineLevel="0" collapsed="false">
      <c r="A351" s="37" t="s">
        <v>493</v>
      </c>
      <c r="B351" s="42" t="n">
        <v>45789</v>
      </c>
      <c r="C351" s="37" t="s">
        <v>144</v>
      </c>
      <c r="D351" s="37" t="s">
        <v>45</v>
      </c>
      <c r="E351" s="37" t="s">
        <v>96</v>
      </c>
      <c r="F351" s="37" t="s">
        <v>111</v>
      </c>
      <c r="G351" s="37" t="s">
        <v>90</v>
      </c>
      <c r="H351" s="37" t="n">
        <v>1</v>
      </c>
      <c r="I351" s="43" t="n">
        <v>2499</v>
      </c>
      <c r="J351" s="40" t="n">
        <v>0.25</v>
      </c>
    </row>
    <row r="352" customFormat="false" ht="15" hidden="false" customHeight="false" outlineLevel="0" collapsed="false">
      <c r="A352" s="37" t="s">
        <v>494</v>
      </c>
      <c r="B352" s="42" t="n">
        <v>45793</v>
      </c>
      <c r="C352" s="37" t="s">
        <v>136</v>
      </c>
      <c r="D352" s="37" t="s">
        <v>47</v>
      </c>
      <c r="E352" s="37" t="s">
        <v>96</v>
      </c>
      <c r="F352" s="37" t="s">
        <v>111</v>
      </c>
      <c r="G352" s="37" t="s">
        <v>90</v>
      </c>
      <c r="H352" s="37" t="n">
        <v>3</v>
      </c>
      <c r="I352" s="43" t="n">
        <v>2499</v>
      </c>
      <c r="J352" s="40" t="n">
        <v>0.1</v>
      </c>
    </row>
    <row r="353" customFormat="false" ht="15" hidden="false" customHeight="false" outlineLevel="0" collapsed="false">
      <c r="A353" s="37" t="s">
        <v>495</v>
      </c>
      <c r="B353" s="42" t="n">
        <v>45788</v>
      </c>
      <c r="C353" s="37" t="s">
        <v>134</v>
      </c>
      <c r="D353" s="37" t="s">
        <v>45</v>
      </c>
      <c r="E353" s="37" t="s">
        <v>97</v>
      </c>
      <c r="F353" s="37" t="s">
        <v>117</v>
      </c>
      <c r="G353" s="37" t="s">
        <v>91</v>
      </c>
      <c r="H353" s="37" t="n">
        <v>1</v>
      </c>
      <c r="I353" s="43" t="n">
        <v>1499</v>
      </c>
      <c r="J353" s="40" t="n">
        <v>0.05</v>
      </c>
    </row>
    <row r="354" customFormat="false" ht="15" hidden="false" customHeight="false" outlineLevel="0" collapsed="false">
      <c r="A354" s="37" t="s">
        <v>496</v>
      </c>
      <c r="B354" s="42" t="n">
        <v>45787</v>
      </c>
      <c r="C354" s="37" t="s">
        <v>160</v>
      </c>
      <c r="D354" s="37" t="s">
        <v>46</v>
      </c>
      <c r="E354" s="37" t="s">
        <v>96</v>
      </c>
      <c r="F354" s="37" t="s">
        <v>111</v>
      </c>
      <c r="G354" s="37" t="s">
        <v>90</v>
      </c>
      <c r="H354" s="37" t="n">
        <v>1</v>
      </c>
      <c r="I354" s="43" t="n">
        <v>2499</v>
      </c>
      <c r="J354" s="40" t="n">
        <v>0.15</v>
      </c>
    </row>
    <row r="355" customFormat="false" ht="15" hidden="false" customHeight="false" outlineLevel="0" collapsed="false">
      <c r="A355" s="37" t="s">
        <v>497</v>
      </c>
      <c r="B355" s="42" t="n">
        <v>45793</v>
      </c>
      <c r="C355" s="37" t="s">
        <v>142</v>
      </c>
      <c r="D355" s="37" t="s">
        <v>47</v>
      </c>
      <c r="E355" s="37" t="s">
        <v>96</v>
      </c>
      <c r="F355" s="37" t="s">
        <v>109</v>
      </c>
      <c r="G355" s="37" t="s">
        <v>90</v>
      </c>
      <c r="H355" s="37" t="n">
        <v>1</v>
      </c>
      <c r="I355" s="43" t="n">
        <v>3499</v>
      </c>
      <c r="J355" s="40" t="n">
        <v>0.1</v>
      </c>
    </row>
    <row r="356" customFormat="false" ht="15" hidden="false" customHeight="false" outlineLevel="0" collapsed="false">
      <c r="A356" s="37" t="s">
        <v>498</v>
      </c>
      <c r="B356" s="42" t="n">
        <v>45810</v>
      </c>
      <c r="C356" s="37" t="s">
        <v>169</v>
      </c>
      <c r="D356" s="37" t="s">
        <v>44</v>
      </c>
      <c r="E356" s="37" t="s">
        <v>96</v>
      </c>
      <c r="F356" s="37" t="s">
        <v>111</v>
      </c>
      <c r="G356" s="37" t="s">
        <v>90</v>
      </c>
      <c r="H356" s="37" t="n">
        <v>2</v>
      </c>
      <c r="I356" s="43" t="n">
        <v>2499</v>
      </c>
      <c r="J356" s="40" t="n">
        <v>0.15</v>
      </c>
    </row>
    <row r="357" customFormat="false" ht="15" hidden="false" customHeight="false" outlineLevel="0" collapsed="false">
      <c r="A357" s="37" t="s">
        <v>499</v>
      </c>
      <c r="B357" s="42" t="n">
        <v>45833</v>
      </c>
      <c r="C357" s="37" t="s">
        <v>140</v>
      </c>
      <c r="D357" s="37" t="s">
        <v>44</v>
      </c>
      <c r="E357" s="37" t="s">
        <v>1158</v>
      </c>
      <c r="F357" s="37" t="s">
        <v>118</v>
      </c>
      <c r="G357" s="37" t="s">
        <v>91</v>
      </c>
      <c r="H357" s="37" t="n">
        <v>5</v>
      </c>
      <c r="I357" s="43" t="n">
        <v>2299</v>
      </c>
      <c r="J357" s="40" t="n">
        <v>0</v>
      </c>
    </row>
    <row r="358" customFormat="false" ht="15" hidden="false" customHeight="false" outlineLevel="0" collapsed="false">
      <c r="A358" s="37" t="s">
        <v>500</v>
      </c>
      <c r="B358" s="42" t="n">
        <v>45821</v>
      </c>
      <c r="C358" s="37" t="s">
        <v>134</v>
      </c>
      <c r="D358" s="37" t="s">
        <v>45</v>
      </c>
      <c r="E358" s="37" t="s">
        <v>97</v>
      </c>
      <c r="F358" s="37" t="s">
        <v>117</v>
      </c>
      <c r="G358" s="37" t="s">
        <v>91</v>
      </c>
      <c r="H358" s="37" t="n">
        <v>4</v>
      </c>
      <c r="I358" s="43" t="n">
        <v>1499</v>
      </c>
      <c r="J358" s="40" t="n">
        <v>0</v>
      </c>
    </row>
    <row r="359" customFormat="false" ht="15" hidden="false" customHeight="false" outlineLevel="0" collapsed="false">
      <c r="A359" s="37" t="s">
        <v>501</v>
      </c>
      <c r="B359" s="42" t="n">
        <v>45826</v>
      </c>
      <c r="C359" s="37" t="s">
        <v>142</v>
      </c>
      <c r="D359" s="37" t="s">
        <v>47</v>
      </c>
      <c r="E359" s="37" t="s">
        <v>96</v>
      </c>
      <c r="F359" s="37" t="s">
        <v>110</v>
      </c>
      <c r="G359" s="37" t="s">
        <v>90</v>
      </c>
      <c r="H359" s="37" t="n">
        <v>1</v>
      </c>
      <c r="I359" s="43" t="n">
        <v>1299</v>
      </c>
      <c r="J359" s="40" t="n">
        <v>0.3</v>
      </c>
    </row>
    <row r="360" customFormat="false" ht="15" hidden="false" customHeight="false" outlineLevel="0" collapsed="false">
      <c r="A360" s="37" t="s">
        <v>502</v>
      </c>
      <c r="B360" s="42" t="n">
        <v>45834</v>
      </c>
      <c r="C360" s="37" t="s">
        <v>140</v>
      </c>
      <c r="D360" s="37" t="s">
        <v>44</v>
      </c>
      <c r="E360" s="37" t="s">
        <v>96</v>
      </c>
      <c r="F360" s="37" t="s">
        <v>108</v>
      </c>
      <c r="G360" s="37" t="s">
        <v>90</v>
      </c>
      <c r="H360" s="37" t="n">
        <v>1</v>
      </c>
      <c r="I360" s="43" t="n">
        <v>1999</v>
      </c>
      <c r="J360" s="40" t="n">
        <v>0.05</v>
      </c>
    </row>
    <row r="361" customFormat="false" ht="15" hidden="false" customHeight="false" outlineLevel="0" collapsed="false">
      <c r="A361" s="37" t="s">
        <v>503</v>
      </c>
      <c r="B361" s="42" t="n">
        <v>45810</v>
      </c>
      <c r="C361" s="37" t="s">
        <v>166</v>
      </c>
      <c r="D361" s="37" t="s">
        <v>44</v>
      </c>
      <c r="E361" s="37" t="s">
        <v>97</v>
      </c>
      <c r="F361" s="37" t="s">
        <v>109</v>
      </c>
      <c r="G361" s="37" t="s">
        <v>90</v>
      </c>
      <c r="H361" s="37" t="n">
        <v>5</v>
      </c>
      <c r="I361" s="43" t="n">
        <v>3499</v>
      </c>
      <c r="J361" s="40" t="n">
        <v>0.05</v>
      </c>
    </row>
    <row r="362" customFormat="false" ht="15" hidden="false" customHeight="false" outlineLevel="0" collapsed="false">
      <c r="A362" s="37" t="s">
        <v>504</v>
      </c>
      <c r="B362" s="42" t="n">
        <v>45824</v>
      </c>
      <c r="C362" s="37" t="s">
        <v>160</v>
      </c>
      <c r="D362" s="37" t="s">
        <v>46</v>
      </c>
      <c r="E362" s="37" t="s">
        <v>96</v>
      </c>
      <c r="F362" s="37" t="s">
        <v>118</v>
      </c>
      <c r="G362" s="37" t="s">
        <v>91</v>
      </c>
      <c r="H362" s="37" t="n">
        <v>1</v>
      </c>
      <c r="I362" s="43" t="n">
        <v>2299</v>
      </c>
      <c r="J362" s="40" t="n">
        <v>0.1</v>
      </c>
    </row>
    <row r="363" customFormat="false" ht="15" hidden="false" customHeight="false" outlineLevel="0" collapsed="false">
      <c r="A363" s="37" t="s">
        <v>505</v>
      </c>
      <c r="B363" s="42" t="n">
        <v>45838</v>
      </c>
      <c r="C363" s="37" t="s">
        <v>136</v>
      </c>
      <c r="D363" s="37" t="s">
        <v>47</v>
      </c>
      <c r="E363" s="37" t="s">
        <v>1148</v>
      </c>
      <c r="F363" s="37" t="s">
        <v>122</v>
      </c>
      <c r="G363" s="37" t="s">
        <v>93</v>
      </c>
      <c r="H363" s="37" t="n">
        <v>2</v>
      </c>
      <c r="I363" s="43" t="n">
        <v>1799</v>
      </c>
      <c r="J363" s="40" t="n">
        <v>0.1</v>
      </c>
    </row>
    <row r="364" customFormat="false" ht="15" hidden="false" customHeight="false" outlineLevel="0" collapsed="false">
      <c r="A364" s="37" t="s">
        <v>506</v>
      </c>
      <c r="B364" s="42" t="n">
        <v>45832</v>
      </c>
      <c r="C364" s="37" t="s">
        <v>136</v>
      </c>
      <c r="D364" s="37" t="s">
        <v>47</v>
      </c>
      <c r="E364" s="37" t="s">
        <v>96</v>
      </c>
      <c r="F364" s="37" t="s">
        <v>118</v>
      </c>
      <c r="G364" s="37" t="s">
        <v>91</v>
      </c>
      <c r="H364" s="37" t="n">
        <v>2</v>
      </c>
      <c r="I364" s="43" t="n">
        <v>2299</v>
      </c>
      <c r="J364" s="40" t="n">
        <v>0.15</v>
      </c>
    </row>
    <row r="365" customFormat="false" ht="15" hidden="false" customHeight="false" outlineLevel="0" collapsed="false">
      <c r="A365" s="37" t="s">
        <v>507</v>
      </c>
      <c r="B365" s="42" t="n">
        <v>45836</v>
      </c>
      <c r="C365" s="37" t="s">
        <v>134</v>
      </c>
      <c r="D365" s="37" t="s">
        <v>45</v>
      </c>
      <c r="E365" s="37" t="s">
        <v>97</v>
      </c>
      <c r="F365" s="37" t="s">
        <v>115</v>
      </c>
      <c r="G365" s="37" t="s">
        <v>92</v>
      </c>
      <c r="H365" s="37" t="n">
        <v>1</v>
      </c>
      <c r="I365" s="43" t="n">
        <v>1799</v>
      </c>
      <c r="J365" s="40" t="n">
        <v>0.15</v>
      </c>
    </row>
    <row r="366" customFormat="false" ht="15" hidden="false" customHeight="false" outlineLevel="0" collapsed="false">
      <c r="A366" s="37" t="s">
        <v>508</v>
      </c>
      <c r="B366" s="42" t="n">
        <v>45836</v>
      </c>
      <c r="C366" s="37" t="s">
        <v>140</v>
      </c>
      <c r="D366" s="37" t="s">
        <v>44</v>
      </c>
      <c r="E366" s="37" t="s">
        <v>96</v>
      </c>
      <c r="F366" s="37" t="s">
        <v>118</v>
      </c>
      <c r="G366" s="37" t="s">
        <v>91</v>
      </c>
      <c r="H366" s="37" t="n">
        <v>2</v>
      </c>
      <c r="I366" s="43" t="n">
        <v>2299</v>
      </c>
      <c r="J366" s="40" t="n">
        <v>0.15</v>
      </c>
    </row>
    <row r="367" customFormat="false" ht="15" hidden="false" customHeight="false" outlineLevel="0" collapsed="false">
      <c r="A367" s="37" t="s">
        <v>509</v>
      </c>
      <c r="B367" s="42" t="n">
        <v>45836</v>
      </c>
      <c r="C367" s="37" t="s">
        <v>136</v>
      </c>
      <c r="D367" s="37" t="s">
        <v>47</v>
      </c>
      <c r="E367" s="37" t="s">
        <v>97</v>
      </c>
      <c r="F367" s="37" t="s">
        <v>113</v>
      </c>
      <c r="G367" s="37" t="s">
        <v>92</v>
      </c>
      <c r="H367" s="37" t="n">
        <v>1</v>
      </c>
      <c r="I367" s="43" t="n">
        <v>2199</v>
      </c>
      <c r="J367" s="40" t="n">
        <v>0.15</v>
      </c>
    </row>
    <row r="368" customFormat="false" ht="15" hidden="false" customHeight="false" outlineLevel="0" collapsed="false">
      <c r="A368" s="37" t="s">
        <v>510</v>
      </c>
      <c r="B368" s="42" t="n">
        <v>45823</v>
      </c>
      <c r="C368" s="37" t="s">
        <v>1173</v>
      </c>
      <c r="D368" s="37" t="s">
        <v>45</v>
      </c>
      <c r="E368" s="37" t="s">
        <v>96</v>
      </c>
      <c r="F368" s="37" t="s">
        <v>108</v>
      </c>
      <c r="G368" s="37" t="s">
        <v>90</v>
      </c>
      <c r="H368" s="37" t="n">
        <v>1</v>
      </c>
      <c r="I368" s="43" t="n">
        <v>1999</v>
      </c>
      <c r="J368" s="40" t="n">
        <v>0</v>
      </c>
    </row>
    <row r="369" customFormat="false" ht="15" hidden="false" customHeight="false" outlineLevel="0" collapsed="false">
      <c r="A369" s="37" t="s">
        <v>511</v>
      </c>
      <c r="B369" s="42" t="n">
        <v>45826</v>
      </c>
      <c r="C369" s="37" t="s">
        <v>140</v>
      </c>
      <c r="D369" s="37" t="s">
        <v>44</v>
      </c>
      <c r="E369" s="37" t="s">
        <v>96</v>
      </c>
      <c r="F369" s="37" t="s">
        <v>110</v>
      </c>
      <c r="G369" s="37" t="s">
        <v>90</v>
      </c>
      <c r="H369" s="37" t="n">
        <v>4</v>
      </c>
      <c r="I369" s="43" t="n">
        <v>1299</v>
      </c>
      <c r="J369" s="40" t="n">
        <v>0.2</v>
      </c>
    </row>
    <row r="370" customFormat="false" ht="15" hidden="false" customHeight="false" outlineLevel="0" collapsed="false">
      <c r="A370" s="37" t="s">
        <v>512</v>
      </c>
      <c r="B370" s="42" t="n">
        <v>45827</v>
      </c>
      <c r="C370" s="37" t="s">
        <v>166</v>
      </c>
      <c r="D370" s="37" t="s">
        <v>44</v>
      </c>
      <c r="E370" s="37" t="s">
        <v>96</v>
      </c>
      <c r="F370" s="37" t="s">
        <v>121</v>
      </c>
      <c r="G370" s="37" t="s">
        <v>93</v>
      </c>
      <c r="H370" s="37" t="n">
        <v>2</v>
      </c>
      <c r="I370" s="43" t="n">
        <v>999</v>
      </c>
      <c r="J370" s="40" t="n">
        <v>0.1</v>
      </c>
    </row>
    <row r="371" customFormat="false" ht="15" hidden="false" customHeight="false" outlineLevel="0" collapsed="false">
      <c r="A371" s="37" t="s">
        <v>513</v>
      </c>
      <c r="B371" s="42" t="n">
        <v>45820</v>
      </c>
      <c r="C371" s="37" t="s">
        <v>140</v>
      </c>
      <c r="D371" s="37" t="s">
        <v>44</v>
      </c>
      <c r="E371" s="37" t="s">
        <v>97</v>
      </c>
      <c r="F371" s="37" t="s">
        <v>117</v>
      </c>
      <c r="G371" s="37" t="s">
        <v>91</v>
      </c>
      <c r="H371" s="37" t="n">
        <v>3</v>
      </c>
      <c r="I371" s="43" t="n">
        <v>1499</v>
      </c>
      <c r="J371" s="40" t="n">
        <v>0</v>
      </c>
    </row>
    <row r="372" customFormat="false" ht="15" hidden="false" customHeight="false" outlineLevel="0" collapsed="false">
      <c r="A372" s="37" t="s">
        <v>514</v>
      </c>
      <c r="B372" s="42" t="n">
        <v>45815</v>
      </c>
      <c r="C372" s="37" t="s">
        <v>166</v>
      </c>
      <c r="D372" s="37" t="s">
        <v>44</v>
      </c>
      <c r="E372" s="37" t="s">
        <v>97</v>
      </c>
      <c r="F372" s="37" t="s">
        <v>116</v>
      </c>
      <c r="G372" s="37" t="s">
        <v>91</v>
      </c>
      <c r="H372" s="37" t="n">
        <v>1</v>
      </c>
      <c r="I372" s="43" t="n">
        <v>899</v>
      </c>
      <c r="J372" s="40" t="n">
        <v>0.1</v>
      </c>
    </row>
    <row r="373" customFormat="false" ht="15" hidden="false" customHeight="false" outlineLevel="0" collapsed="false">
      <c r="A373" s="37" t="s">
        <v>515</v>
      </c>
      <c r="B373" s="42" t="n">
        <v>45819</v>
      </c>
      <c r="C373" s="37" t="s">
        <v>142</v>
      </c>
      <c r="D373" s="37" t="s">
        <v>47</v>
      </c>
      <c r="E373" s="37" t="s">
        <v>97</v>
      </c>
      <c r="F373" s="37" t="s">
        <v>116</v>
      </c>
      <c r="G373" s="37" t="s">
        <v>91</v>
      </c>
      <c r="H373" s="37" t="n">
        <v>1</v>
      </c>
      <c r="I373" s="43" t="n">
        <v>899</v>
      </c>
      <c r="J373" s="40" t="n">
        <v>0.1</v>
      </c>
    </row>
    <row r="374" customFormat="false" ht="15" hidden="false" customHeight="false" outlineLevel="0" collapsed="false">
      <c r="A374" s="37" t="s">
        <v>516</v>
      </c>
      <c r="B374" s="42" t="n">
        <v>45829</v>
      </c>
      <c r="C374" s="37" t="s">
        <v>142</v>
      </c>
      <c r="D374" s="37" t="s">
        <v>47</v>
      </c>
      <c r="E374" s="37" t="s">
        <v>96</v>
      </c>
      <c r="F374" s="37" t="s">
        <v>109</v>
      </c>
      <c r="G374" s="37" t="s">
        <v>90</v>
      </c>
      <c r="H374" s="37" t="n">
        <v>3</v>
      </c>
      <c r="I374" s="43" t="n">
        <v>3499</v>
      </c>
      <c r="J374" s="40" t="n">
        <v>0.25</v>
      </c>
    </row>
    <row r="375" customFormat="false" ht="15" hidden="false" customHeight="false" outlineLevel="0" collapsed="false">
      <c r="A375" s="37" t="s">
        <v>517</v>
      </c>
      <c r="B375" s="42" t="n">
        <v>45838</v>
      </c>
      <c r="C375" s="37" t="s">
        <v>138</v>
      </c>
      <c r="D375" s="37" t="s">
        <v>46</v>
      </c>
      <c r="E375" s="37" t="s">
        <v>97</v>
      </c>
      <c r="F375" s="37" t="s">
        <v>110</v>
      </c>
      <c r="G375" s="37" t="s">
        <v>90</v>
      </c>
      <c r="H375" s="37" t="n">
        <v>2</v>
      </c>
      <c r="I375" s="43" t="n">
        <v>1299</v>
      </c>
      <c r="J375" s="40" t="n">
        <v>0.25</v>
      </c>
    </row>
    <row r="376" customFormat="false" ht="15" hidden="false" customHeight="false" outlineLevel="0" collapsed="false">
      <c r="A376" s="37" t="s">
        <v>518</v>
      </c>
      <c r="B376" s="42" t="n">
        <v>45813</v>
      </c>
      <c r="C376" s="37" t="s">
        <v>154</v>
      </c>
      <c r="D376" s="37" t="s">
        <v>47</v>
      </c>
      <c r="E376" s="37" t="s">
        <v>97</v>
      </c>
      <c r="F376" s="37" t="s">
        <v>108</v>
      </c>
      <c r="G376" s="37" t="s">
        <v>90</v>
      </c>
      <c r="H376" s="37" t="n">
        <v>2</v>
      </c>
      <c r="I376" s="43" t="n">
        <v>1999</v>
      </c>
      <c r="J376" s="40" t="n">
        <v>0.1</v>
      </c>
    </row>
    <row r="377" customFormat="false" ht="15" hidden="false" customHeight="false" outlineLevel="0" collapsed="false">
      <c r="A377" s="37" t="s">
        <v>519</v>
      </c>
      <c r="B377" s="42" t="n">
        <v>45811</v>
      </c>
      <c r="C377" s="37" t="s">
        <v>142</v>
      </c>
      <c r="D377" s="37" t="s">
        <v>47</v>
      </c>
      <c r="E377" s="37" t="s">
        <v>97</v>
      </c>
      <c r="F377" s="37" t="s">
        <v>116</v>
      </c>
      <c r="G377" s="37" t="s">
        <v>91</v>
      </c>
      <c r="H377" s="37" t="n">
        <v>1</v>
      </c>
      <c r="I377" s="43" t="n">
        <v>899</v>
      </c>
      <c r="J377" s="40" t="n">
        <v>0</v>
      </c>
    </row>
    <row r="378" customFormat="false" ht="15" hidden="false" customHeight="false" outlineLevel="0" collapsed="false">
      <c r="A378" s="37" t="s">
        <v>520</v>
      </c>
      <c r="B378" s="42" t="n">
        <v>45822</v>
      </c>
      <c r="C378" s="37" t="s">
        <v>1173</v>
      </c>
      <c r="D378" s="37" t="s">
        <v>45</v>
      </c>
      <c r="E378" s="37" t="s">
        <v>96</v>
      </c>
      <c r="F378" s="37" t="s">
        <v>112</v>
      </c>
      <c r="G378" s="37" t="s">
        <v>92</v>
      </c>
      <c r="H378" s="37" t="n">
        <v>3</v>
      </c>
      <c r="I378" s="43" t="n">
        <v>3299</v>
      </c>
      <c r="J378" s="40" t="n">
        <v>0.1</v>
      </c>
    </row>
    <row r="379" customFormat="false" ht="15" hidden="false" customHeight="false" outlineLevel="0" collapsed="false">
      <c r="A379" s="37" t="s">
        <v>521</v>
      </c>
      <c r="B379" s="42" t="n">
        <v>45823</v>
      </c>
      <c r="C379" s="37" t="s">
        <v>134</v>
      </c>
      <c r="D379" s="37" t="s">
        <v>45</v>
      </c>
      <c r="E379" s="37" t="s">
        <v>97</v>
      </c>
      <c r="F379" s="37" t="s">
        <v>116</v>
      </c>
      <c r="G379" s="37" t="s">
        <v>91</v>
      </c>
      <c r="H379" s="37" t="n">
        <v>1</v>
      </c>
      <c r="I379" s="43" t="n">
        <v>899</v>
      </c>
      <c r="J379" s="40" t="n">
        <v>0.1</v>
      </c>
    </row>
    <row r="380" customFormat="false" ht="15" hidden="false" customHeight="false" outlineLevel="0" collapsed="false">
      <c r="A380" s="37" t="s">
        <v>522</v>
      </c>
      <c r="B380" s="42" t="n">
        <v>45836</v>
      </c>
      <c r="C380" s="37" t="s">
        <v>169</v>
      </c>
      <c r="D380" s="37" t="s">
        <v>44</v>
      </c>
      <c r="E380" s="37" t="s">
        <v>96</v>
      </c>
      <c r="F380" s="37" t="s">
        <v>123</v>
      </c>
      <c r="G380" s="37" t="s">
        <v>93</v>
      </c>
      <c r="H380" s="37" t="n">
        <v>1</v>
      </c>
      <c r="I380" s="43" t="n">
        <v>1299</v>
      </c>
      <c r="J380" s="40" t="n">
        <v>0.15</v>
      </c>
    </row>
    <row r="381" customFormat="false" ht="15" hidden="false" customHeight="false" outlineLevel="0" collapsed="false">
      <c r="A381" s="37" t="s">
        <v>523</v>
      </c>
      <c r="B381" s="42" t="n">
        <v>45812</v>
      </c>
      <c r="C381" s="37" t="s">
        <v>134</v>
      </c>
      <c r="D381" s="37" t="s">
        <v>45</v>
      </c>
      <c r="E381" s="37" t="s">
        <v>96</v>
      </c>
      <c r="F381" s="37" t="s">
        <v>112</v>
      </c>
      <c r="G381" s="37" t="s">
        <v>92</v>
      </c>
      <c r="H381" s="37" t="n">
        <v>1</v>
      </c>
      <c r="I381" s="43" t="n">
        <v>3299</v>
      </c>
      <c r="J381" s="40" t="n">
        <v>0.05</v>
      </c>
    </row>
    <row r="382" customFormat="false" ht="15" hidden="false" customHeight="false" outlineLevel="0" collapsed="false">
      <c r="A382" s="37" t="s">
        <v>524</v>
      </c>
      <c r="B382" s="42" t="n">
        <v>45812</v>
      </c>
      <c r="C382" s="37" t="s">
        <v>144</v>
      </c>
      <c r="D382" s="37" t="s">
        <v>45</v>
      </c>
      <c r="E382" s="37" t="s">
        <v>96</v>
      </c>
      <c r="F382" s="37" t="s">
        <v>111</v>
      </c>
      <c r="G382" s="37" t="s">
        <v>90</v>
      </c>
      <c r="H382" s="37" t="n">
        <v>1</v>
      </c>
      <c r="I382" s="43" t="n">
        <v>2499</v>
      </c>
      <c r="J382" s="40" t="n">
        <v>0.05</v>
      </c>
    </row>
    <row r="383" customFormat="false" ht="15" hidden="false" customHeight="false" outlineLevel="0" collapsed="false">
      <c r="A383" s="37" t="s">
        <v>525</v>
      </c>
      <c r="B383" s="42" t="n">
        <v>45817</v>
      </c>
      <c r="C383" s="37" t="s">
        <v>142</v>
      </c>
      <c r="D383" s="37" t="s">
        <v>47</v>
      </c>
      <c r="E383" s="37" t="s">
        <v>97</v>
      </c>
      <c r="F383" s="37" t="s">
        <v>119</v>
      </c>
      <c r="G383" s="37" t="s">
        <v>91</v>
      </c>
      <c r="H383" s="37" t="n">
        <v>1</v>
      </c>
      <c r="I383" s="43" t="n">
        <v>1099</v>
      </c>
      <c r="J383" s="40" t="n">
        <v>0</v>
      </c>
    </row>
    <row r="384" customFormat="false" ht="15" hidden="false" customHeight="false" outlineLevel="0" collapsed="false">
      <c r="A384" s="37" t="s">
        <v>526</v>
      </c>
      <c r="B384" s="42" t="n">
        <v>45825</v>
      </c>
      <c r="C384" s="37" t="s">
        <v>160</v>
      </c>
      <c r="D384" s="37" t="s">
        <v>46</v>
      </c>
      <c r="E384" s="37" t="s">
        <v>97</v>
      </c>
      <c r="F384" s="37" t="s">
        <v>118</v>
      </c>
      <c r="G384" s="37" t="s">
        <v>91</v>
      </c>
      <c r="H384" s="37" t="n">
        <v>1</v>
      </c>
      <c r="I384" s="43" t="n">
        <v>2299</v>
      </c>
      <c r="J384" s="40" t="n">
        <v>0.15</v>
      </c>
    </row>
    <row r="385" customFormat="false" ht="15" hidden="false" customHeight="false" outlineLevel="0" collapsed="false">
      <c r="A385" s="37" t="s">
        <v>527</v>
      </c>
      <c r="B385" s="42" t="n">
        <v>45827</v>
      </c>
      <c r="C385" s="37" t="s">
        <v>146</v>
      </c>
      <c r="D385" s="37" t="s">
        <v>45</v>
      </c>
      <c r="E385" s="37" t="s">
        <v>1152</v>
      </c>
      <c r="F385" s="37" t="s">
        <v>122</v>
      </c>
      <c r="G385" s="37" t="s">
        <v>93</v>
      </c>
      <c r="H385" s="37" t="n">
        <v>1</v>
      </c>
      <c r="I385" s="43" t="n">
        <v>1799</v>
      </c>
      <c r="J385" s="40" t="n">
        <v>0.05</v>
      </c>
    </row>
    <row r="386" customFormat="false" ht="15" hidden="false" customHeight="false" outlineLevel="0" collapsed="false">
      <c r="A386" s="37" t="s">
        <v>528</v>
      </c>
      <c r="B386" s="42" t="n">
        <v>45835</v>
      </c>
      <c r="C386" s="37" t="s">
        <v>142</v>
      </c>
      <c r="D386" s="37" t="s">
        <v>47</v>
      </c>
      <c r="E386" s="37" t="s">
        <v>96</v>
      </c>
      <c r="F386" s="37" t="s">
        <v>120</v>
      </c>
      <c r="G386" s="37" t="s">
        <v>93</v>
      </c>
      <c r="H386" s="37" t="n">
        <v>2</v>
      </c>
      <c r="I386" s="43" t="n">
        <v>449</v>
      </c>
      <c r="J386" s="40" t="n">
        <v>0.1</v>
      </c>
    </row>
    <row r="387" customFormat="false" ht="15" hidden="false" customHeight="false" outlineLevel="0" collapsed="false">
      <c r="A387" s="37" t="s">
        <v>529</v>
      </c>
      <c r="B387" s="42" t="n">
        <v>45827</v>
      </c>
      <c r="C387" s="37" t="s">
        <v>146</v>
      </c>
      <c r="D387" s="37" t="s">
        <v>45</v>
      </c>
      <c r="E387" s="37" t="s">
        <v>96</v>
      </c>
      <c r="F387" s="37" t="s">
        <v>109</v>
      </c>
      <c r="G387" s="37" t="s">
        <v>90</v>
      </c>
      <c r="H387" s="37" t="n">
        <v>2</v>
      </c>
      <c r="I387" s="43" t="n">
        <v>3499</v>
      </c>
      <c r="J387" s="40" t="n">
        <v>0.15</v>
      </c>
    </row>
    <row r="388" customFormat="false" ht="15" hidden="false" customHeight="false" outlineLevel="0" collapsed="false">
      <c r="A388" s="37" t="s">
        <v>530</v>
      </c>
      <c r="B388" s="42" t="n">
        <v>45831</v>
      </c>
      <c r="C388" s="37" t="s">
        <v>142</v>
      </c>
      <c r="D388" s="37" t="s">
        <v>47</v>
      </c>
      <c r="E388" s="37" t="s">
        <v>96</v>
      </c>
      <c r="F388" s="37" t="s">
        <v>116</v>
      </c>
      <c r="G388" s="37" t="s">
        <v>91</v>
      </c>
      <c r="H388" s="37" t="n">
        <v>1</v>
      </c>
      <c r="I388" s="43" t="n">
        <v>899</v>
      </c>
      <c r="J388" s="40" t="n">
        <v>0.2</v>
      </c>
    </row>
    <row r="389" customFormat="false" ht="15" hidden="false" customHeight="false" outlineLevel="0" collapsed="false">
      <c r="A389" s="37" t="s">
        <v>531</v>
      </c>
      <c r="B389" s="42" t="n">
        <v>45820</v>
      </c>
      <c r="C389" s="37" t="s">
        <v>142</v>
      </c>
      <c r="D389" s="37" t="s">
        <v>47</v>
      </c>
      <c r="E389" s="37" t="s">
        <v>96</v>
      </c>
      <c r="F389" s="37" t="s">
        <v>109</v>
      </c>
      <c r="G389" s="37" t="s">
        <v>90</v>
      </c>
      <c r="H389" s="37" t="n">
        <v>2</v>
      </c>
      <c r="I389" s="43" t="n">
        <v>3499</v>
      </c>
      <c r="J389" s="40" t="n">
        <v>0.05</v>
      </c>
    </row>
    <row r="390" customFormat="false" ht="15" hidden="false" customHeight="false" outlineLevel="0" collapsed="false">
      <c r="A390" s="37" t="s">
        <v>532</v>
      </c>
      <c r="B390" s="42" t="n">
        <v>45834</v>
      </c>
      <c r="C390" s="37" t="s">
        <v>140</v>
      </c>
      <c r="D390" s="37" t="s">
        <v>44</v>
      </c>
      <c r="E390" s="37" t="s">
        <v>1153</v>
      </c>
      <c r="F390" s="37" t="s">
        <v>112</v>
      </c>
      <c r="G390" s="37" t="s">
        <v>92</v>
      </c>
      <c r="H390" s="37" t="n">
        <v>1</v>
      </c>
      <c r="I390" s="43" t="n">
        <v>3299</v>
      </c>
      <c r="J390" s="40" t="n">
        <v>0</v>
      </c>
    </row>
    <row r="391" customFormat="false" ht="15" hidden="false" customHeight="false" outlineLevel="0" collapsed="false">
      <c r="A391" s="37" t="s">
        <v>533</v>
      </c>
      <c r="B391" s="42" t="n">
        <v>45811</v>
      </c>
      <c r="C391" s="37" t="s">
        <v>169</v>
      </c>
      <c r="D391" s="37" t="s">
        <v>44</v>
      </c>
      <c r="E391" s="37" t="s">
        <v>1156</v>
      </c>
      <c r="F391" s="37" t="s">
        <v>109</v>
      </c>
      <c r="G391" s="37" t="s">
        <v>90</v>
      </c>
      <c r="H391" s="37" t="n">
        <v>2</v>
      </c>
      <c r="I391" s="43" t="n">
        <v>3499</v>
      </c>
      <c r="J391" s="40" t="n">
        <v>0.1</v>
      </c>
    </row>
    <row r="392" customFormat="false" ht="15" hidden="false" customHeight="false" outlineLevel="0" collapsed="false">
      <c r="A392" s="37" t="s">
        <v>534</v>
      </c>
      <c r="B392" s="42" t="n">
        <v>45829</v>
      </c>
      <c r="C392" s="37" t="s">
        <v>154</v>
      </c>
      <c r="D392" s="37" t="s">
        <v>47</v>
      </c>
      <c r="E392" s="37" t="s">
        <v>96</v>
      </c>
      <c r="F392" s="37" t="s">
        <v>108</v>
      </c>
      <c r="G392" s="37" t="s">
        <v>90</v>
      </c>
      <c r="H392" s="37" t="n">
        <v>1</v>
      </c>
      <c r="I392" s="43" t="n">
        <v>1999</v>
      </c>
      <c r="J392" s="40" t="n">
        <v>0.3</v>
      </c>
    </row>
    <row r="393" customFormat="false" ht="15" hidden="false" customHeight="false" outlineLevel="0" collapsed="false">
      <c r="A393" s="37" t="s">
        <v>535</v>
      </c>
      <c r="B393" s="42" t="n">
        <v>45814</v>
      </c>
      <c r="C393" s="37" t="s">
        <v>166</v>
      </c>
      <c r="D393" s="37" t="s">
        <v>44</v>
      </c>
      <c r="E393" s="37" t="s">
        <v>96</v>
      </c>
      <c r="F393" s="37" t="s">
        <v>111</v>
      </c>
      <c r="G393" s="37" t="s">
        <v>90</v>
      </c>
      <c r="H393" s="37" t="n">
        <v>2</v>
      </c>
      <c r="I393" s="43" t="n">
        <v>2499</v>
      </c>
      <c r="J393" s="40" t="n">
        <v>0.05</v>
      </c>
    </row>
    <row r="394" customFormat="false" ht="15" hidden="false" customHeight="false" outlineLevel="0" collapsed="false">
      <c r="A394" s="37" t="s">
        <v>536</v>
      </c>
      <c r="B394" s="42" t="n">
        <v>45815</v>
      </c>
      <c r="C394" s="37" t="s">
        <v>136</v>
      </c>
      <c r="D394" s="37" t="s">
        <v>47</v>
      </c>
      <c r="E394" s="37" t="s">
        <v>97</v>
      </c>
      <c r="F394" s="37" t="s">
        <v>116</v>
      </c>
      <c r="G394" s="37" t="s">
        <v>91</v>
      </c>
      <c r="H394" s="37" t="n">
        <v>3</v>
      </c>
      <c r="I394" s="43" t="n">
        <v>899</v>
      </c>
      <c r="J394" s="40" t="n">
        <v>0.05</v>
      </c>
    </row>
    <row r="395" customFormat="false" ht="15" hidden="false" customHeight="false" outlineLevel="0" collapsed="false">
      <c r="A395" s="37" t="s">
        <v>537</v>
      </c>
      <c r="B395" s="42" t="n">
        <v>45827</v>
      </c>
      <c r="C395" s="37" t="s">
        <v>142</v>
      </c>
      <c r="D395" s="37" t="s">
        <v>47</v>
      </c>
      <c r="E395" s="37" t="s">
        <v>97</v>
      </c>
      <c r="F395" s="37" t="s">
        <v>109</v>
      </c>
      <c r="G395" s="37" t="s">
        <v>90</v>
      </c>
      <c r="H395" s="37" t="n">
        <v>1</v>
      </c>
      <c r="I395" s="43" t="n">
        <v>3499</v>
      </c>
      <c r="J395" s="40" t="n">
        <v>0</v>
      </c>
    </row>
    <row r="396" customFormat="false" ht="15" hidden="false" customHeight="false" outlineLevel="0" collapsed="false">
      <c r="A396" s="37" t="s">
        <v>538</v>
      </c>
      <c r="B396" s="42" t="n">
        <v>45833</v>
      </c>
      <c r="C396" s="37" t="s">
        <v>142</v>
      </c>
      <c r="D396" s="37" t="s">
        <v>47</v>
      </c>
      <c r="E396" s="37" t="s">
        <v>97</v>
      </c>
      <c r="F396" s="37" t="s">
        <v>108</v>
      </c>
      <c r="G396" s="37" t="s">
        <v>90</v>
      </c>
      <c r="H396" s="37" t="n">
        <v>1</v>
      </c>
      <c r="I396" s="43" t="n">
        <v>1999</v>
      </c>
      <c r="J396" s="40" t="n">
        <v>0.05</v>
      </c>
    </row>
    <row r="397" customFormat="false" ht="15" hidden="false" customHeight="false" outlineLevel="0" collapsed="false">
      <c r="A397" s="37" t="s">
        <v>539</v>
      </c>
      <c r="B397" s="42" t="n">
        <v>45821</v>
      </c>
      <c r="C397" s="37" t="s">
        <v>146</v>
      </c>
      <c r="D397" s="37" t="s">
        <v>45</v>
      </c>
      <c r="E397" s="37" t="s">
        <v>96</v>
      </c>
      <c r="F397" s="37" t="s">
        <v>123</v>
      </c>
      <c r="G397" s="37" t="s">
        <v>93</v>
      </c>
      <c r="H397" s="37" t="n">
        <v>2</v>
      </c>
      <c r="I397" s="43" t="n">
        <v>1299</v>
      </c>
      <c r="J397" s="40" t="n">
        <v>0.05</v>
      </c>
    </row>
    <row r="398" customFormat="false" ht="15" hidden="false" customHeight="false" outlineLevel="0" collapsed="false">
      <c r="A398" s="37" t="s">
        <v>540</v>
      </c>
      <c r="B398" s="42" t="n">
        <v>45836</v>
      </c>
      <c r="C398" s="37" t="s">
        <v>154</v>
      </c>
      <c r="D398" s="37" t="s">
        <v>47</v>
      </c>
      <c r="E398" s="37" t="s">
        <v>96</v>
      </c>
      <c r="F398" s="37" t="s">
        <v>110</v>
      </c>
      <c r="G398" s="37" t="s">
        <v>90</v>
      </c>
      <c r="H398" s="37" t="n">
        <v>1</v>
      </c>
      <c r="I398" s="43" t="n">
        <v>1299</v>
      </c>
      <c r="J398" s="40" t="n">
        <v>0</v>
      </c>
    </row>
    <row r="399" customFormat="false" ht="15" hidden="false" customHeight="false" outlineLevel="0" collapsed="false">
      <c r="A399" s="37" t="s">
        <v>541</v>
      </c>
      <c r="B399" s="42" t="n">
        <v>45825</v>
      </c>
      <c r="C399" s="37" t="s">
        <v>142</v>
      </c>
      <c r="D399" s="37" t="s">
        <v>47</v>
      </c>
      <c r="E399" s="37" t="s">
        <v>97</v>
      </c>
      <c r="F399" s="37" t="s">
        <v>121</v>
      </c>
      <c r="G399" s="37" t="s">
        <v>93</v>
      </c>
      <c r="H399" s="37" t="n">
        <v>4</v>
      </c>
      <c r="I399" s="43" t="n">
        <v>999</v>
      </c>
      <c r="J399" s="40" t="n">
        <v>0</v>
      </c>
    </row>
    <row r="400" customFormat="false" ht="15" hidden="false" customHeight="false" outlineLevel="0" collapsed="false">
      <c r="A400" s="37" t="s">
        <v>542</v>
      </c>
      <c r="B400" s="42" t="n">
        <v>45827</v>
      </c>
      <c r="C400" s="37" t="s">
        <v>1174</v>
      </c>
      <c r="D400" s="37" t="s">
        <v>45</v>
      </c>
      <c r="E400" s="37" t="s">
        <v>96</v>
      </c>
      <c r="F400" s="37" t="s">
        <v>111</v>
      </c>
      <c r="G400" s="37" t="s">
        <v>90</v>
      </c>
      <c r="H400" s="37" t="n">
        <v>2</v>
      </c>
      <c r="I400" s="43" t="n">
        <v>2499</v>
      </c>
      <c r="J400" s="40" t="n">
        <v>0.3</v>
      </c>
    </row>
    <row r="401" customFormat="false" ht="15" hidden="false" customHeight="false" outlineLevel="0" collapsed="false">
      <c r="A401" s="37" t="s">
        <v>543</v>
      </c>
      <c r="B401" s="42" t="n">
        <v>45821</v>
      </c>
      <c r="C401" s="37" t="s">
        <v>154</v>
      </c>
      <c r="D401" s="37" t="s">
        <v>47</v>
      </c>
      <c r="E401" s="37" t="s">
        <v>96</v>
      </c>
      <c r="F401" s="37" t="s">
        <v>123</v>
      </c>
      <c r="G401" s="37" t="s">
        <v>93</v>
      </c>
      <c r="H401" s="37" t="n">
        <v>1</v>
      </c>
      <c r="I401" s="43" t="n">
        <v>1299</v>
      </c>
      <c r="J401" s="40" t="n">
        <v>0.05</v>
      </c>
    </row>
    <row r="402" customFormat="false" ht="15" hidden="false" customHeight="false" outlineLevel="0" collapsed="false">
      <c r="A402" s="37" t="s">
        <v>544</v>
      </c>
      <c r="B402" s="42" t="n">
        <v>45835</v>
      </c>
      <c r="C402" s="37" t="s">
        <v>144</v>
      </c>
      <c r="D402" s="37" t="s">
        <v>45</v>
      </c>
      <c r="E402" s="37" t="s">
        <v>97</v>
      </c>
      <c r="F402" s="37" t="s">
        <v>109</v>
      </c>
      <c r="G402" s="37" t="s">
        <v>90</v>
      </c>
      <c r="H402" s="37" t="n">
        <v>1</v>
      </c>
      <c r="I402" s="43" t="n">
        <v>3499</v>
      </c>
      <c r="J402" s="40" t="n">
        <v>0.1</v>
      </c>
    </row>
    <row r="403" customFormat="false" ht="15" hidden="false" customHeight="false" outlineLevel="0" collapsed="false">
      <c r="A403" s="37" t="s">
        <v>545</v>
      </c>
      <c r="B403" s="42" t="n">
        <v>45835</v>
      </c>
      <c r="C403" s="37" t="s">
        <v>172</v>
      </c>
      <c r="D403" s="37" t="s">
        <v>46</v>
      </c>
      <c r="E403" s="37" t="s">
        <v>96</v>
      </c>
      <c r="F403" s="37" t="s">
        <v>115</v>
      </c>
      <c r="G403" s="37" t="s">
        <v>92</v>
      </c>
      <c r="H403" s="37" t="n">
        <v>5</v>
      </c>
      <c r="I403" s="43" t="n">
        <v>1799</v>
      </c>
      <c r="J403" s="40" t="n">
        <v>0.1</v>
      </c>
    </row>
    <row r="404" customFormat="false" ht="15" hidden="false" customHeight="false" outlineLevel="0" collapsed="false">
      <c r="A404" s="37" t="s">
        <v>546</v>
      </c>
      <c r="B404" s="42" t="n">
        <v>45826</v>
      </c>
      <c r="C404" s="37" t="s">
        <v>169</v>
      </c>
      <c r="D404" s="37" t="s">
        <v>44</v>
      </c>
      <c r="E404" s="37" t="s">
        <v>96</v>
      </c>
      <c r="F404" s="37" t="s">
        <v>113</v>
      </c>
      <c r="G404" s="37" t="s">
        <v>92</v>
      </c>
      <c r="H404" s="37" t="n">
        <v>1</v>
      </c>
      <c r="I404" s="43" t="n">
        <v>2199</v>
      </c>
      <c r="J404" s="40" t="n">
        <v>0.15</v>
      </c>
    </row>
    <row r="405" customFormat="false" ht="15" hidden="false" customHeight="false" outlineLevel="0" collapsed="false">
      <c r="A405" s="37" t="s">
        <v>547</v>
      </c>
      <c r="B405" s="42" t="n">
        <v>45826</v>
      </c>
      <c r="C405" s="37" t="s">
        <v>169</v>
      </c>
      <c r="D405" s="37" t="s">
        <v>44</v>
      </c>
      <c r="E405" s="37" t="s">
        <v>96</v>
      </c>
      <c r="F405" s="37" t="s">
        <v>117</v>
      </c>
      <c r="G405" s="37" t="s">
        <v>91</v>
      </c>
      <c r="H405" s="37" t="n">
        <v>2</v>
      </c>
      <c r="I405" s="43" t="n">
        <v>1499</v>
      </c>
      <c r="J405" s="40" t="n">
        <v>0.05</v>
      </c>
    </row>
    <row r="406" customFormat="false" ht="15" hidden="false" customHeight="false" outlineLevel="0" collapsed="false">
      <c r="A406" s="37" t="s">
        <v>548</v>
      </c>
      <c r="B406" s="42" t="n">
        <v>45817</v>
      </c>
      <c r="C406" s="37" t="s">
        <v>138</v>
      </c>
      <c r="D406" s="37" t="s">
        <v>46</v>
      </c>
      <c r="E406" s="37" t="s">
        <v>96</v>
      </c>
      <c r="F406" s="37" t="s">
        <v>111</v>
      </c>
      <c r="G406" s="37" t="s">
        <v>90</v>
      </c>
      <c r="H406" s="37" t="n">
        <v>1</v>
      </c>
      <c r="I406" s="43" t="n">
        <v>2499</v>
      </c>
      <c r="J406" s="40" t="n">
        <v>0.1</v>
      </c>
    </row>
    <row r="407" customFormat="false" ht="15" hidden="false" customHeight="false" outlineLevel="0" collapsed="false">
      <c r="A407" s="37" t="s">
        <v>549</v>
      </c>
      <c r="B407" s="42" t="n">
        <v>45813</v>
      </c>
      <c r="C407" s="37" t="s">
        <v>142</v>
      </c>
      <c r="D407" s="37" t="s">
        <v>47</v>
      </c>
      <c r="E407" s="37" t="s">
        <v>97</v>
      </c>
      <c r="F407" s="37" t="s">
        <v>116</v>
      </c>
      <c r="G407" s="37" t="s">
        <v>91</v>
      </c>
      <c r="H407" s="37" t="n">
        <v>1</v>
      </c>
      <c r="I407" s="43" t="n">
        <v>899</v>
      </c>
      <c r="J407" s="40" t="n">
        <v>0.05</v>
      </c>
    </row>
    <row r="408" customFormat="false" ht="15" hidden="false" customHeight="false" outlineLevel="0" collapsed="false">
      <c r="A408" s="37" t="s">
        <v>550</v>
      </c>
      <c r="B408" s="42" t="n">
        <v>45819</v>
      </c>
      <c r="C408" s="37" t="s">
        <v>1155</v>
      </c>
      <c r="D408" s="37" t="s">
        <v>45</v>
      </c>
      <c r="E408" s="37" t="s">
        <v>97</v>
      </c>
      <c r="F408" s="37" t="s">
        <v>120</v>
      </c>
      <c r="G408" s="37" t="s">
        <v>93</v>
      </c>
      <c r="H408" s="37" t="n">
        <v>2</v>
      </c>
      <c r="I408" s="43" t="n">
        <v>449</v>
      </c>
      <c r="J408" s="40" t="n">
        <v>0.1</v>
      </c>
    </row>
    <row r="409" customFormat="false" ht="15" hidden="false" customHeight="false" outlineLevel="0" collapsed="false">
      <c r="A409" s="37" t="s">
        <v>551</v>
      </c>
      <c r="B409" s="42" t="n">
        <v>45821</v>
      </c>
      <c r="C409" s="37" t="s">
        <v>146</v>
      </c>
      <c r="D409" s="37" t="s">
        <v>45</v>
      </c>
      <c r="E409" s="37" t="s">
        <v>96</v>
      </c>
      <c r="F409" s="37" t="s">
        <v>116</v>
      </c>
      <c r="G409" s="37" t="s">
        <v>91</v>
      </c>
      <c r="H409" s="37" t="n">
        <v>2</v>
      </c>
      <c r="I409" s="43" t="n">
        <v>899</v>
      </c>
      <c r="J409" s="40" t="n">
        <v>0.2</v>
      </c>
    </row>
    <row r="410" customFormat="false" ht="15" hidden="false" customHeight="false" outlineLevel="0" collapsed="false">
      <c r="A410" s="37" t="s">
        <v>552</v>
      </c>
      <c r="B410" s="42" t="n">
        <v>45813</v>
      </c>
      <c r="C410" s="37" t="s">
        <v>140</v>
      </c>
      <c r="D410" s="37" t="s">
        <v>44</v>
      </c>
      <c r="E410" s="37" t="s">
        <v>96</v>
      </c>
      <c r="F410" s="37" t="s">
        <v>117</v>
      </c>
      <c r="G410" s="37" t="s">
        <v>91</v>
      </c>
      <c r="H410" s="37" t="n">
        <v>1</v>
      </c>
      <c r="I410" s="43" t="n">
        <v>1499</v>
      </c>
      <c r="J410" s="40" t="n">
        <v>0</v>
      </c>
    </row>
    <row r="411" customFormat="false" ht="15" hidden="false" customHeight="false" outlineLevel="0" collapsed="false">
      <c r="A411" s="37" t="s">
        <v>553</v>
      </c>
      <c r="B411" s="42" t="n">
        <v>45822</v>
      </c>
      <c r="C411" s="37" t="s">
        <v>154</v>
      </c>
      <c r="D411" s="37" t="s">
        <v>47</v>
      </c>
      <c r="E411" s="37" t="s">
        <v>97</v>
      </c>
      <c r="F411" s="37" t="s">
        <v>109</v>
      </c>
      <c r="G411" s="37" t="s">
        <v>90</v>
      </c>
      <c r="H411" s="37" t="n">
        <v>1</v>
      </c>
      <c r="I411" s="43" t="n">
        <v>3499</v>
      </c>
      <c r="J411" s="40" t="n">
        <v>0.05</v>
      </c>
    </row>
    <row r="412" customFormat="false" ht="15" hidden="false" customHeight="false" outlineLevel="0" collapsed="false">
      <c r="A412" s="37" t="s">
        <v>554</v>
      </c>
      <c r="B412" s="42" t="n">
        <v>45819</v>
      </c>
      <c r="C412" s="37" t="s">
        <v>134</v>
      </c>
      <c r="D412" s="37" t="s">
        <v>45</v>
      </c>
      <c r="E412" s="37" t="s">
        <v>97</v>
      </c>
      <c r="F412" s="37" t="s">
        <v>112</v>
      </c>
      <c r="G412" s="37" t="s">
        <v>92</v>
      </c>
      <c r="H412" s="37" t="n">
        <v>1</v>
      </c>
      <c r="I412" s="43" t="n">
        <v>3299</v>
      </c>
      <c r="J412" s="40" t="n">
        <v>0.1</v>
      </c>
    </row>
    <row r="413" customFormat="false" ht="15" hidden="false" customHeight="false" outlineLevel="0" collapsed="false">
      <c r="A413" s="37" t="s">
        <v>555</v>
      </c>
      <c r="B413" s="42" t="n">
        <v>45820</v>
      </c>
      <c r="C413" s="37" t="s">
        <v>140</v>
      </c>
      <c r="D413" s="37" t="s">
        <v>44</v>
      </c>
      <c r="E413" s="37" t="s">
        <v>97</v>
      </c>
      <c r="F413" s="37" t="s">
        <v>117</v>
      </c>
      <c r="G413" s="37" t="s">
        <v>91</v>
      </c>
      <c r="H413" s="37" t="n">
        <v>2</v>
      </c>
      <c r="I413" s="43" t="n">
        <v>1499</v>
      </c>
      <c r="J413" s="40" t="n">
        <v>0</v>
      </c>
    </row>
    <row r="414" customFormat="false" ht="15" hidden="false" customHeight="false" outlineLevel="0" collapsed="false">
      <c r="A414" s="37" t="s">
        <v>556</v>
      </c>
      <c r="B414" s="42" t="n">
        <v>45819</v>
      </c>
      <c r="C414" s="37" t="s">
        <v>136</v>
      </c>
      <c r="D414" s="37" t="s">
        <v>47</v>
      </c>
      <c r="E414" s="37" t="s">
        <v>96</v>
      </c>
      <c r="F414" s="37" t="s">
        <v>113</v>
      </c>
      <c r="G414" s="37" t="s">
        <v>92</v>
      </c>
      <c r="H414" s="37" t="n">
        <v>2</v>
      </c>
      <c r="I414" s="43" t="n">
        <v>2199</v>
      </c>
      <c r="J414" s="40" t="n">
        <v>0.2</v>
      </c>
    </row>
    <row r="415" customFormat="false" ht="15" hidden="false" customHeight="false" outlineLevel="0" collapsed="false">
      <c r="A415" s="37" t="s">
        <v>557</v>
      </c>
      <c r="B415" s="42" t="n">
        <v>45827</v>
      </c>
      <c r="C415" s="37" t="s">
        <v>146</v>
      </c>
      <c r="D415" s="37" t="s">
        <v>45</v>
      </c>
      <c r="E415" s="37" t="s">
        <v>96</v>
      </c>
      <c r="F415" s="37" t="s">
        <v>114</v>
      </c>
      <c r="G415" s="37" t="s">
        <v>92</v>
      </c>
      <c r="H415" s="37" t="n">
        <v>2</v>
      </c>
      <c r="I415" s="43" t="n">
        <v>1199</v>
      </c>
      <c r="J415" s="40" t="n">
        <v>0.1</v>
      </c>
    </row>
    <row r="416" customFormat="false" ht="15" hidden="false" customHeight="false" outlineLevel="0" collapsed="false">
      <c r="A416" s="37" t="s">
        <v>558</v>
      </c>
      <c r="B416" s="42" t="n">
        <v>45811</v>
      </c>
      <c r="C416" s="37" t="s">
        <v>136</v>
      </c>
      <c r="D416" s="37" t="s">
        <v>47</v>
      </c>
      <c r="E416" s="37" t="s">
        <v>97</v>
      </c>
      <c r="F416" s="37" t="s">
        <v>119</v>
      </c>
      <c r="G416" s="37" t="s">
        <v>91</v>
      </c>
      <c r="H416" s="37" t="n">
        <v>1</v>
      </c>
      <c r="I416" s="43" t="n">
        <v>1099</v>
      </c>
      <c r="J416" s="40" t="n">
        <v>0.15</v>
      </c>
    </row>
    <row r="417" customFormat="false" ht="15" hidden="false" customHeight="false" outlineLevel="0" collapsed="false">
      <c r="A417" s="37" t="s">
        <v>559</v>
      </c>
      <c r="B417" s="42" t="n">
        <v>45814</v>
      </c>
      <c r="C417" s="37" t="s">
        <v>144</v>
      </c>
      <c r="D417" s="37" t="s">
        <v>45</v>
      </c>
      <c r="E417" s="37" t="s">
        <v>96</v>
      </c>
      <c r="F417" s="37" t="s">
        <v>116</v>
      </c>
      <c r="G417" s="37" t="s">
        <v>91</v>
      </c>
      <c r="H417" s="37" t="n">
        <v>1</v>
      </c>
      <c r="I417" s="43" t="n">
        <v>899</v>
      </c>
      <c r="J417" s="40" t="n">
        <v>0</v>
      </c>
    </row>
    <row r="418" customFormat="false" ht="15" hidden="false" customHeight="false" outlineLevel="0" collapsed="false">
      <c r="A418" s="37" t="s">
        <v>560</v>
      </c>
      <c r="B418" s="42" t="n">
        <v>45819</v>
      </c>
      <c r="C418" s="37" t="s">
        <v>146</v>
      </c>
      <c r="D418" s="37" t="s">
        <v>45</v>
      </c>
      <c r="E418" s="37" t="s">
        <v>97</v>
      </c>
      <c r="F418" s="37" t="s">
        <v>113</v>
      </c>
      <c r="G418" s="37" t="s">
        <v>92</v>
      </c>
      <c r="H418" s="37" t="n">
        <v>2</v>
      </c>
      <c r="I418" s="43" t="n">
        <v>2199</v>
      </c>
      <c r="J418" s="40" t="n">
        <v>0.05</v>
      </c>
    </row>
    <row r="419" customFormat="false" ht="15" hidden="false" customHeight="false" outlineLevel="0" collapsed="false">
      <c r="A419" s="37" t="s">
        <v>561</v>
      </c>
      <c r="B419" s="42" t="n">
        <v>45837</v>
      </c>
      <c r="C419" s="37" t="s">
        <v>136</v>
      </c>
      <c r="D419" s="37" t="s">
        <v>47</v>
      </c>
      <c r="E419" s="37" t="s">
        <v>1158</v>
      </c>
      <c r="F419" s="37" t="s">
        <v>113</v>
      </c>
      <c r="G419" s="37" t="s">
        <v>92</v>
      </c>
      <c r="H419" s="37" t="n">
        <v>3</v>
      </c>
      <c r="I419" s="43" t="n">
        <v>2199</v>
      </c>
      <c r="J419" s="40" t="n">
        <v>0.1</v>
      </c>
    </row>
    <row r="420" customFormat="false" ht="15" hidden="false" customHeight="false" outlineLevel="0" collapsed="false">
      <c r="A420" s="37" t="s">
        <v>562</v>
      </c>
      <c r="B420" s="42" t="n">
        <v>45832</v>
      </c>
      <c r="C420" s="37" t="s">
        <v>172</v>
      </c>
      <c r="D420" s="37" t="s">
        <v>46</v>
      </c>
      <c r="E420" s="37" t="s">
        <v>96</v>
      </c>
      <c r="F420" s="37" t="s">
        <v>114</v>
      </c>
      <c r="G420" s="37" t="s">
        <v>92</v>
      </c>
      <c r="H420" s="37" t="n">
        <v>1</v>
      </c>
      <c r="I420" s="43" t="n">
        <v>1199</v>
      </c>
      <c r="J420" s="40" t="n">
        <v>0.1</v>
      </c>
    </row>
    <row r="421" customFormat="false" ht="15" hidden="false" customHeight="false" outlineLevel="0" collapsed="false">
      <c r="A421" s="37" t="s">
        <v>563</v>
      </c>
      <c r="B421" s="42" t="n">
        <v>45837</v>
      </c>
      <c r="C421" s="37" t="s">
        <v>140</v>
      </c>
      <c r="D421" s="37" t="s">
        <v>44</v>
      </c>
      <c r="E421" s="37" t="s">
        <v>96</v>
      </c>
      <c r="F421" s="37" t="s">
        <v>116</v>
      </c>
      <c r="G421" s="37" t="s">
        <v>91</v>
      </c>
      <c r="H421" s="37" t="n">
        <v>1</v>
      </c>
      <c r="I421" s="43" t="n">
        <v>899</v>
      </c>
      <c r="J421" s="40" t="n">
        <v>0</v>
      </c>
    </row>
    <row r="422" customFormat="false" ht="15" hidden="false" customHeight="false" outlineLevel="0" collapsed="false">
      <c r="A422" s="37" t="s">
        <v>564</v>
      </c>
      <c r="B422" s="42" t="n">
        <v>45809</v>
      </c>
      <c r="C422" s="37" t="s">
        <v>169</v>
      </c>
      <c r="D422" s="37" t="s">
        <v>44</v>
      </c>
      <c r="E422" s="37" t="s">
        <v>96</v>
      </c>
      <c r="F422" s="37" t="s">
        <v>118</v>
      </c>
      <c r="G422" s="37" t="s">
        <v>91</v>
      </c>
      <c r="H422" s="37" t="n">
        <v>1</v>
      </c>
      <c r="I422" s="43" t="n">
        <v>2299</v>
      </c>
      <c r="J422" s="40" t="n">
        <v>0.2</v>
      </c>
    </row>
    <row r="423" customFormat="false" ht="15" hidden="false" customHeight="false" outlineLevel="0" collapsed="false">
      <c r="A423" s="37" t="s">
        <v>565</v>
      </c>
      <c r="B423" s="42" t="n">
        <v>45836</v>
      </c>
      <c r="C423" s="37" t="s">
        <v>166</v>
      </c>
      <c r="D423" s="37" t="s">
        <v>44</v>
      </c>
      <c r="E423" s="37" t="s">
        <v>96</v>
      </c>
      <c r="F423" s="37" t="s">
        <v>122</v>
      </c>
      <c r="G423" s="37" t="s">
        <v>93</v>
      </c>
      <c r="H423" s="37" t="n">
        <v>1</v>
      </c>
      <c r="I423" s="43" t="n">
        <v>1799</v>
      </c>
      <c r="J423" s="40" t="n">
        <v>0.1</v>
      </c>
    </row>
    <row r="424" customFormat="false" ht="15" hidden="false" customHeight="false" outlineLevel="0" collapsed="false">
      <c r="A424" s="37" t="s">
        <v>566</v>
      </c>
      <c r="B424" s="42" t="n">
        <v>45822</v>
      </c>
      <c r="C424" s="37" t="s">
        <v>136</v>
      </c>
      <c r="D424" s="37" t="s">
        <v>47</v>
      </c>
      <c r="E424" s="37" t="s">
        <v>97</v>
      </c>
      <c r="F424" s="37" t="s">
        <v>108</v>
      </c>
      <c r="G424" s="37" t="s">
        <v>90</v>
      </c>
      <c r="H424" s="37" t="n">
        <v>2</v>
      </c>
      <c r="I424" s="43" t="n">
        <v>1999</v>
      </c>
      <c r="J424" s="40" t="n">
        <v>0.05</v>
      </c>
    </row>
    <row r="425" customFormat="false" ht="15" hidden="false" customHeight="false" outlineLevel="0" collapsed="false">
      <c r="A425" s="37" t="s">
        <v>567</v>
      </c>
      <c r="B425" s="42" t="n">
        <v>45815</v>
      </c>
      <c r="C425" s="37" t="s">
        <v>1155</v>
      </c>
      <c r="D425" s="37" t="s">
        <v>45</v>
      </c>
      <c r="E425" s="37" t="s">
        <v>1158</v>
      </c>
      <c r="F425" s="37" t="s">
        <v>108</v>
      </c>
      <c r="G425" s="37" t="s">
        <v>90</v>
      </c>
      <c r="H425" s="37" t="n">
        <v>1</v>
      </c>
      <c r="I425" s="43" t="n">
        <v>1999</v>
      </c>
      <c r="J425" s="40" t="n">
        <v>0</v>
      </c>
    </row>
    <row r="426" customFormat="false" ht="15" hidden="false" customHeight="false" outlineLevel="0" collapsed="false">
      <c r="A426" s="37" t="s">
        <v>568</v>
      </c>
      <c r="B426" s="42" t="n">
        <v>45826</v>
      </c>
      <c r="C426" s="37" t="s">
        <v>154</v>
      </c>
      <c r="D426" s="37" t="s">
        <v>47</v>
      </c>
      <c r="E426" s="37" t="s">
        <v>96</v>
      </c>
      <c r="F426" s="37" t="s">
        <v>123</v>
      </c>
      <c r="G426" s="37" t="s">
        <v>93</v>
      </c>
      <c r="H426" s="37" t="n">
        <v>1</v>
      </c>
      <c r="I426" s="43" t="n">
        <v>1299</v>
      </c>
      <c r="J426" s="40" t="n">
        <v>0.1</v>
      </c>
    </row>
    <row r="427" customFormat="false" ht="15" hidden="false" customHeight="false" outlineLevel="0" collapsed="false">
      <c r="A427" s="37" t="s">
        <v>569</v>
      </c>
      <c r="B427" s="42" t="n">
        <v>45831</v>
      </c>
      <c r="C427" s="37" t="s">
        <v>160</v>
      </c>
      <c r="D427" s="37" t="s">
        <v>46</v>
      </c>
      <c r="E427" s="37" t="s">
        <v>96</v>
      </c>
      <c r="F427" s="37" t="s">
        <v>115</v>
      </c>
      <c r="G427" s="37" t="s">
        <v>92</v>
      </c>
      <c r="H427" s="37" t="n">
        <v>1</v>
      </c>
      <c r="I427" s="43" t="n">
        <v>1799</v>
      </c>
      <c r="J427" s="40" t="n">
        <v>0.05</v>
      </c>
    </row>
    <row r="428" customFormat="false" ht="15" hidden="false" customHeight="false" outlineLevel="0" collapsed="false">
      <c r="A428" s="37" t="s">
        <v>570</v>
      </c>
      <c r="B428" s="42" t="n">
        <v>45831</v>
      </c>
      <c r="C428" s="37" t="s">
        <v>1157</v>
      </c>
      <c r="D428" s="37" t="s">
        <v>46</v>
      </c>
      <c r="E428" s="37" t="s">
        <v>96</v>
      </c>
      <c r="F428" s="37" t="s">
        <v>109</v>
      </c>
      <c r="G428" s="37" t="s">
        <v>90</v>
      </c>
      <c r="H428" s="37" t="n">
        <v>1</v>
      </c>
      <c r="I428" s="43" t="n">
        <v>3499</v>
      </c>
      <c r="J428" s="40" t="n">
        <v>0.15</v>
      </c>
    </row>
    <row r="429" customFormat="false" ht="15" hidden="false" customHeight="false" outlineLevel="0" collapsed="false">
      <c r="A429" s="37" t="s">
        <v>571</v>
      </c>
      <c r="B429" s="42" t="n">
        <v>45839</v>
      </c>
      <c r="C429" s="37" t="s">
        <v>140</v>
      </c>
      <c r="D429" s="37" t="s">
        <v>44</v>
      </c>
      <c r="E429" s="37" t="s">
        <v>96</v>
      </c>
      <c r="F429" s="37" t="s">
        <v>108</v>
      </c>
      <c r="G429" s="37" t="s">
        <v>90</v>
      </c>
      <c r="H429" s="37" t="n">
        <v>2</v>
      </c>
      <c r="I429" s="43" t="n">
        <v>1999</v>
      </c>
      <c r="J429" s="40" t="n">
        <v>0.1</v>
      </c>
    </row>
    <row r="430" customFormat="false" ht="15" hidden="false" customHeight="false" outlineLevel="0" collapsed="false">
      <c r="A430" s="37" t="s">
        <v>572</v>
      </c>
      <c r="B430" s="42" t="n">
        <v>45848</v>
      </c>
      <c r="C430" s="37" t="s">
        <v>142</v>
      </c>
      <c r="D430" s="37" t="s">
        <v>47</v>
      </c>
      <c r="E430" s="37" t="s">
        <v>97</v>
      </c>
      <c r="F430" s="37" t="s">
        <v>123</v>
      </c>
      <c r="G430" s="37" t="s">
        <v>93</v>
      </c>
      <c r="H430" s="37" t="n">
        <v>2</v>
      </c>
      <c r="I430" s="43" t="n">
        <v>1299</v>
      </c>
      <c r="J430" s="40" t="n">
        <v>0</v>
      </c>
    </row>
    <row r="431" customFormat="false" ht="15" hidden="false" customHeight="false" outlineLevel="0" collapsed="false">
      <c r="A431" s="37" t="s">
        <v>573</v>
      </c>
      <c r="B431" s="42" t="n">
        <v>45855</v>
      </c>
      <c r="C431" s="37" t="s">
        <v>144</v>
      </c>
      <c r="D431" s="37" t="s">
        <v>45</v>
      </c>
      <c r="E431" s="37" t="s">
        <v>96</v>
      </c>
      <c r="F431" s="37" t="s">
        <v>118</v>
      </c>
      <c r="G431" s="37" t="s">
        <v>91</v>
      </c>
      <c r="H431" s="37" t="n">
        <v>2</v>
      </c>
      <c r="I431" s="43" t="n">
        <v>2299</v>
      </c>
      <c r="J431" s="40" t="n">
        <v>0.05</v>
      </c>
    </row>
    <row r="432" customFormat="false" ht="15" hidden="false" customHeight="false" outlineLevel="0" collapsed="false">
      <c r="A432" s="37" t="s">
        <v>574</v>
      </c>
      <c r="B432" s="42" t="n">
        <v>45851</v>
      </c>
      <c r="C432" s="37" t="s">
        <v>146</v>
      </c>
      <c r="D432" s="37" t="s">
        <v>45</v>
      </c>
      <c r="E432" s="37" t="s">
        <v>96</v>
      </c>
      <c r="F432" s="37" t="s">
        <v>117</v>
      </c>
      <c r="G432" s="37" t="s">
        <v>91</v>
      </c>
      <c r="H432" s="37" t="n">
        <v>1</v>
      </c>
      <c r="I432" s="43" t="n">
        <v>1499</v>
      </c>
      <c r="J432" s="40" t="n">
        <v>0</v>
      </c>
    </row>
    <row r="433" customFormat="false" ht="15" hidden="false" customHeight="false" outlineLevel="0" collapsed="false">
      <c r="A433" s="37" t="s">
        <v>575</v>
      </c>
      <c r="B433" s="42" t="n">
        <v>45849</v>
      </c>
      <c r="C433" s="37" t="s">
        <v>169</v>
      </c>
      <c r="D433" s="37" t="s">
        <v>44</v>
      </c>
      <c r="E433" s="37" t="s">
        <v>96</v>
      </c>
      <c r="F433" s="37" t="s">
        <v>114</v>
      </c>
      <c r="G433" s="37" t="s">
        <v>92</v>
      </c>
      <c r="H433" s="37" t="n">
        <v>1</v>
      </c>
      <c r="I433" s="43" t="n">
        <v>1199</v>
      </c>
      <c r="J433" s="40" t="n">
        <v>0</v>
      </c>
    </row>
    <row r="434" customFormat="false" ht="15" hidden="false" customHeight="false" outlineLevel="0" collapsed="false">
      <c r="A434" s="37" t="s">
        <v>576</v>
      </c>
      <c r="B434" s="42" t="n">
        <v>45863</v>
      </c>
      <c r="C434" s="37" t="s">
        <v>169</v>
      </c>
      <c r="D434" s="37" t="s">
        <v>44</v>
      </c>
      <c r="E434" s="37" t="s">
        <v>96</v>
      </c>
      <c r="F434" s="37" t="s">
        <v>116</v>
      </c>
      <c r="G434" s="37" t="s">
        <v>91</v>
      </c>
      <c r="H434" s="37" t="n">
        <v>1</v>
      </c>
      <c r="I434" s="43" t="n">
        <v>899</v>
      </c>
      <c r="J434" s="40" t="n">
        <v>0.1</v>
      </c>
    </row>
    <row r="435" customFormat="false" ht="15" hidden="false" customHeight="false" outlineLevel="0" collapsed="false">
      <c r="A435" s="37" t="s">
        <v>577</v>
      </c>
      <c r="B435" s="42" t="n">
        <v>45852</v>
      </c>
      <c r="C435" s="37" t="s">
        <v>154</v>
      </c>
      <c r="D435" s="37" t="s">
        <v>47</v>
      </c>
      <c r="E435" s="37" t="s">
        <v>97</v>
      </c>
      <c r="F435" s="37" t="s">
        <v>110</v>
      </c>
      <c r="G435" s="37" t="s">
        <v>90</v>
      </c>
      <c r="H435" s="37" t="n">
        <v>3</v>
      </c>
      <c r="I435" s="43" t="n">
        <v>1299</v>
      </c>
      <c r="J435" s="40" t="n">
        <v>0.1</v>
      </c>
    </row>
    <row r="436" customFormat="false" ht="15" hidden="false" customHeight="false" outlineLevel="0" collapsed="false">
      <c r="A436" s="37" t="s">
        <v>578</v>
      </c>
      <c r="B436" s="42" t="n">
        <v>45856</v>
      </c>
      <c r="C436" s="37" t="s">
        <v>140</v>
      </c>
      <c r="D436" s="37" t="s">
        <v>44</v>
      </c>
      <c r="E436" s="37" t="s">
        <v>97</v>
      </c>
      <c r="F436" s="37" t="s">
        <v>108</v>
      </c>
      <c r="G436" s="37" t="s">
        <v>90</v>
      </c>
      <c r="H436" s="37" t="n">
        <v>2</v>
      </c>
      <c r="I436" s="43" t="n">
        <v>1999</v>
      </c>
      <c r="J436" s="40" t="n">
        <v>0.1</v>
      </c>
    </row>
    <row r="437" customFormat="false" ht="15" hidden="false" customHeight="false" outlineLevel="0" collapsed="false">
      <c r="A437" s="37" t="s">
        <v>579</v>
      </c>
      <c r="B437" s="42" t="n">
        <v>45856</v>
      </c>
      <c r="C437" s="37" t="s">
        <v>154</v>
      </c>
      <c r="D437" s="37" t="s">
        <v>47</v>
      </c>
      <c r="E437" s="37" t="s">
        <v>96</v>
      </c>
      <c r="F437" s="37" t="s">
        <v>112</v>
      </c>
      <c r="G437" s="37" t="s">
        <v>92</v>
      </c>
      <c r="H437" s="37" t="n">
        <v>1</v>
      </c>
      <c r="I437" s="43" t="n">
        <v>3299</v>
      </c>
      <c r="J437" s="40" t="n">
        <v>0.15</v>
      </c>
    </row>
    <row r="438" customFormat="false" ht="15" hidden="false" customHeight="false" outlineLevel="0" collapsed="false">
      <c r="A438" s="37" t="s">
        <v>580</v>
      </c>
      <c r="B438" s="42" t="n">
        <v>45847</v>
      </c>
      <c r="C438" s="37" t="s">
        <v>136</v>
      </c>
      <c r="D438" s="37" t="s">
        <v>47</v>
      </c>
      <c r="E438" s="37" t="s">
        <v>97</v>
      </c>
      <c r="F438" s="37" t="s">
        <v>122</v>
      </c>
      <c r="G438" s="37" t="s">
        <v>93</v>
      </c>
      <c r="H438" s="37" t="n">
        <v>1</v>
      </c>
      <c r="I438" s="43" t="n">
        <v>1799</v>
      </c>
      <c r="J438" s="40" t="n">
        <v>0</v>
      </c>
    </row>
    <row r="439" customFormat="false" ht="15" hidden="false" customHeight="false" outlineLevel="0" collapsed="false">
      <c r="A439" s="37" t="s">
        <v>581</v>
      </c>
      <c r="B439" s="42" t="n">
        <v>45842</v>
      </c>
      <c r="C439" s="37" t="s">
        <v>136</v>
      </c>
      <c r="D439" s="37" t="s">
        <v>47</v>
      </c>
      <c r="E439" s="37" t="s">
        <v>97</v>
      </c>
      <c r="F439" s="37" t="s">
        <v>115</v>
      </c>
      <c r="G439" s="37" t="s">
        <v>92</v>
      </c>
      <c r="H439" s="37" t="n">
        <v>1</v>
      </c>
      <c r="I439" s="43" t="n">
        <v>1799</v>
      </c>
      <c r="J439" s="40" t="n">
        <v>0.15</v>
      </c>
    </row>
    <row r="440" customFormat="false" ht="15" hidden="false" customHeight="false" outlineLevel="0" collapsed="false">
      <c r="A440" s="37" t="s">
        <v>582</v>
      </c>
      <c r="B440" s="42" t="n">
        <v>45860</v>
      </c>
      <c r="C440" s="37" t="s">
        <v>140</v>
      </c>
      <c r="D440" s="37" t="s">
        <v>44</v>
      </c>
      <c r="E440" s="37" t="s">
        <v>96</v>
      </c>
      <c r="F440" s="37" t="s">
        <v>117</v>
      </c>
      <c r="G440" s="37" t="s">
        <v>91</v>
      </c>
      <c r="H440" s="37" t="n">
        <v>3</v>
      </c>
      <c r="I440" s="43" t="n">
        <v>1499</v>
      </c>
      <c r="J440" s="40" t="n">
        <v>0.1</v>
      </c>
    </row>
    <row r="441" customFormat="false" ht="15" hidden="false" customHeight="false" outlineLevel="0" collapsed="false">
      <c r="A441" s="37" t="s">
        <v>583</v>
      </c>
      <c r="B441" s="42" t="n">
        <v>45855</v>
      </c>
      <c r="C441" s="37" t="s">
        <v>140</v>
      </c>
      <c r="D441" s="37" t="s">
        <v>44</v>
      </c>
      <c r="E441" s="37" t="s">
        <v>97</v>
      </c>
      <c r="F441" s="37" t="s">
        <v>110</v>
      </c>
      <c r="G441" s="37" t="s">
        <v>90</v>
      </c>
      <c r="H441" s="37" t="n">
        <v>1</v>
      </c>
      <c r="I441" s="43" t="n">
        <v>1299</v>
      </c>
      <c r="J441" s="40" t="n">
        <v>0.1</v>
      </c>
    </row>
    <row r="442" customFormat="false" ht="15" hidden="false" customHeight="false" outlineLevel="0" collapsed="false">
      <c r="A442" s="37" t="s">
        <v>584</v>
      </c>
      <c r="B442" s="42" t="n">
        <v>45851</v>
      </c>
      <c r="C442" s="37" t="s">
        <v>144</v>
      </c>
      <c r="D442" s="37" t="s">
        <v>45</v>
      </c>
      <c r="E442" s="37" t="s">
        <v>96</v>
      </c>
      <c r="F442" s="37" t="s">
        <v>113</v>
      </c>
      <c r="G442" s="37" t="s">
        <v>92</v>
      </c>
      <c r="H442" s="37" t="n">
        <v>1</v>
      </c>
      <c r="I442" s="43" t="n">
        <v>2199</v>
      </c>
      <c r="J442" s="40" t="n">
        <v>0.05</v>
      </c>
    </row>
    <row r="443" customFormat="false" ht="15" hidden="false" customHeight="false" outlineLevel="0" collapsed="false">
      <c r="A443" s="37" t="s">
        <v>585</v>
      </c>
      <c r="B443" s="42" t="n">
        <v>45863</v>
      </c>
      <c r="C443" s="37" t="s">
        <v>138</v>
      </c>
      <c r="D443" s="37" t="s">
        <v>46</v>
      </c>
      <c r="E443" s="37" t="s">
        <v>97</v>
      </c>
      <c r="F443" s="37" t="s">
        <v>111</v>
      </c>
      <c r="G443" s="37" t="s">
        <v>90</v>
      </c>
      <c r="H443" s="37" t="n">
        <v>2</v>
      </c>
      <c r="I443" s="43" t="n">
        <v>2499</v>
      </c>
      <c r="J443" s="40" t="n">
        <v>0.05</v>
      </c>
    </row>
    <row r="444" customFormat="false" ht="15" hidden="false" customHeight="false" outlineLevel="0" collapsed="false">
      <c r="A444" s="37" t="s">
        <v>586</v>
      </c>
      <c r="B444" s="42" t="n">
        <v>45859</v>
      </c>
      <c r="C444" s="37" t="s">
        <v>134</v>
      </c>
      <c r="D444" s="37" t="s">
        <v>45</v>
      </c>
      <c r="E444" s="37" t="s">
        <v>97</v>
      </c>
      <c r="F444" s="37" t="s">
        <v>117</v>
      </c>
      <c r="G444" s="37" t="s">
        <v>91</v>
      </c>
      <c r="H444" s="37" t="n">
        <v>3</v>
      </c>
      <c r="I444" s="43" t="n">
        <v>1499</v>
      </c>
      <c r="J444" s="40" t="n">
        <v>0</v>
      </c>
    </row>
    <row r="445" customFormat="false" ht="15" hidden="false" customHeight="false" outlineLevel="0" collapsed="false">
      <c r="A445" s="37" t="s">
        <v>587</v>
      </c>
      <c r="B445" s="42" t="n">
        <v>45869</v>
      </c>
      <c r="C445" s="37" t="s">
        <v>146</v>
      </c>
      <c r="D445" s="37" t="s">
        <v>45</v>
      </c>
      <c r="E445" s="37" t="s">
        <v>1148</v>
      </c>
      <c r="F445" s="37" t="s">
        <v>123</v>
      </c>
      <c r="G445" s="37" t="s">
        <v>93</v>
      </c>
      <c r="H445" s="37" t="n">
        <v>2</v>
      </c>
      <c r="I445" s="43" t="n">
        <v>1299</v>
      </c>
      <c r="J445" s="40" t="n">
        <v>0.15</v>
      </c>
    </row>
    <row r="446" customFormat="false" ht="15" hidden="false" customHeight="false" outlineLevel="0" collapsed="false">
      <c r="A446" s="37" t="s">
        <v>588</v>
      </c>
      <c r="B446" s="42" t="n">
        <v>45844</v>
      </c>
      <c r="C446" s="37" t="s">
        <v>146</v>
      </c>
      <c r="D446" s="37" t="s">
        <v>45</v>
      </c>
      <c r="E446" s="37" t="s">
        <v>97</v>
      </c>
      <c r="F446" s="37" t="s">
        <v>114</v>
      </c>
      <c r="G446" s="37" t="s">
        <v>92</v>
      </c>
      <c r="H446" s="37" t="n">
        <v>1</v>
      </c>
      <c r="I446" s="43" t="n">
        <v>1199</v>
      </c>
      <c r="J446" s="40" t="n">
        <v>0.15</v>
      </c>
    </row>
    <row r="447" customFormat="false" ht="15" hidden="false" customHeight="false" outlineLevel="0" collapsed="false">
      <c r="A447" s="37" t="s">
        <v>589</v>
      </c>
      <c r="B447" s="42" t="n">
        <v>45865</v>
      </c>
      <c r="C447" s="37" t="s">
        <v>1175</v>
      </c>
      <c r="D447" s="37" t="s">
        <v>45</v>
      </c>
      <c r="E447" s="37" t="s">
        <v>96</v>
      </c>
      <c r="F447" s="37" t="s">
        <v>115</v>
      </c>
      <c r="G447" s="37" t="s">
        <v>92</v>
      </c>
      <c r="H447" s="37" t="n">
        <v>2</v>
      </c>
      <c r="I447" s="43" t="n">
        <v>1799</v>
      </c>
      <c r="J447" s="40" t="n">
        <v>0.1</v>
      </c>
    </row>
    <row r="448" customFormat="false" ht="15" hidden="false" customHeight="false" outlineLevel="0" collapsed="false">
      <c r="A448" s="37" t="s">
        <v>590</v>
      </c>
      <c r="B448" s="42" t="n">
        <v>45849</v>
      </c>
      <c r="C448" s="37" t="s">
        <v>166</v>
      </c>
      <c r="D448" s="37" t="s">
        <v>44</v>
      </c>
      <c r="E448" s="37" t="s">
        <v>97</v>
      </c>
      <c r="F448" s="37" t="s">
        <v>121</v>
      </c>
      <c r="G448" s="37" t="s">
        <v>93</v>
      </c>
      <c r="H448" s="37" t="n">
        <v>2</v>
      </c>
      <c r="I448" s="43" t="n">
        <v>999</v>
      </c>
      <c r="J448" s="40" t="n">
        <v>0.05</v>
      </c>
    </row>
    <row r="449" customFormat="false" ht="15" hidden="false" customHeight="false" outlineLevel="0" collapsed="false">
      <c r="A449" s="37" t="s">
        <v>591</v>
      </c>
      <c r="B449" s="42" t="n">
        <v>45852</v>
      </c>
      <c r="C449" s="37" t="s">
        <v>154</v>
      </c>
      <c r="D449" s="37" t="s">
        <v>47</v>
      </c>
      <c r="E449" s="37" t="s">
        <v>1152</v>
      </c>
      <c r="F449" s="37" t="s">
        <v>112</v>
      </c>
      <c r="G449" s="37" t="s">
        <v>92</v>
      </c>
      <c r="H449" s="37" t="n">
        <v>1</v>
      </c>
      <c r="I449" s="43" t="n">
        <v>3299</v>
      </c>
      <c r="J449" s="40" t="n">
        <v>0.1</v>
      </c>
    </row>
    <row r="450" customFormat="false" ht="15" hidden="false" customHeight="false" outlineLevel="0" collapsed="false">
      <c r="A450" s="37" t="s">
        <v>592</v>
      </c>
      <c r="B450" s="42" t="n">
        <v>45866</v>
      </c>
      <c r="C450" s="37" t="s">
        <v>136</v>
      </c>
      <c r="D450" s="37" t="s">
        <v>47</v>
      </c>
      <c r="E450" s="37" t="s">
        <v>97</v>
      </c>
      <c r="F450" s="37" t="s">
        <v>114</v>
      </c>
      <c r="G450" s="37" t="s">
        <v>92</v>
      </c>
      <c r="H450" s="37" t="n">
        <v>2</v>
      </c>
      <c r="I450" s="43" t="n">
        <v>1199</v>
      </c>
      <c r="J450" s="40" t="n">
        <v>0.1</v>
      </c>
    </row>
    <row r="451" customFormat="false" ht="15" hidden="false" customHeight="false" outlineLevel="0" collapsed="false">
      <c r="A451" s="37" t="s">
        <v>593</v>
      </c>
      <c r="B451" s="42" t="n">
        <v>45845</v>
      </c>
      <c r="C451" s="37" t="s">
        <v>144</v>
      </c>
      <c r="D451" s="37" t="s">
        <v>45</v>
      </c>
      <c r="E451" s="37" t="s">
        <v>1152</v>
      </c>
      <c r="F451" s="37" t="s">
        <v>113</v>
      </c>
      <c r="G451" s="37" t="s">
        <v>92</v>
      </c>
      <c r="H451" s="37" t="n">
        <v>1</v>
      </c>
      <c r="I451" s="43" t="n">
        <v>2199</v>
      </c>
      <c r="J451" s="40" t="n">
        <v>0.1</v>
      </c>
    </row>
    <row r="452" customFormat="false" ht="15" hidden="false" customHeight="false" outlineLevel="0" collapsed="false">
      <c r="A452" s="37" t="s">
        <v>594</v>
      </c>
      <c r="B452" s="42" t="n">
        <v>45856</v>
      </c>
      <c r="C452" s="37" t="s">
        <v>146</v>
      </c>
      <c r="D452" s="37" t="s">
        <v>45</v>
      </c>
      <c r="E452" s="37" t="s">
        <v>96</v>
      </c>
      <c r="F452" s="37" t="s">
        <v>109</v>
      </c>
      <c r="G452" s="37" t="s">
        <v>90</v>
      </c>
      <c r="H452" s="37" t="n">
        <v>2</v>
      </c>
      <c r="I452" s="43" t="n">
        <v>3499</v>
      </c>
      <c r="J452" s="40" t="n">
        <v>0</v>
      </c>
    </row>
    <row r="453" customFormat="false" ht="15" hidden="false" customHeight="false" outlineLevel="0" collapsed="false">
      <c r="A453" s="37" t="s">
        <v>595</v>
      </c>
      <c r="B453" s="42" t="n">
        <v>45858</v>
      </c>
      <c r="C453" s="37" t="s">
        <v>134</v>
      </c>
      <c r="D453" s="37" t="s">
        <v>45</v>
      </c>
      <c r="E453" s="37" t="s">
        <v>96</v>
      </c>
      <c r="F453" s="37" t="s">
        <v>111</v>
      </c>
      <c r="G453" s="37" t="s">
        <v>90</v>
      </c>
      <c r="H453" s="37" t="n">
        <v>1</v>
      </c>
      <c r="I453" s="43" t="n">
        <v>2499</v>
      </c>
      <c r="J453" s="40" t="n">
        <v>0.15</v>
      </c>
    </row>
    <row r="454" customFormat="false" ht="15" hidden="false" customHeight="false" outlineLevel="0" collapsed="false">
      <c r="A454" s="37" t="s">
        <v>596</v>
      </c>
      <c r="B454" s="42" t="n">
        <v>45839</v>
      </c>
      <c r="C454" s="37" t="s">
        <v>144</v>
      </c>
      <c r="D454" s="37" t="s">
        <v>45</v>
      </c>
      <c r="E454" s="37" t="s">
        <v>97</v>
      </c>
      <c r="F454" s="37" t="s">
        <v>116</v>
      </c>
      <c r="G454" s="37" t="s">
        <v>91</v>
      </c>
      <c r="H454" s="37" t="n">
        <v>1</v>
      </c>
      <c r="I454" s="43" t="n">
        <v>899</v>
      </c>
      <c r="J454" s="40" t="n">
        <v>0.05</v>
      </c>
    </row>
    <row r="455" customFormat="false" ht="15" hidden="false" customHeight="false" outlineLevel="0" collapsed="false">
      <c r="A455" s="37" t="s">
        <v>597</v>
      </c>
      <c r="B455" s="42" t="n">
        <v>45866</v>
      </c>
      <c r="C455" s="37" t="s">
        <v>144</v>
      </c>
      <c r="D455" s="37" t="s">
        <v>45</v>
      </c>
      <c r="E455" s="37" t="s">
        <v>96</v>
      </c>
      <c r="F455" s="37" t="s">
        <v>113</v>
      </c>
      <c r="G455" s="37" t="s">
        <v>92</v>
      </c>
      <c r="H455" s="37" t="n">
        <v>1</v>
      </c>
      <c r="I455" s="43" t="n">
        <v>2199</v>
      </c>
      <c r="J455" s="40" t="n">
        <v>0.2</v>
      </c>
    </row>
    <row r="456" customFormat="false" ht="15" hidden="false" customHeight="false" outlineLevel="0" collapsed="false">
      <c r="A456" s="37" t="s">
        <v>598</v>
      </c>
      <c r="B456" s="42" t="n">
        <v>45854</v>
      </c>
      <c r="C456" s="37" t="s">
        <v>1155</v>
      </c>
      <c r="D456" s="37" t="s">
        <v>45</v>
      </c>
      <c r="E456" s="37" t="s">
        <v>96</v>
      </c>
      <c r="F456" s="37" t="s">
        <v>120</v>
      </c>
      <c r="G456" s="37" t="s">
        <v>93</v>
      </c>
      <c r="H456" s="37" t="n">
        <v>1</v>
      </c>
      <c r="I456" s="43" t="n">
        <v>449</v>
      </c>
      <c r="J456" s="40" t="n">
        <v>0.05</v>
      </c>
    </row>
    <row r="457" customFormat="false" ht="15" hidden="false" customHeight="false" outlineLevel="0" collapsed="false">
      <c r="A457" s="37" t="s">
        <v>599</v>
      </c>
      <c r="B457" s="42" t="n">
        <v>45842</v>
      </c>
      <c r="C457" s="37" t="s">
        <v>146</v>
      </c>
      <c r="D457" s="37" t="s">
        <v>45</v>
      </c>
      <c r="E457" s="37" t="s">
        <v>96</v>
      </c>
      <c r="F457" s="37" t="s">
        <v>118</v>
      </c>
      <c r="G457" s="37" t="s">
        <v>91</v>
      </c>
      <c r="H457" s="37" t="n">
        <v>1</v>
      </c>
      <c r="I457" s="43" t="n">
        <v>2299</v>
      </c>
      <c r="J457" s="40" t="n">
        <v>0.15</v>
      </c>
    </row>
    <row r="458" customFormat="false" ht="15" hidden="false" customHeight="false" outlineLevel="0" collapsed="false">
      <c r="A458" s="37" t="s">
        <v>600</v>
      </c>
      <c r="B458" s="42" t="n">
        <v>45849</v>
      </c>
      <c r="C458" s="37" t="s">
        <v>142</v>
      </c>
      <c r="D458" s="37" t="s">
        <v>47</v>
      </c>
      <c r="E458" s="37" t="s">
        <v>96</v>
      </c>
      <c r="F458" s="37" t="s">
        <v>119</v>
      </c>
      <c r="G458" s="37" t="s">
        <v>91</v>
      </c>
      <c r="H458" s="37" t="n">
        <v>2</v>
      </c>
      <c r="I458" s="43" t="n">
        <v>1099</v>
      </c>
      <c r="J458" s="40" t="n">
        <v>0.1</v>
      </c>
    </row>
    <row r="459" customFormat="false" ht="15" hidden="false" customHeight="false" outlineLevel="0" collapsed="false">
      <c r="A459" s="37" t="s">
        <v>601</v>
      </c>
      <c r="B459" s="42" t="n">
        <v>45861</v>
      </c>
      <c r="C459" s="37" t="s">
        <v>144</v>
      </c>
      <c r="D459" s="37" t="s">
        <v>45</v>
      </c>
      <c r="E459" s="37" t="s">
        <v>96</v>
      </c>
      <c r="F459" s="37" t="s">
        <v>119</v>
      </c>
      <c r="G459" s="37" t="s">
        <v>91</v>
      </c>
      <c r="H459" s="37" t="n">
        <v>1</v>
      </c>
      <c r="I459" s="43" t="n">
        <v>1099</v>
      </c>
      <c r="J459" s="40" t="n">
        <v>0.15</v>
      </c>
    </row>
    <row r="460" customFormat="false" ht="15" hidden="false" customHeight="false" outlineLevel="0" collapsed="false">
      <c r="A460" s="37" t="s">
        <v>602</v>
      </c>
      <c r="B460" s="42" t="n">
        <v>45868</v>
      </c>
      <c r="C460" s="37" t="s">
        <v>136</v>
      </c>
      <c r="D460" s="37" t="s">
        <v>47</v>
      </c>
      <c r="E460" s="37" t="s">
        <v>97</v>
      </c>
      <c r="F460" s="37" t="s">
        <v>109</v>
      </c>
      <c r="G460" s="37" t="s">
        <v>90</v>
      </c>
      <c r="H460" s="37" t="n">
        <v>2</v>
      </c>
      <c r="I460" s="43" t="n">
        <v>3499</v>
      </c>
      <c r="J460" s="40" t="n">
        <v>0</v>
      </c>
    </row>
    <row r="461" customFormat="false" ht="15" hidden="false" customHeight="false" outlineLevel="0" collapsed="false">
      <c r="A461" s="37" t="s">
        <v>603</v>
      </c>
      <c r="B461" s="42" t="n">
        <v>45861</v>
      </c>
      <c r="C461" s="37" t="s">
        <v>166</v>
      </c>
      <c r="D461" s="37" t="s">
        <v>44</v>
      </c>
      <c r="E461" s="37" t="s">
        <v>96</v>
      </c>
      <c r="F461" s="37" t="s">
        <v>109</v>
      </c>
      <c r="G461" s="37" t="s">
        <v>90</v>
      </c>
      <c r="H461" s="37" t="n">
        <v>2</v>
      </c>
      <c r="I461" s="43" t="n">
        <v>3499</v>
      </c>
      <c r="J461" s="40" t="n">
        <v>0.05</v>
      </c>
    </row>
    <row r="462" customFormat="false" ht="15" hidden="false" customHeight="false" outlineLevel="0" collapsed="false">
      <c r="A462" s="37" t="s">
        <v>604</v>
      </c>
      <c r="B462" s="37" t="s">
        <v>1176</v>
      </c>
      <c r="C462" s="37" t="s">
        <v>160</v>
      </c>
      <c r="D462" s="37" t="s">
        <v>46</v>
      </c>
      <c r="E462" s="37" t="s">
        <v>96</v>
      </c>
      <c r="F462" s="37" t="s">
        <v>111</v>
      </c>
      <c r="G462" s="37" t="s">
        <v>90</v>
      </c>
      <c r="H462" s="37" t="n">
        <v>4</v>
      </c>
      <c r="I462" s="43" t="n">
        <v>2499</v>
      </c>
      <c r="J462" s="40" t="n">
        <v>0.1</v>
      </c>
    </row>
    <row r="463" customFormat="false" ht="15" hidden="false" customHeight="false" outlineLevel="0" collapsed="false">
      <c r="A463" s="37" t="s">
        <v>605</v>
      </c>
      <c r="B463" s="42" t="n">
        <v>45867</v>
      </c>
      <c r="C463" s="37" t="s">
        <v>166</v>
      </c>
      <c r="D463" s="37" t="s">
        <v>44</v>
      </c>
      <c r="E463" s="37" t="s">
        <v>97</v>
      </c>
      <c r="F463" s="37" t="s">
        <v>109</v>
      </c>
      <c r="G463" s="37" t="s">
        <v>90</v>
      </c>
      <c r="H463" s="37" t="n">
        <v>1</v>
      </c>
      <c r="I463" s="43" t="n">
        <v>3499</v>
      </c>
      <c r="J463" s="40" t="n">
        <v>0.25</v>
      </c>
    </row>
    <row r="464" customFormat="false" ht="15" hidden="false" customHeight="false" outlineLevel="0" collapsed="false">
      <c r="A464" s="37" t="s">
        <v>606</v>
      </c>
      <c r="B464" s="42" t="n">
        <v>45865</v>
      </c>
      <c r="C464" s="37" t="s">
        <v>146</v>
      </c>
      <c r="D464" s="37" t="s">
        <v>45</v>
      </c>
      <c r="E464" s="37" t="s">
        <v>96</v>
      </c>
      <c r="F464" s="37" t="s">
        <v>121</v>
      </c>
      <c r="G464" s="37" t="s">
        <v>93</v>
      </c>
      <c r="H464" s="37" t="n">
        <v>1</v>
      </c>
      <c r="I464" s="43" t="n">
        <v>999</v>
      </c>
      <c r="J464" s="40" t="n">
        <v>0.2</v>
      </c>
    </row>
    <row r="465" customFormat="false" ht="15" hidden="false" customHeight="false" outlineLevel="0" collapsed="false">
      <c r="A465" s="37" t="s">
        <v>607</v>
      </c>
      <c r="B465" s="42" t="n">
        <v>45848</v>
      </c>
      <c r="C465" s="37" t="s">
        <v>136</v>
      </c>
      <c r="D465" s="37" t="s">
        <v>47</v>
      </c>
      <c r="E465" s="37" t="s">
        <v>96</v>
      </c>
      <c r="F465" s="37" t="s">
        <v>117</v>
      </c>
      <c r="G465" s="37" t="s">
        <v>91</v>
      </c>
      <c r="H465" s="37" t="n">
        <v>1</v>
      </c>
      <c r="I465" s="43" t="n">
        <v>1499</v>
      </c>
      <c r="J465" s="40" t="n">
        <v>0.05</v>
      </c>
    </row>
    <row r="466" customFormat="false" ht="15" hidden="false" customHeight="false" outlineLevel="0" collapsed="false">
      <c r="A466" s="37" t="s">
        <v>608</v>
      </c>
      <c r="B466" s="42" t="n">
        <v>45861</v>
      </c>
      <c r="C466" s="37" t="s">
        <v>154</v>
      </c>
      <c r="D466" s="37" t="s">
        <v>47</v>
      </c>
      <c r="E466" s="37" t="s">
        <v>96</v>
      </c>
      <c r="F466" s="37" t="s">
        <v>119</v>
      </c>
      <c r="G466" s="37"/>
      <c r="H466" s="37" t="n">
        <v>1</v>
      </c>
      <c r="I466" s="43" t="n">
        <v>1099</v>
      </c>
      <c r="J466" s="40" t="n">
        <v>0.05</v>
      </c>
    </row>
    <row r="467" customFormat="false" ht="15" hidden="false" customHeight="false" outlineLevel="0" collapsed="false">
      <c r="A467" s="37" t="s">
        <v>609</v>
      </c>
      <c r="B467" s="42" t="n">
        <v>45856</v>
      </c>
      <c r="C467" s="37" t="s">
        <v>166</v>
      </c>
      <c r="D467" s="37" t="s">
        <v>44</v>
      </c>
      <c r="E467" s="37" t="s">
        <v>96</v>
      </c>
      <c r="F467" s="37" t="s">
        <v>108</v>
      </c>
      <c r="G467" s="37" t="s">
        <v>90</v>
      </c>
      <c r="H467" s="37" t="n">
        <v>1</v>
      </c>
      <c r="I467" s="43" t="n">
        <v>1999</v>
      </c>
      <c r="J467" s="40" t="n">
        <v>0.1</v>
      </c>
    </row>
    <row r="468" customFormat="false" ht="15" hidden="false" customHeight="false" outlineLevel="0" collapsed="false">
      <c r="A468" s="37" t="s">
        <v>610</v>
      </c>
      <c r="B468" s="42" t="n">
        <v>45869</v>
      </c>
      <c r="C468" s="37" t="s">
        <v>136</v>
      </c>
      <c r="D468" s="37" t="s">
        <v>47</v>
      </c>
      <c r="E468" s="37" t="s">
        <v>96</v>
      </c>
      <c r="F468" s="37" t="s">
        <v>118</v>
      </c>
      <c r="G468" s="37" t="s">
        <v>91</v>
      </c>
      <c r="H468" s="37" t="n">
        <v>1</v>
      </c>
      <c r="I468" s="43" t="n">
        <v>2299</v>
      </c>
      <c r="J468" s="40" t="n">
        <v>0.2</v>
      </c>
    </row>
    <row r="469" customFormat="false" ht="15" hidden="false" customHeight="false" outlineLevel="0" collapsed="false">
      <c r="A469" s="37" t="s">
        <v>611</v>
      </c>
      <c r="B469" s="42" t="n">
        <v>45844</v>
      </c>
      <c r="C469" s="37" t="s">
        <v>134</v>
      </c>
      <c r="D469" s="37" t="s">
        <v>45</v>
      </c>
      <c r="E469" s="37" t="s">
        <v>97</v>
      </c>
      <c r="F469" s="37" t="s">
        <v>122</v>
      </c>
      <c r="G469" s="37" t="s">
        <v>93</v>
      </c>
      <c r="H469" s="37" t="n">
        <v>3</v>
      </c>
      <c r="I469" s="43" t="n">
        <v>1799</v>
      </c>
      <c r="J469" s="40" t="n">
        <v>0.05</v>
      </c>
    </row>
    <row r="470" customFormat="false" ht="15" hidden="false" customHeight="false" outlineLevel="0" collapsed="false">
      <c r="A470" s="37" t="s">
        <v>612</v>
      </c>
      <c r="B470" s="42" t="n">
        <v>45864</v>
      </c>
      <c r="C470" s="37" t="s">
        <v>134</v>
      </c>
      <c r="D470" s="37" t="s">
        <v>45</v>
      </c>
      <c r="E470" s="37" t="s">
        <v>96</v>
      </c>
      <c r="F470" s="37" t="s">
        <v>119</v>
      </c>
      <c r="G470" s="37" t="s">
        <v>91</v>
      </c>
      <c r="H470" s="37" t="n">
        <v>1</v>
      </c>
      <c r="I470" s="43" t="n">
        <v>1099</v>
      </c>
      <c r="J470" s="40" t="n">
        <v>0.05</v>
      </c>
    </row>
    <row r="471" customFormat="false" ht="15" hidden="false" customHeight="false" outlineLevel="0" collapsed="false">
      <c r="A471" s="37" t="s">
        <v>613</v>
      </c>
      <c r="B471" s="42" t="n">
        <v>45852</v>
      </c>
      <c r="C471" s="37" t="s">
        <v>146</v>
      </c>
      <c r="D471" s="37" t="s">
        <v>45</v>
      </c>
      <c r="E471" s="37" t="s">
        <v>97</v>
      </c>
      <c r="F471" s="37" t="s">
        <v>109</v>
      </c>
      <c r="G471" s="37" t="s">
        <v>90</v>
      </c>
      <c r="H471" s="37" t="n">
        <v>1</v>
      </c>
      <c r="I471" s="43" t="n">
        <v>3499</v>
      </c>
      <c r="J471" s="40" t="n">
        <v>0.1</v>
      </c>
    </row>
    <row r="472" customFormat="false" ht="15" hidden="false" customHeight="false" outlineLevel="0" collapsed="false">
      <c r="A472" s="37" t="s">
        <v>614</v>
      </c>
      <c r="B472" s="42" t="n">
        <v>45867</v>
      </c>
      <c r="C472" s="37" t="s">
        <v>144</v>
      </c>
      <c r="D472" s="37" t="s">
        <v>45</v>
      </c>
      <c r="E472" s="37" t="s">
        <v>1156</v>
      </c>
      <c r="F472" s="37" t="s">
        <v>110</v>
      </c>
      <c r="G472" s="37" t="s">
        <v>90</v>
      </c>
      <c r="H472" s="37" t="n">
        <v>3</v>
      </c>
      <c r="I472" s="43" t="n">
        <v>1299</v>
      </c>
      <c r="J472" s="40" t="n">
        <v>0.1</v>
      </c>
    </row>
    <row r="473" customFormat="false" ht="15" hidden="false" customHeight="false" outlineLevel="0" collapsed="false">
      <c r="A473" s="37" t="s">
        <v>615</v>
      </c>
      <c r="B473" s="42" t="n">
        <v>45860</v>
      </c>
      <c r="C473" s="37" t="s">
        <v>169</v>
      </c>
      <c r="D473" s="37" t="s">
        <v>44</v>
      </c>
      <c r="E473" s="37" t="s">
        <v>96</v>
      </c>
      <c r="F473" s="37" t="s">
        <v>110</v>
      </c>
      <c r="G473" s="37" t="s">
        <v>90</v>
      </c>
      <c r="H473" s="37" t="n">
        <v>1</v>
      </c>
      <c r="I473" s="43" t="n">
        <v>1299</v>
      </c>
      <c r="J473" s="40" t="n">
        <v>0.15</v>
      </c>
    </row>
    <row r="474" customFormat="false" ht="15" hidden="false" customHeight="false" outlineLevel="0" collapsed="false">
      <c r="A474" s="37" t="s">
        <v>616</v>
      </c>
      <c r="B474" s="42" t="n">
        <v>45869</v>
      </c>
      <c r="C474" s="37" t="s">
        <v>166</v>
      </c>
      <c r="D474" s="37" t="s">
        <v>44</v>
      </c>
      <c r="E474" s="37" t="s">
        <v>97</v>
      </c>
      <c r="F474" s="37" t="s">
        <v>110</v>
      </c>
      <c r="G474" s="37" t="s">
        <v>90</v>
      </c>
      <c r="H474" s="37" t="n">
        <v>1</v>
      </c>
      <c r="I474" s="43" t="n">
        <v>1299</v>
      </c>
      <c r="J474" s="40" t="n">
        <v>0.25</v>
      </c>
    </row>
    <row r="475" customFormat="false" ht="15" hidden="false" customHeight="false" outlineLevel="0" collapsed="false">
      <c r="A475" s="37" t="s">
        <v>617</v>
      </c>
      <c r="B475" s="42" t="n">
        <v>45854</v>
      </c>
      <c r="C475" s="37" t="s">
        <v>134</v>
      </c>
      <c r="D475" s="37" t="s">
        <v>45</v>
      </c>
      <c r="E475" s="37" t="s">
        <v>97</v>
      </c>
      <c r="F475" s="37" t="s">
        <v>110</v>
      </c>
      <c r="G475" s="37" t="s">
        <v>90</v>
      </c>
      <c r="H475" s="37" t="n">
        <v>1</v>
      </c>
      <c r="I475" s="43" t="n">
        <v>1299</v>
      </c>
      <c r="J475" s="37" t="s">
        <v>1169</v>
      </c>
    </row>
    <row r="476" customFormat="false" ht="15" hidden="false" customHeight="false" outlineLevel="0" collapsed="false">
      <c r="A476" s="37" t="s">
        <v>618</v>
      </c>
      <c r="B476" s="42" t="n">
        <v>45848</v>
      </c>
      <c r="C476" s="37" t="s">
        <v>146</v>
      </c>
      <c r="D476" s="37" t="s">
        <v>45</v>
      </c>
      <c r="E476" s="37" t="s">
        <v>96</v>
      </c>
      <c r="F476" s="37" t="s">
        <v>116</v>
      </c>
      <c r="G476" s="37" t="s">
        <v>91</v>
      </c>
      <c r="H476" s="37" t="n">
        <v>1</v>
      </c>
      <c r="I476" s="43" t="n">
        <v>899</v>
      </c>
      <c r="J476" s="37" t="s">
        <v>1164</v>
      </c>
    </row>
    <row r="477" customFormat="false" ht="15" hidden="false" customHeight="false" outlineLevel="0" collapsed="false">
      <c r="A477" s="37" t="s">
        <v>619</v>
      </c>
      <c r="B477" s="42" t="n">
        <v>45865</v>
      </c>
      <c r="C477" s="37" t="s">
        <v>134</v>
      </c>
      <c r="D477" s="37" t="s">
        <v>45</v>
      </c>
      <c r="E477" s="37" t="s">
        <v>97</v>
      </c>
      <c r="F477" s="37" t="s">
        <v>123</v>
      </c>
      <c r="G477" s="37" t="s">
        <v>93</v>
      </c>
      <c r="H477" s="37" t="n">
        <v>2</v>
      </c>
      <c r="I477" s="43" t="n">
        <v>1299</v>
      </c>
      <c r="J477" s="40" t="n">
        <v>0.1</v>
      </c>
    </row>
    <row r="478" customFormat="false" ht="15" hidden="false" customHeight="false" outlineLevel="0" collapsed="false">
      <c r="A478" s="37" t="s">
        <v>620</v>
      </c>
      <c r="B478" s="42" t="n">
        <v>45854</v>
      </c>
      <c r="C478" s="37" t="s">
        <v>1177</v>
      </c>
      <c r="D478" s="37" t="s">
        <v>46</v>
      </c>
      <c r="E478" s="37" t="s">
        <v>96</v>
      </c>
      <c r="F478" s="37" t="s">
        <v>119</v>
      </c>
      <c r="G478" s="37" t="s">
        <v>91</v>
      </c>
      <c r="H478" s="37" t="n">
        <v>3</v>
      </c>
      <c r="I478" s="43" t="n">
        <v>1099</v>
      </c>
      <c r="J478" s="40" t="n">
        <v>0.25</v>
      </c>
    </row>
    <row r="479" customFormat="false" ht="15" hidden="false" customHeight="false" outlineLevel="0" collapsed="false">
      <c r="A479" s="37" t="s">
        <v>621</v>
      </c>
      <c r="B479" s="42" t="n">
        <v>45854</v>
      </c>
      <c r="C479" s="37" t="s">
        <v>134</v>
      </c>
      <c r="D479" s="37" t="s">
        <v>45</v>
      </c>
      <c r="E479" s="37" t="s">
        <v>96</v>
      </c>
      <c r="F479" s="37" t="s">
        <v>111</v>
      </c>
      <c r="G479" s="37" t="s">
        <v>90</v>
      </c>
      <c r="H479" s="37" t="n">
        <v>2</v>
      </c>
      <c r="I479" s="43" t="n">
        <v>2499</v>
      </c>
      <c r="J479" s="40" t="n">
        <v>0.3</v>
      </c>
    </row>
    <row r="480" customFormat="false" ht="15" hidden="false" customHeight="false" outlineLevel="0" collapsed="false">
      <c r="A480" s="37" t="s">
        <v>622</v>
      </c>
      <c r="B480" s="42" t="n">
        <v>45869</v>
      </c>
      <c r="C480" s="37" t="s">
        <v>138</v>
      </c>
      <c r="D480" s="37" t="s">
        <v>46</v>
      </c>
      <c r="E480" s="37" t="s">
        <v>96</v>
      </c>
      <c r="F480" s="37" t="s">
        <v>109</v>
      </c>
      <c r="G480" s="37" t="s">
        <v>90</v>
      </c>
      <c r="H480" s="37" t="n">
        <v>1</v>
      </c>
      <c r="I480" s="43" t="n">
        <v>3499</v>
      </c>
      <c r="J480" s="40" t="n">
        <v>0.05</v>
      </c>
    </row>
    <row r="481" customFormat="false" ht="15" hidden="false" customHeight="false" outlineLevel="0" collapsed="false">
      <c r="A481" s="37" t="s">
        <v>623</v>
      </c>
      <c r="B481" s="42" t="n">
        <v>45865</v>
      </c>
      <c r="C481" s="37" t="s">
        <v>136</v>
      </c>
      <c r="D481" s="37" t="s">
        <v>47</v>
      </c>
      <c r="E481" s="37" t="s">
        <v>97</v>
      </c>
      <c r="F481" s="37" t="s">
        <v>111</v>
      </c>
      <c r="G481" s="37" t="s">
        <v>90</v>
      </c>
      <c r="H481" s="37" t="n">
        <v>2</v>
      </c>
      <c r="I481" s="43" t="n">
        <v>2499</v>
      </c>
      <c r="J481" s="37" t="s">
        <v>1169</v>
      </c>
    </row>
    <row r="482" customFormat="false" ht="15" hidden="false" customHeight="false" outlineLevel="0" collapsed="false">
      <c r="A482" s="37" t="s">
        <v>624</v>
      </c>
      <c r="B482" s="42" t="n">
        <v>45845</v>
      </c>
      <c r="C482" s="37" t="s">
        <v>166</v>
      </c>
      <c r="D482" s="37" t="s">
        <v>44</v>
      </c>
      <c r="E482" s="37" t="s">
        <v>97</v>
      </c>
      <c r="F482" s="37" t="s">
        <v>118</v>
      </c>
      <c r="G482" s="37" t="s">
        <v>91</v>
      </c>
      <c r="H482" s="37" t="n">
        <v>1</v>
      </c>
      <c r="I482" s="43" t="n">
        <v>2299</v>
      </c>
      <c r="J482" s="37" t="s">
        <v>1169</v>
      </c>
    </row>
    <row r="483" customFormat="false" ht="15" hidden="false" customHeight="false" outlineLevel="0" collapsed="false">
      <c r="A483" s="37" t="s">
        <v>625</v>
      </c>
      <c r="B483" s="42" t="n">
        <v>45867</v>
      </c>
      <c r="C483" s="37" t="s">
        <v>169</v>
      </c>
      <c r="D483" s="37" t="s">
        <v>44</v>
      </c>
      <c r="E483" s="37" t="s">
        <v>96</v>
      </c>
      <c r="F483" s="37" t="s">
        <v>111</v>
      </c>
      <c r="G483" s="37" t="s">
        <v>90</v>
      </c>
      <c r="H483" s="37" t="n">
        <v>5</v>
      </c>
      <c r="I483" s="43" t="n">
        <v>2499</v>
      </c>
      <c r="J483" s="40" t="n">
        <v>0.1</v>
      </c>
    </row>
    <row r="484" customFormat="false" ht="15" hidden="false" customHeight="false" outlineLevel="0" collapsed="false">
      <c r="A484" s="37" t="s">
        <v>626</v>
      </c>
      <c r="B484" s="42" t="n">
        <v>45854</v>
      </c>
      <c r="C484" s="37" t="s">
        <v>136</v>
      </c>
      <c r="D484" s="37" t="s">
        <v>47</v>
      </c>
      <c r="E484" s="37" t="s">
        <v>96</v>
      </c>
      <c r="F484" s="37" t="s">
        <v>108</v>
      </c>
      <c r="G484" s="37" t="s">
        <v>90</v>
      </c>
      <c r="H484" s="37" t="n">
        <v>2</v>
      </c>
      <c r="I484" s="43" t="n">
        <v>1999</v>
      </c>
      <c r="J484" s="40" t="n">
        <v>0.1</v>
      </c>
    </row>
    <row r="485" customFormat="false" ht="15" hidden="false" customHeight="false" outlineLevel="0" collapsed="false">
      <c r="A485" s="37" t="s">
        <v>627</v>
      </c>
      <c r="B485" s="42" t="n">
        <v>45846</v>
      </c>
      <c r="C485" s="37" t="s">
        <v>154</v>
      </c>
      <c r="D485" s="37" t="s">
        <v>47</v>
      </c>
      <c r="E485" s="37" t="s">
        <v>96</v>
      </c>
      <c r="F485" s="37" t="s">
        <v>114</v>
      </c>
      <c r="G485" s="37" t="s">
        <v>92</v>
      </c>
      <c r="H485" s="37" t="n">
        <v>3</v>
      </c>
      <c r="I485" s="43" t="n">
        <v>1199</v>
      </c>
      <c r="J485" s="40" t="n">
        <v>0.1</v>
      </c>
    </row>
    <row r="486" customFormat="false" ht="15" hidden="false" customHeight="false" outlineLevel="0" collapsed="false">
      <c r="A486" s="37" t="s">
        <v>628</v>
      </c>
      <c r="B486" s="42" t="n">
        <v>45867</v>
      </c>
      <c r="C486" s="37" t="s">
        <v>160</v>
      </c>
      <c r="D486" s="37" t="s">
        <v>46</v>
      </c>
      <c r="E486" s="37" t="s">
        <v>96</v>
      </c>
      <c r="F486" s="37" t="s">
        <v>114</v>
      </c>
      <c r="G486" s="37" t="s">
        <v>92</v>
      </c>
      <c r="H486" s="37" t="n">
        <v>1</v>
      </c>
      <c r="I486" s="43" t="n">
        <v>1199</v>
      </c>
      <c r="J486" s="40" t="n">
        <v>0.2</v>
      </c>
    </row>
    <row r="487" customFormat="false" ht="15" hidden="false" customHeight="false" outlineLevel="0" collapsed="false">
      <c r="A487" s="37" t="s">
        <v>629</v>
      </c>
      <c r="B487" s="42" t="n">
        <v>45860</v>
      </c>
      <c r="C487" s="37" t="s">
        <v>154</v>
      </c>
      <c r="D487" s="37" t="s">
        <v>47</v>
      </c>
      <c r="E487" s="37" t="s">
        <v>96</v>
      </c>
      <c r="F487" s="37" t="s">
        <v>108</v>
      </c>
      <c r="G487" s="37" t="s">
        <v>90</v>
      </c>
      <c r="H487" s="37" t="n">
        <v>2</v>
      </c>
      <c r="I487" s="43" t="n">
        <v>1999</v>
      </c>
      <c r="J487" s="40" t="n">
        <v>0.25</v>
      </c>
    </row>
    <row r="488" customFormat="false" ht="15" hidden="false" customHeight="false" outlineLevel="0" collapsed="false">
      <c r="A488" s="37" t="s">
        <v>630</v>
      </c>
      <c r="B488" s="42" t="n">
        <v>45853</v>
      </c>
      <c r="C488" s="37" t="s">
        <v>136</v>
      </c>
      <c r="D488" s="37" t="s">
        <v>47</v>
      </c>
      <c r="E488" s="37" t="s">
        <v>96</v>
      </c>
      <c r="F488" s="37" t="s">
        <v>118</v>
      </c>
      <c r="G488" s="37" t="s">
        <v>91</v>
      </c>
      <c r="H488" s="37" t="n">
        <v>1</v>
      </c>
      <c r="I488" s="43" t="n">
        <v>2299</v>
      </c>
      <c r="J488" s="40" t="n">
        <v>0.05</v>
      </c>
    </row>
    <row r="489" customFormat="false" ht="15" hidden="false" customHeight="false" outlineLevel="0" collapsed="false">
      <c r="A489" s="37" t="s">
        <v>631</v>
      </c>
      <c r="B489" s="42" t="n">
        <v>45855</v>
      </c>
      <c r="C489" s="37" t="s">
        <v>134</v>
      </c>
      <c r="D489" s="37" t="s">
        <v>45</v>
      </c>
      <c r="E489" s="37" t="s">
        <v>97</v>
      </c>
      <c r="F489" s="37" t="s">
        <v>108</v>
      </c>
      <c r="G489" s="37" t="s">
        <v>90</v>
      </c>
      <c r="H489" s="37" t="n">
        <v>1</v>
      </c>
      <c r="I489" s="43" t="n">
        <v>1999</v>
      </c>
      <c r="J489" s="40" t="n">
        <v>0</v>
      </c>
    </row>
    <row r="490" customFormat="false" ht="15" hidden="false" customHeight="false" outlineLevel="0" collapsed="false">
      <c r="A490" s="37" t="s">
        <v>632</v>
      </c>
      <c r="B490" s="42" t="n">
        <v>45845</v>
      </c>
      <c r="C490" s="37" t="s">
        <v>166</v>
      </c>
      <c r="D490" s="37" t="s">
        <v>44</v>
      </c>
      <c r="E490" s="37" t="s">
        <v>96</v>
      </c>
      <c r="F490" s="37" t="s">
        <v>111</v>
      </c>
      <c r="G490" s="37" t="s">
        <v>90</v>
      </c>
      <c r="H490" s="37" t="n">
        <v>2</v>
      </c>
      <c r="I490" s="43" t="n">
        <v>2499</v>
      </c>
      <c r="J490" s="40" t="n">
        <v>0.3</v>
      </c>
    </row>
    <row r="491" customFormat="false" ht="15" hidden="false" customHeight="false" outlineLevel="0" collapsed="false">
      <c r="A491" s="37" t="s">
        <v>633</v>
      </c>
      <c r="B491" s="42" t="n">
        <v>45855</v>
      </c>
      <c r="C491" s="37" t="s">
        <v>142</v>
      </c>
      <c r="D491" s="37" t="s">
        <v>47</v>
      </c>
      <c r="E491" s="37" t="s">
        <v>96</v>
      </c>
      <c r="F491" s="37" t="s">
        <v>108</v>
      </c>
      <c r="G491" s="37" t="s">
        <v>90</v>
      </c>
      <c r="H491" s="37" t="n">
        <v>2</v>
      </c>
      <c r="I491" s="43" t="n">
        <v>1999</v>
      </c>
      <c r="J491" s="40" t="n">
        <v>0.25</v>
      </c>
    </row>
    <row r="492" customFormat="false" ht="15" hidden="false" customHeight="false" outlineLevel="0" collapsed="false">
      <c r="A492" s="37" t="s">
        <v>634</v>
      </c>
      <c r="B492" s="37" t="s">
        <v>1178</v>
      </c>
      <c r="C492" s="37" t="s">
        <v>134</v>
      </c>
      <c r="D492" s="37" t="s">
        <v>45</v>
      </c>
      <c r="E492" s="37" t="s">
        <v>96</v>
      </c>
      <c r="F492" s="37" t="s">
        <v>117</v>
      </c>
      <c r="G492" s="37" t="s">
        <v>91</v>
      </c>
      <c r="H492" s="37" t="n">
        <v>2</v>
      </c>
      <c r="I492" s="43" t="n">
        <v>1499</v>
      </c>
      <c r="J492" s="40" t="n">
        <v>0.2</v>
      </c>
    </row>
    <row r="493" customFormat="false" ht="15" hidden="false" customHeight="false" outlineLevel="0" collapsed="false">
      <c r="A493" s="37" t="s">
        <v>635</v>
      </c>
      <c r="B493" s="42" t="n">
        <v>45864</v>
      </c>
      <c r="C493" s="37" t="s">
        <v>154</v>
      </c>
      <c r="D493" s="37" t="s">
        <v>47</v>
      </c>
      <c r="E493" s="37" t="s">
        <v>1147</v>
      </c>
      <c r="F493" s="37" t="s">
        <v>119</v>
      </c>
      <c r="G493" s="37" t="s">
        <v>91</v>
      </c>
      <c r="H493" s="37" t="n">
        <v>1</v>
      </c>
      <c r="I493" s="43" t="n">
        <v>1099</v>
      </c>
      <c r="J493" s="40" t="n">
        <v>0</v>
      </c>
    </row>
    <row r="494" customFormat="false" ht="15" hidden="false" customHeight="false" outlineLevel="0" collapsed="false">
      <c r="A494" s="37" t="s">
        <v>636</v>
      </c>
      <c r="B494" s="42" t="n">
        <v>45853</v>
      </c>
      <c r="C494" s="37" t="s">
        <v>169</v>
      </c>
      <c r="D494" s="37" t="s">
        <v>44</v>
      </c>
      <c r="E494" s="37" t="s">
        <v>97</v>
      </c>
      <c r="F494" s="37" t="s">
        <v>115</v>
      </c>
      <c r="G494" s="37" t="s">
        <v>92</v>
      </c>
      <c r="H494" s="37" t="n">
        <v>2</v>
      </c>
      <c r="I494" s="43" t="n">
        <v>1799</v>
      </c>
      <c r="J494" s="40" t="n">
        <v>0</v>
      </c>
    </row>
    <row r="495" customFormat="false" ht="15" hidden="false" customHeight="false" outlineLevel="0" collapsed="false">
      <c r="A495" s="37" t="s">
        <v>637</v>
      </c>
      <c r="B495" s="42" t="n">
        <v>45850</v>
      </c>
      <c r="C495" s="37" t="s">
        <v>136</v>
      </c>
      <c r="D495" s="37" t="s">
        <v>47</v>
      </c>
      <c r="E495" s="37" t="s">
        <v>97</v>
      </c>
      <c r="F495" s="37" t="s">
        <v>117</v>
      </c>
      <c r="G495" s="37" t="s">
        <v>91</v>
      </c>
      <c r="H495" s="37" t="n">
        <v>2</v>
      </c>
      <c r="I495" s="43" t="n">
        <v>1499</v>
      </c>
      <c r="J495" s="40" t="n">
        <v>0.1</v>
      </c>
    </row>
    <row r="496" customFormat="false" ht="15" hidden="false" customHeight="false" outlineLevel="0" collapsed="false">
      <c r="A496" s="37" t="s">
        <v>638</v>
      </c>
      <c r="B496" s="42" t="n">
        <v>45852</v>
      </c>
      <c r="C496" s="37" t="s">
        <v>146</v>
      </c>
      <c r="D496" s="37" t="s">
        <v>45</v>
      </c>
      <c r="E496" s="37" t="s">
        <v>96</v>
      </c>
      <c r="F496" s="37" t="s">
        <v>115</v>
      </c>
      <c r="G496" s="37" t="s">
        <v>92</v>
      </c>
      <c r="H496" s="37" t="n">
        <v>1</v>
      </c>
      <c r="I496" s="43" t="n">
        <v>1799</v>
      </c>
      <c r="J496" s="40" t="n">
        <v>0.1</v>
      </c>
    </row>
    <row r="497" customFormat="false" ht="15" hidden="false" customHeight="false" outlineLevel="0" collapsed="false">
      <c r="A497" s="37" t="s">
        <v>639</v>
      </c>
      <c r="B497" s="42" t="n">
        <v>45845</v>
      </c>
      <c r="C497" s="37" t="s">
        <v>134</v>
      </c>
      <c r="D497" s="37" t="s">
        <v>45</v>
      </c>
      <c r="E497" s="37" t="s">
        <v>96</v>
      </c>
      <c r="F497" s="37" t="s">
        <v>121</v>
      </c>
      <c r="G497" s="37" t="s">
        <v>93</v>
      </c>
      <c r="H497" s="37" t="n">
        <v>2</v>
      </c>
      <c r="I497" s="43" t="n">
        <v>999</v>
      </c>
      <c r="J497" s="40" t="n">
        <v>0.25</v>
      </c>
    </row>
    <row r="498" customFormat="false" ht="15" hidden="false" customHeight="false" outlineLevel="0" collapsed="false">
      <c r="A498" s="37" t="s">
        <v>640</v>
      </c>
      <c r="B498" s="42" t="n">
        <v>45853</v>
      </c>
      <c r="C498" s="37" t="s">
        <v>134</v>
      </c>
      <c r="D498" s="37" t="s">
        <v>45</v>
      </c>
      <c r="E498" s="37" t="s">
        <v>96</v>
      </c>
      <c r="F498" s="37" t="s">
        <v>120</v>
      </c>
      <c r="G498" s="37" t="s">
        <v>93</v>
      </c>
      <c r="H498" s="37" t="n">
        <v>1</v>
      </c>
      <c r="I498" s="43" t="n">
        <v>449</v>
      </c>
      <c r="J498" s="40" t="n">
        <v>0.05</v>
      </c>
    </row>
    <row r="499" customFormat="false" ht="15" hidden="false" customHeight="false" outlineLevel="0" collapsed="false">
      <c r="A499" s="37" t="s">
        <v>641</v>
      </c>
      <c r="B499" s="42" t="n">
        <v>45868</v>
      </c>
      <c r="C499" s="37" t="s">
        <v>154</v>
      </c>
      <c r="D499" s="37" t="s">
        <v>47</v>
      </c>
      <c r="E499" s="37" t="s">
        <v>96</v>
      </c>
      <c r="F499" s="37" t="s">
        <v>113</v>
      </c>
      <c r="G499" s="37" t="s">
        <v>92</v>
      </c>
      <c r="H499" s="37" t="n">
        <v>1</v>
      </c>
      <c r="I499" s="43" t="n">
        <v>2199</v>
      </c>
      <c r="J499" s="40" t="n">
        <v>0.15</v>
      </c>
    </row>
    <row r="500" customFormat="false" ht="15" hidden="false" customHeight="false" outlineLevel="0" collapsed="false">
      <c r="A500" s="37" t="s">
        <v>642</v>
      </c>
      <c r="B500" s="42" t="n">
        <v>45863</v>
      </c>
      <c r="C500" s="37" t="s">
        <v>169</v>
      </c>
      <c r="D500" s="37" t="s">
        <v>44</v>
      </c>
      <c r="E500" s="37" t="s">
        <v>97</v>
      </c>
      <c r="F500" s="37" t="s">
        <v>110</v>
      </c>
      <c r="G500" s="37" t="s">
        <v>90</v>
      </c>
      <c r="H500" s="37" t="n">
        <v>3</v>
      </c>
      <c r="I500" s="43" t="n">
        <v>1299</v>
      </c>
      <c r="J500" s="40" t="n">
        <v>0.15</v>
      </c>
    </row>
    <row r="501" customFormat="false" ht="15" hidden="false" customHeight="false" outlineLevel="0" collapsed="false">
      <c r="A501" s="37" t="s">
        <v>643</v>
      </c>
      <c r="B501" s="42" t="n">
        <v>45867</v>
      </c>
      <c r="C501" s="37" t="s">
        <v>169</v>
      </c>
      <c r="D501" s="37" t="s">
        <v>44</v>
      </c>
      <c r="E501" s="37" t="s">
        <v>97</v>
      </c>
      <c r="F501" s="37" t="s">
        <v>110</v>
      </c>
      <c r="G501" s="37" t="s">
        <v>90</v>
      </c>
      <c r="H501" s="37" t="n">
        <v>1</v>
      </c>
      <c r="I501" s="43" t="n">
        <v>1299</v>
      </c>
      <c r="J501" s="40" t="n">
        <v>0.1</v>
      </c>
    </row>
    <row r="502" customFormat="false" ht="15" hidden="false" customHeight="false" outlineLevel="0" collapsed="false">
      <c r="A502" s="37" t="s">
        <v>644</v>
      </c>
      <c r="B502" s="42" t="n">
        <v>45883</v>
      </c>
      <c r="C502" s="37" t="s">
        <v>136</v>
      </c>
      <c r="D502" s="37" t="s">
        <v>47</v>
      </c>
      <c r="E502" s="37" t="s">
        <v>96</v>
      </c>
      <c r="F502" s="37" t="s">
        <v>118</v>
      </c>
      <c r="G502" s="37" t="s">
        <v>91</v>
      </c>
      <c r="H502" s="37" t="n">
        <v>1</v>
      </c>
      <c r="I502" s="43" t="n">
        <v>2299</v>
      </c>
      <c r="J502" s="40" t="n">
        <v>0.05</v>
      </c>
    </row>
    <row r="503" customFormat="false" ht="15" hidden="false" customHeight="false" outlineLevel="0" collapsed="false">
      <c r="A503" s="37" t="s">
        <v>645</v>
      </c>
      <c r="B503" s="42" t="n">
        <v>45892</v>
      </c>
      <c r="C503" s="37" t="s">
        <v>136</v>
      </c>
      <c r="D503" s="37" t="s">
        <v>47</v>
      </c>
      <c r="E503" s="37" t="s">
        <v>96</v>
      </c>
      <c r="F503" s="37" t="s">
        <v>121</v>
      </c>
      <c r="G503" s="37" t="s">
        <v>93</v>
      </c>
      <c r="H503" s="37" t="n">
        <v>2</v>
      </c>
      <c r="I503" s="43" t="n">
        <v>999</v>
      </c>
      <c r="J503" s="37" t="s">
        <v>1163</v>
      </c>
    </row>
    <row r="504" customFormat="false" ht="15" hidden="false" customHeight="false" outlineLevel="0" collapsed="false">
      <c r="A504" s="37" t="s">
        <v>646</v>
      </c>
      <c r="B504" s="42" t="n">
        <v>45891</v>
      </c>
      <c r="C504" s="37" t="s">
        <v>144</v>
      </c>
      <c r="D504" s="37" t="s">
        <v>45</v>
      </c>
      <c r="E504" s="37" t="s">
        <v>96</v>
      </c>
      <c r="F504" s="37" t="s">
        <v>114</v>
      </c>
      <c r="G504" s="37" t="s">
        <v>92</v>
      </c>
      <c r="H504" s="37" t="n">
        <v>1</v>
      </c>
      <c r="I504" s="43" t="n">
        <v>1199</v>
      </c>
      <c r="J504" s="40" t="n">
        <v>0.15</v>
      </c>
    </row>
    <row r="505" customFormat="false" ht="15" hidden="false" customHeight="false" outlineLevel="0" collapsed="false">
      <c r="A505" s="37" t="s">
        <v>647</v>
      </c>
      <c r="B505" s="42" t="n">
        <v>45871</v>
      </c>
      <c r="C505" s="37" t="s">
        <v>166</v>
      </c>
      <c r="D505" s="37" t="s">
        <v>44</v>
      </c>
      <c r="E505" s="37" t="s">
        <v>96</v>
      </c>
      <c r="F505" s="37" t="s">
        <v>116</v>
      </c>
      <c r="G505" s="37" t="s">
        <v>91</v>
      </c>
      <c r="H505" s="37" t="n">
        <v>3</v>
      </c>
      <c r="I505" s="43" t="n">
        <v>899</v>
      </c>
      <c r="J505" s="40" t="n">
        <v>0.1</v>
      </c>
    </row>
    <row r="506" customFormat="false" ht="15" hidden="false" customHeight="false" outlineLevel="0" collapsed="false">
      <c r="A506" s="37" t="s">
        <v>647</v>
      </c>
      <c r="B506" s="42" t="n">
        <v>45871</v>
      </c>
      <c r="C506" s="37" t="s">
        <v>166</v>
      </c>
      <c r="D506" s="37" t="s">
        <v>44</v>
      </c>
      <c r="E506" s="37" t="s">
        <v>96</v>
      </c>
      <c r="F506" s="37" t="s">
        <v>116</v>
      </c>
      <c r="G506" s="37" t="s">
        <v>91</v>
      </c>
      <c r="H506" s="37" t="n">
        <v>3</v>
      </c>
      <c r="I506" s="43" t="n">
        <v>899</v>
      </c>
      <c r="J506" s="40" t="n">
        <v>0.1</v>
      </c>
    </row>
    <row r="507" customFormat="false" ht="15" hidden="false" customHeight="false" outlineLevel="0" collapsed="false">
      <c r="A507" s="37" t="s">
        <v>648</v>
      </c>
      <c r="B507" s="42" t="n">
        <v>45890</v>
      </c>
      <c r="C507" s="37" t="s">
        <v>169</v>
      </c>
      <c r="D507" s="37" t="s">
        <v>44</v>
      </c>
      <c r="E507" s="37" t="s">
        <v>96</v>
      </c>
      <c r="F507" s="37" t="s">
        <v>122</v>
      </c>
      <c r="G507" s="37" t="s">
        <v>93</v>
      </c>
      <c r="H507" s="37" t="n">
        <v>5</v>
      </c>
      <c r="I507" s="43" t="n">
        <v>1799</v>
      </c>
      <c r="J507" s="40" t="n">
        <v>0.05</v>
      </c>
    </row>
    <row r="508" customFormat="false" ht="15" hidden="false" customHeight="false" outlineLevel="0" collapsed="false">
      <c r="A508" s="37" t="s">
        <v>649</v>
      </c>
      <c r="B508" s="42" t="n">
        <v>45893</v>
      </c>
      <c r="C508" s="37" t="s">
        <v>142</v>
      </c>
      <c r="D508" s="37" t="s">
        <v>47</v>
      </c>
      <c r="E508" s="37" t="s">
        <v>1153</v>
      </c>
      <c r="F508" s="37" t="s">
        <v>110</v>
      </c>
      <c r="G508" s="37" t="s">
        <v>90</v>
      </c>
      <c r="H508" s="37" t="n">
        <v>1</v>
      </c>
      <c r="I508" s="43" t="n">
        <v>1299</v>
      </c>
      <c r="J508" s="40" t="n">
        <v>0.2</v>
      </c>
    </row>
    <row r="509" customFormat="false" ht="15" hidden="false" customHeight="false" outlineLevel="0" collapsed="false">
      <c r="A509" s="37" t="s">
        <v>650</v>
      </c>
      <c r="B509" s="42" t="n">
        <v>45895</v>
      </c>
      <c r="C509" s="37" t="s">
        <v>144</v>
      </c>
      <c r="D509" s="37" t="s">
        <v>45</v>
      </c>
      <c r="E509" s="37" t="s">
        <v>96</v>
      </c>
      <c r="F509" s="37" t="s">
        <v>110</v>
      </c>
      <c r="G509" s="37" t="s">
        <v>90</v>
      </c>
      <c r="H509" s="37" t="n">
        <v>1</v>
      </c>
      <c r="I509" s="43" t="n">
        <v>1299</v>
      </c>
      <c r="J509" s="37" t="s">
        <v>1160</v>
      </c>
    </row>
    <row r="510" customFormat="false" ht="15" hidden="false" customHeight="false" outlineLevel="0" collapsed="false">
      <c r="A510" s="37" t="s">
        <v>651</v>
      </c>
      <c r="B510" s="42" t="n">
        <v>45874</v>
      </c>
      <c r="C510" s="37" t="s">
        <v>154</v>
      </c>
      <c r="D510" s="37" t="s">
        <v>47</v>
      </c>
      <c r="E510" s="37" t="s">
        <v>97</v>
      </c>
      <c r="F510" s="37" t="s">
        <v>108</v>
      </c>
      <c r="G510" s="37" t="s">
        <v>90</v>
      </c>
      <c r="H510" s="37" t="n">
        <v>2</v>
      </c>
      <c r="I510" s="43" t="n">
        <v>1999</v>
      </c>
      <c r="J510" s="40" t="n">
        <v>0</v>
      </c>
    </row>
    <row r="511" customFormat="false" ht="15" hidden="false" customHeight="false" outlineLevel="0" collapsed="false">
      <c r="A511" s="37" t="s">
        <v>652</v>
      </c>
      <c r="B511" s="42" t="n">
        <v>45893</v>
      </c>
      <c r="C511" s="37" t="s">
        <v>140</v>
      </c>
      <c r="D511" s="37" t="s">
        <v>44</v>
      </c>
      <c r="E511" s="37" t="s">
        <v>96</v>
      </c>
      <c r="F511" s="37" t="s">
        <v>108</v>
      </c>
      <c r="G511" s="37" t="s">
        <v>90</v>
      </c>
      <c r="H511" s="37" t="n">
        <v>1</v>
      </c>
      <c r="I511" s="43" t="n">
        <v>1999</v>
      </c>
      <c r="J511" s="40" t="n">
        <v>0.15</v>
      </c>
    </row>
    <row r="512" customFormat="false" ht="15" hidden="false" customHeight="false" outlineLevel="0" collapsed="false">
      <c r="A512" s="37" t="s">
        <v>653</v>
      </c>
      <c r="B512" s="42" t="n">
        <v>45889</v>
      </c>
      <c r="C512" s="37" t="s">
        <v>144</v>
      </c>
      <c r="D512" s="37" t="s">
        <v>45</v>
      </c>
      <c r="E512" s="37" t="s">
        <v>97</v>
      </c>
      <c r="F512" s="37" t="s">
        <v>112</v>
      </c>
      <c r="G512" s="37" t="s">
        <v>92</v>
      </c>
      <c r="H512" s="37" t="n">
        <v>2</v>
      </c>
      <c r="I512" s="43" t="n">
        <v>3299</v>
      </c>
      <c r="J512" s="40" t="n">
        <v>0</v>
      </c>
    </row>
    <row r="513" customFormat="false" ht="15" hidden="false" customHeight="false" outlineLevel="0" collapsed="false">
      <c r="A513" s="37" t="s">
        <v>654</v>
      </c>
      <c r="B513" s="42" t="n">
        <v>45884</v>
      </c>
      <c r="C513" s="37" t="s">
        <v>144</v>
      </c>
      <c r="D513" s="37" t="s">
        <v>45</v>
      </c>
      <c r="E513" s="37" t="s">
        <v>97</v>
      </c>
      <c r="F513" s="37" t="s">
        <v>110</v>
      </c>
      <c r="G513" s="37" t="s">
        <v>90</v>
      </c>
      <c r="H513" s="37" t="n">
        <v>1</v>
      </c>
      <c r="I513" s="43" t="n">
        <v>1299</v>
      </c>
      <c r="J513" s="40" t="n">
        <v>0</v>
      </c>
    </row>
    <row r="514" customFormat="false" ht="15" hidden="false" customHeight="false" outlineLevel="0" collapsed="false">
      <c r="A514" s="37" t="s">
        <v>655</v>
      </c>
      <c r="B514" s="42" t="n">
        <v>45889</v>
      </c>
      <c r="C514" s="37" t="s">
        <v>142</v>
      </c>
      <c r="D514" s="37" t="s">
        <v>47</v>
      </c>
      <c r="E514" s="37" t="s">
        <v>97</v>
      </c>
      <c r="F514" s="37" t="s">
        <v>113</v>
      </c>
      <c r="G514" s="37" t="s">
        <v>92</v>
      </c>
      <c r="H514" s="37" t="n">
        <v>4</v>
      </c>
      <c r="I514" s="43" t="n">
        <v>2199</v>
      </c>
      <c r="J514" s="40" t="n">
        <v>0</v>
      </c>
    </row>
    <row r="515" customFormat="false" ht="15" hidden="false" customHeight="false" outlineLevel="0" collapsed="false">
      <c r="A515" s="37" t="s">
        <v>656</v>
      </c>
      <c r="B515" s="42" t="n">
        <v>45884</v>
      </c>
      <c r="C515" s="37" t="s">
        <v>154</v>
      </c>
      <c r="D515" s="37" t="s">
        <v>47</v>
      </c>
      <c r="E515" s="37" t="s">
        <v>96</v>
      </c>
      <c r="F515" s="37" t="s">
        <v>117</v>
      </c>
      <c r="G515" s="37" t="s">
        <v>91</v>
      </c>
      <c r="H515" s="37" t="n">
        <v>1</v>
      </c>
      <c r="I515" s="43" t="n">
        <v>1499</v>
      </c>
      <c r="J515" s="40" t="n">
        <v>0.05</v>
      </c>
    </row>
    <row r="516" customFormat="false" ht="15" hidden="false" customHeight="false" outlineLevel="0" collapsed="false">
      <c r="A516" s="37" t="s">
        <v>657</v>
      </c>
      <c r="B516" s="42" t="n">
        <v>45876</v>
      </c>
      <c r="C516" s="37" t="s">
        <v>142</v>
      </c>
      <c r="D516" s="37" t="s">
        <v>47</v>
      </c>
      <c r="E516" s="37" t="s">
        <v>97</v>
      </c>
      <c r="F516" s="37" t="s">
        <v>109</v>
      </c>
      <c r="G516" s="37" t="s">
        <v>90</v>
      </c>
      <c r="H516" s="37" t="n">
        <v>2</v>
      </c>
      <c r="I516" s="43" t="n">
        <v>3499</v>
      </c>
      <c r="J516" s="40" t="n">
        <v>0.25</v>
      </c>
    </row>
    <row r="517" customFormat="false" ht="15" hidden="false" customHeight="false" outlineLevel="0" collapsed="false">
      <c r="A517" s="37" t="s">
        <v>658</v>
      </c>
      <c r="B517" s="42" t="n">
        <v>45890</v>
      </c>
      <c r="C517" s="37" t="s">
        <v>146</v>
      </c>
      <c r="D517" s="37" t="s">
        <v>45</v>
      </c>
      <c r="E517" s="37" t="s">
        <v>96</v>
      </c>
      <c r="F517" s="37" t="s">
        <v>109</v>
      </c>
      <c r="G517" s="37" t="s">
        <v>90</v>
      </c>
      <c r="H517" s="37" t="n">
        <v>1</v>
      </c>
      <c r="I517" s="43" t="n">
        <v>3499</v>
      </c>
      <c r="J517" s="40" t="n">
        <v>0.05</v>
      </c>
    </row>
    <row r="518" customFormat="false" ht="15" hidden="false" customHeight="false" outlineLevel="0" collapsed="false">
      <c r="A518" s="37" t="s">
        <v>659</v>
      </c>
      <c r="B518" s="42" t="n">
        <v>45878</v>
      </c>
      <c r="C518" s="37" t="s">
        <v>169</v>
      </c>
      <c r="D518" s="37" t="s">
        <v>44</v>
      </c>
      <c r="E518" s="37" t="s">
        <v>1158</v>
      </c>
      <c r="F518" s="37" t="s">
        <v>118</v>
      </c>
      <c r="G518" s="37" t="s">
        <v>91</v>
      </c>
      <c r="H518" s="37" t="n">
        <v>1</v>
      </c>
      <c r="I518" s="43" t="n">
        <v>2299</v>
      </c>
      <c r="J518" s="40" t="n">
        <v>0.05</v>
      </c>
    </row>
    <row r="519" customFormat="false" ht="15" hidden="false" customHeight="false" outlineLevel="0" collapsed="false">
      <c r="A519" s="37" t="s">
        <v>660</v>
      </c>
      <c r="B519" s="42" t="n">
        <v>45875</v>
      </c>
      <c r="C519" s="37" t="s">
        <v>154</v>
      </c>
      <c r="D519" s="37" t="s">
        <v>47</v>
      </c>
      <c r="E519" s="37" t="s">
        <v>97</v>
      </c>
      <c r="F519" s="37" t="s">
        <v>111</v>
      </c>
      <c r="G519" s="37" t="s">
        <v>90</v>
      </c>
      <c r="H519" s="37" t="n">
        <v>1</v>
      </c>
      <c r="I519" s="43" t="n">
        <v>2499</v>
      </c>
      <c r="J519" s="40" t="n">
        <v>0</v>
      </c>
    </row>
    <row r="520" customFormat="false" ht="15" hidden="false" customHeight="false" outlineLevel="0" collapsed="false">
      <c r="A520" s="37" t="s">
        <v>661</v>
      </c>
      <c r="B520" s="42" t="n">
        <v>45872</v>
      </c>
      <c r="C520" s="37" t="s">
        <v>146</v>
      </c>
      <c r="D520" s="37" t="s">
        <v>45</v>
      </c>
      <c r="E520" s="37" t="s">
        <v>97</v>
      </c>
      <c r="F520" s="37" t="s">
        <v>118</v>
      </c>
      <c r="G520" s="37" t="s">
        <v>91</v>
      </c>
      <c r="H520" s="37" t="n">
        <v>4</v>
      </c>
      <c r="I520" s="43" t="n">
        <v>2299</v>
      </c>
      <c r="J520" s="40" t="n">
        <v>0</v>
      </c>
    </row>
    <row r="521" customFormat="false" ht="15" hidden="false" customHeight="false" outlineLevel="0" collapsed="false">
      <c r="A521" s="37" t="s">
        <v>662</v>
      </c>
      <c r="B521" s="42" t="n">
        <v>45889</v>
      </c>
      <c r="C521" s="37" t="s">
        <v>146</v>
      </c>
      <c r="D521" s="37" t="s">
        <v>45</v>
      </c>
      <c r="E521" s="37" t="s">
        <v>97</v>
      </c>
      <c r="F521" s="37" t="s">
        <v>123</v>
      </c>
      <c r="G521" s="37" t="s">
        <v>93</v>
      </c>
      <c r="H521" s="37" t="n">
        <v>2</v>
      </c>
      <c r="I521" s="43" t="n">
        <v>1299</v>
      </c>
      <c r="J521" s="40" t="n">
        <v>0</v>
      </c>
    </row>
    <row r="522" customFormat="false" ht="15" hidden="false" customHeight="false" outlineLevel="0" collapsed="false">
      <c r="A522" s="37" t="s">
        <v>663</v>
      </c>
      <c r="B522" s="42" t="n">
        <v>45878</v>
      </c>
      <c r="C522" s="37" t="s">
        <v>136</v>
      </c>
      <c r="D522" s="37" t="s">
        <v>47</v>
      </c>
      <c r="E522" s="37" t="s">
        <v>96</v>
      </c>
      <c r="F522" s="37" t="s">
        <v>111</v>
      </c>
      <c r="G522" s="37" t="s">
        <v>90</v>
      </c>
      <c r="H522" s="37" t="n">
        <v>2</v>
      </c>
      <c r="I522" s="43" t="n">
        <v>2499</v>
      </c>
      <c r="J522" s="40" t="n">
        <v>0.25</v>
      </c>
    </row>
    <row r="523" customFormat="false" ht="15" hidden="false" customHeight="false" outlineLevel="0" collapsed="false">
      <c r="A523" s="37" t="s">
        <v>664</v>
      </c>
      <c r="B523" s="42" t="n">
        <v>45880</v>
      </c>
      <c r="C523" s="37" t="s">
        <v>134</v>
      </c>
      <c r="D523" s="37" t="s">
        <v>45</v>
      </c>
      <c r="E523" s="37" t="s">
        <v>97</v>
      </c>
      <c r="F523" s="37" t="s">
        <v>116</v>
      </c>
      <c r="G523" s="37" t="s">
        <v>91</v>
      </c>
      <c r="H523" s="37" t="n">
        <v>2</v>
      </c>
      <c r="I523" s="43" t="n">
        <v>899</v>
      </c>
      <c r="J523" s="40" t="n">
        <v>0</v>
      </c>
    </row>
    <row r="524" customFormat="false" ht="15" hidden="false" customHeight="false" outlineLevel="0" collapsed="false">
      <c r="A524" s="37" t="s">
        <v>665</v>
      </c>
      <c r="B524" s="42" t="n">
        <v>45882</v>
      </c>
      <c r="C524" s="37" t="s">
        <v>144</v>
      </c>
      <c r="D524" s="37" t="s">
        <v>45</v>
      </c>
      <c r="E524" s="37" t="s">
        <v>1148</v>
      </c>
      <c r="F524" s="37" t="s">
        <v>112</v>
      </c>
      <c r="G524" s="37" t="s">
        <v>92</v>
      </c>
      <c r="H524" s="37" t="n">
        <v>5</v>
      </c>
      <c r="I524" s="43" t="n">
        <v>3299</v>
      </c>
      <c r="J524" s="40" t="n">
        <v>0.1</v>
      </c>
    </row>
    <row r="525" customFormat="false" ht="15" hidden="false" customHeight="false" outlineLevel="0" collapsed="false">
      <c r="A525" s="37" t="s">
        <v>666</v>
      </c>
      <c r="B525" s="37" t="s">
        <v>1179</v>
      </c>
      <c r="C525" s="37" t="s">
        <v>146</v>
      </c>
      <c r="D525" s="37" t="s">
        <v>45</v>
      </c>
      <c r="E525" s="37" t="s">
        <v>96</v>
      </c>
      <c r="F525" s="37" t="s">
        <v>112</v>
      </c>
      <c r="G525" s="37" t="s">
        <v>92</v>
      </c>
      <c r="H525" s="37" t="n">
        <v>2</v>
      </c>
      <c r="I525" s="43" t="n">
        <v>3299</v>
      </c>
      <c r="J525" s="40" t="n">
        <v>0.3</v>
      </c>
    </row>
    <row r="526" customFormat="false" ht="15" hidden="false" customHeight="false" outlineLevel="0" collapsed="false">
      <c r="A526" s="37" t="s">
        <v>667</v>
      </c>
      <c r="B526" s="42" t="n">
        <v>45873</v>
      </c>
      <c r="C526" s="37" t="s">
        <v>134</v>
      </c>
      <c r="D526" s="37" t="s">
        <v>45</v>
      </c>
      <c r="E526" s="37" t="s">
        <v>96</v>
      </c>
      <c r="F526" s="37" t="s">
        <v>115</v>
      </c>
      <c r="G526" s="37" t="s">
        <v>92</v>
      </c>
      <c r="H526" s="37" t="n">
        <v>2</v>
      </c>
      <c r="I526" s="43" t="n">
        <v>1799</v>
      </c>
      <c r="J526" s="40" t="n">
        <v>0</v>
      </c>
    </row>
    <row r="527" customFormat="false" ht="15" hidden="false" customHeight="false" outlineLevel="0" collapsed="false">
      <c r="A527" s="37" t="s">
        <v>668</v>
      </c>
      <c r="B527" s="42" t="n">
        <v>45900</v>
      </c>
      <c r="C527" s="37" t="s">
        <v>136</v>
      </c>
      <c r="D527" s="37" t="s">
        <v>47</v>
      </c>
      <c r="E527" s="37" t="s">
        <v>96</v>
      </c>
      <c r="F527" s="37" t="s">
        <v>120</v>
      </c>
      <c r="G527" s="37" t="s">
        <v>93</v>
      </c>
      <c r="H527" s="37" t="n">
        <v>3</v>
      </c>
      <c r="I527" s="43" t="n">
        <v>449</v>
      </c>
      <c r="J527" s="40" t="n">
        <v>0.1</v>
      </c>
    </row>
    <row r="528" customFormat="false" ht="15" hidden="false" customHeight="false" outlineLevel="0" collapsed="false">
      <c r="A528" s="37" t="s">
        <v>669</v>
      </c>
      <c r="B528" s="42" t="n">
        <v>45875</v>
      </c>
      <c r="C528" s="37" t="s">
        <v>142</v>
      </c>
      <c r="D528" s="37" t="s">
        <v>47</v>
      </c>
      <c r="E528" s="37" t="s">
        <v>96</v>
      </c>
      <c r="F528" s="37" t="s">
        <v>115</v>
      </c>
      <c r="G528" s="37" t="s">
        <v>92</v>
      </c>
      <c r="H528" s="37" t="n">
        <v>3</v>
      </c>
      <c r="I528" s="43" t="n">
        <v>1799</v>
      </c>
      <c r="J528" s="40" t="n">
        <v>0.15</v>
      </c>
    </row>
    <row r="529" customFormat="false" ht="15" hidden="false" customHeight="false" outlineLevel="0" collapsed="false">
      <c r="A529" s="37" t="s">
        <v>670</v>
      </c>
      <c r="B529" s="42" t="n">
        <v>45878</v>
      </c>
      <c r="C529" s="37" t="s">
        <v>169</v>
      </c>
      <c r="D529" s="37" t="s">
        <v>44</v>
      </c>
      <c r="E529" s="37" t="s">
        <v>96</v>
      </c>
      <c r="F529" s="37" t="s">
        <v>117</v>
      </c>
      <c r="G529" s="37" t="s">
        <v>91</v>
      </c>
      <c r="H529" s="37" t="n">
        <v>2</v>
      </c>
      <c r="I529" s="43" t="n">
        <v>1499</v>
      </c>
      <c r="J529" s="40" t="n">
        <v>0.15</v>
      </c>
    </row>
    <row r="530" customFormat="false" ht="15" hidden="false" customHeight="false" outlineLevel="0" collapsed="false">
      <c r="A530" s="37" t="s">
        <v>671</v>
      </c>
      <c r="B530" s="42" t="n">
        <v>45888</v>
      </c>
      <c r="C530" s="37" t="s">
        <v>169</v>
      </c>
      <c r="D530" s="37" t="s">
        <v>44</v>
      </c>
      <c r="E530" s="37" t="s">
        <v>96</v>
      </c>
      <c r="F530" s="37" t="s">
        <v>115</v>
      </c>
      <c r="G530" s="37" t="s">
        <v>92</v>
      </c>
      <c r="H530" s="37" t="n">
        <v>2</v>
      </c>
      <c r="I530" s="43" t="n">
        <v>1799</v>
      </c>
      <c r="J530" s="40" t="n">
        <v>0.2</v>
      </c>
    </row>
    <row r="531" customFormat="false" ht="15" hidden="false" customHeight="false" outlineLevel="0" collapsed="false">
      <c r="A531" s="37" t="s">
        <v>672</v>
      </c>
      <c r="B531" s="42" t="n">
        <v>45873</v>
      </c>
      <c r="C531" s="37" t="s">
        <v>1180</v>
      </c>
      <c r="D531" s="37" t="s">
        <v>44</v>
      </c>
      <c r="E531" s="37" t="s">
        <v>97</v>
      </c>
      <c r="F531" s="37" t="s">
        <v>109</v>
      </c>
      <c r="G531" s="37" t="s">
        <v>90</v>
      </c>
      <c r="H531" s="37" t="n">
        <v>2</v>
      </c>
      <c r="I531" s="43" t="n">
        <v>3499</v>
      </c>
      <c r="J531" s="40" t="n">
        <v>0.05</v>
      </c>
    </row>
    <row r="532" customFormat="false" ht="15" hidden="false" customHeight="false" outlineLevel="0" collapsed="false">
      <c r="A532" s="37" t="s">
        <v>673</v>
      </c>
      <c r="B532" s="42" t="n">
        <v>45870</v>
      </c>
      <c r="C532" s="37" t="s">
        <v>1155</v>
      </c>
      <c r="D532" s="37" t="s">
        <v>45</v>
      </c>
      <c r="E532" s="37" t="s">
        <v>97</v>
      </c>
      <c r="F532" s="37" t="s">
        <v>123</v>
      </c>
      <c r="G532" s="37" t="s">
        <v>93</v>
      </c>
      <c r="H532" s="37" t="n">
        <v>1</v>
      </c>
      <c r="I532" s="43" t="n">
        <v>1299</v>
      </c>
      <c r="J532" s="40" t="n">
        <v>0.05</v>
      </c>
    </row>
    <row r="533" customFormat="false" ht="15" hidden="false" customHeight="false" outlineLevel="0" collapsed="false">
      <c r="A533" s="37" t="s">
        <v>674</v>
      </c>
      <c r="B533" s="42" t="n">
        <v>45884</v>
      </c>
      <c r="C533" s="37" t="s">
        <v>146</v>
      </c>
      <c r="D533" s="37" t="s">
        <v>45</v>
      </c>
      <c r="E533" s="37" t="s">
        <v>96</v>
      </c>
      <c r="F533" s="37" t="s">
        <v>110</v>
      </c>
      <c r="G533" s="37" t="s">
        <v>90</v>
      </c>
      <c r="H533" s="37" t="n">
        <v>2</v>
      </c>
      <c r="I533" s="43" t="n">
        <v>1299</v>
      </c>
      <c r="J533" s="37" t="s">
        <v>1181</v>
      </c>
    </row>
    <row r="534" customFormat="false" ht="15" hidden="false" customHeight="false" outlineLevel="0" collapsed="false">
      <c r="A534" s="37" t="s">
        <v>675</v>
      </c>
      <c r="B534" s="42" t="n">
        <v>45893</v>
      </c>
      <c r="C534" s="37" t="s">
        <v>172</v>
      </c>
      <c r="D534" s="37" t="s">
        <v>46</v>
      </c>
      <c r="E534" s="37" t="s">
        <v>96</v>
      </c>
      <c r="F534" s="37" t="s">
        <v>122</v>
      </c>
      <c r="G534" s="37" t="s">
        <v>93</v>
      </c>
      <c r="H534" s="37" t="n">
        <v>2</v>
      </c>
      <c r="I534" s="43" t="n">
        <v>1799</v>
      </c>
      <c r="J534" s="40" t="n">
        <v>0.05</v>
      </c>
    </row>
    <row r="535" customFormat="false" ht="15" hidden="false" customHeight="false" outlineLevel="0" collapsed="false">
      <c r="A535" s="37" t="s">
        <v>676</v>
      </c>
      <c r="B535" s="42" t="n">
        <v>45894</v>
      </c>
      <c r="C535" s="37" t="s">
        <v>146</v>
      </c>
      <c r="D535" s="37" t="s">
        <v>45</v>
      </c>
      <c r="E535" s="37" t="s">
        <v>97</v>
      </c>
      <c r="F535" s="37" t="s">
        <v>109</v>
      </c>
      <c r="G535" s="37" t="s">
        <v>90</v>
      </c>
      <c r="H535" s="37" t="n">
        <v>5</v>
      </c>
      <c r="I535" s="43" t="n">
        <v>3499</v>
      </c>
      <c r="J535" s="40" t="n">
        <v>0.1</v>
      </c>
    </row>
    <row r="536" customFormat="false" ht="15" hidden="false" customHeight="false" outlineLevel="0" collapsed="false">
      <c r="A536" s="37" t="s">
        <v>677</v>
      </c>
      <c r="B536" s="42" t="n">
        <v>45877</v>
      </c>
      <c r="C536" s="37" t="s">
        <v>154</v>
      </c>
      <c r="D536" s="37" t="s">
        <v>47</v>
      </c>
      <c r="E536" s="37" t="s">
        <v>97</v>
      </c>
      <c r="F536" s="37" t="s">
        <v>122</v>
      </c>
      <c r="G536" s="37" t="s">
        <v>93</v>
      </c>
      <c r="H536" s="37" t="n">
        <v>3</v>
      </c>
      <c r="I536" s="43" t="n">
        <v>1799</v>
      </c>
      <c r="J536" s="40" t="n">
        <v>0.05</v>
      </c>
    </row>
    <row r="537" customFormat="false" ht="15" hidden="false" customHeight="false" outlineLevel="0" collapsed="false">
      <c r="A537" s="37" t="s">
        <v>678</v>
      </c>
      <c r="B537" s="42" t="n">
        <v>45882</v>
      </c>
      <c r="C537" s="37" t="s">
        <v>146</v>
      </c>
      <c r="D537" s="37" t="s">
        <v>45</v>
      </c>
      <c r="E537" s="37" t="s">
        <v>96</v>
      </c>
      <c r="F537" s="37" t="s">
        <v>110</v>
      </c>
      <c r="G537" s="37" t="s">
        <v>90</v>
      </c>
      <c r="H537" s="37" t="n">
        <v>2</v>
      </c>
      <c r="I537" s="43" t="n">
        <v>1299</v>
      </c>
      <c r="J537" s="40" t="n">
        <v>0.15</v>
      </c>
    </row>
    <row r="538" customFormat="false" ht="15" hidden="false" customHeight="false" outlineLevel="0" collapsed="false">
      <c r="A538" s="37" t="s">
        <v>679</v>
      </c>
      <c r="B538" s="42" t="n">
        <v>45882</v>
      </c>
      <c r="C538" s="37" t="s">
        <v>144</v>
      </c>
      <c r="D538" s="37" t="s">
        <v>45</v>
      </c>
      <c r="E538" s="37" t="s">
        <v>97</v>
      </c>
      <c r="F538" s="37" t="s">
        <v>120</v>
      </c>
      <c r="G538" s="37" t="s">
        <v>93</v>
      </c>
      <c r="H538" s="37" t="n">
        <v>1</v>
      </c>
      <c r="I538" s="43" t="n">
        <v>449</v>
      </c>
      <c r="J538" s="40" t="n">
        <v>0</v>
      </c>
    </row>
    <row r="539" customFormat="false" ht="15" hidden="false" customHeight="false" outlineLevel="0" collapsed="false">
      <c r="A539" s="37" t="s">
        <v>680</v>
      </c>
      <c r="B539" s="42" t="n">
        <v>45874</v>
      </c>
      <c r="C539" s="37" t="s">
        <v>166</v>
      </c>
      <c r="D539" s="37" t="s">
        <v>44</v>
      </c>
      <c r="E539" s="37" t="s">
        <v>96</v>
      </c>
      <c r="F539" s="37" t="s">
        <v>118</v>
      </c>
      <c r="G539" s="37" t="s">
        <v>91</v>
      </c>
      <c r="H539" s="37" t="n">
        <v>1</v>
      </c>
      <c r="I539" s="43" t="n">
        <v>2299</v>
      </c>
      <c r="J539" s="40" t="n">
        <v>0.1</v>
      </c>
    </row>
    <row r="540" customFormat="false" ht="15" hidden="false" customHeight="false" outlineLevel="0" collapsed="false">
      <c r="A540" s="37" t="s">
        <v>681</v>
      </c>
      <c r="B540" s="42" t="n">
        <v>45887</v>
      </c>
      <c r="C540" s="37" t="s">
        <v>140</v>
      </c>
      <c r="D540" s="37" t="s">
        <v>44</v>
      </c>
      <c r="E540" s="37" t="s">
        <v>97</v>
      </c>
      <c r="F540" s="37" t="s">
        <v>109</v>
      </c>
      <c r="G540" s="37" t="s">
        <v>90</v>
      </c>
      <c r="H540" s="37" t="n">
        <v>1</v>
      </c>
      <c r="I540" s="43" t="n">
        <v>3499</v>
      </c>
      <c r="J540" s="40" t="n">
        <v>0.1</v>
      </c>
    </row>
    <row r="541" customFormat="false" ht="15" hidden="false" customHeight="false" outlineLevel="0" collapsed="false">
      <c r="A541" s="37" t="s">
        <v>682</v>
      </c>
      <c r="B541" s="42" t="n">
        <v>45891</v>
      </c>
      <c r="C541" s="37" t="s">
        <v>146</v>
      </c>
      <c r="D541" s="37" t="s">
        <v>45</v>
      </c>
      <c r="E541" s="37" t="s">
        <v>96</v>
      </c>
      <c r="F541" s="37" t="s">
        <v>109</v>
      </c>
      <c r="G541" s="37" t="s">
        <v>90</v>
      </c>
      <c r="H541" s="37" t="n">
        <v>1</v>
      </c>
      <c r="I541" s="43" t="n">
        <v>3499</v>
      </c>
      <c r="J541" s="40" t="n">
        <v>0.25</v>
      </c>
    </row>
    <row r="542" customFormat="false" ht="15" hidden="false" customHeight="false" outlineLevel="0" collapsed="false">
      <c r="A542" s="37" t="s">
        <v>683</v>
      </c>
      <c r="B542" s="42" t="n">
        <v>45899</v>
      </c>
      <c r="C542" s="37" t="s">
        <v>136</v>
      </c>
      <c r="D542" s="37" t="s">
        <v>47</v>
      </c>
      <c r="E542" s="37" t="s">
        <v>97</v>
      </c>
      <c r="F542" s="37" t="s">
        <v>112</v>
      </c>
      <c r="G542" s="37" t="s">
        <v>92</v>
      </c>
      <c r="H542" s="37" t="n">
        <v>1</v>
      </c>
      <c r="I542" s="43" t="n">
        <v>3299</v>
      </c>
      <c r="J542" s="40" t="n">
        <v>0</v>
      </c>
    </row>
    <row r="543" customFormat="false" ht="15" hidden="false" customHeight="false" outlineLevel="0" collapsed="false">
      <c r="A543" s="37" t="s">
        <v>684</v>
      </c>
      <c r="B543" s="42" t="n">
        <v>45878</v>
      </c>
      <c r="C543" s="37" t="s">
        <v>169</v>
      </c>
      <c r="D543" s="37" t="s">
        <v>44</v>
      </c>
      <c r="E543" s="37" t="s">
        <v>96</v>
      </c>
      <c r="F543" s="37" t="s">
        <v>108</v>
      </c>
      <c r="G543" s="37" t="s">
        <v>90</v>
      </c>
      <c r="H543" s="37" t="n">
        <v>1</v>
      </c>
      <c r="I543" s="43" t="n">
        <v>1999</v>
      </c>
      <c r="J543" s="40" t="n">
        <v>0.1</v>
      </c>
    </row>
    <row r="544" customFormat="false" ht="15" hidden="false" customHeight="false" outlineLevel="0" collapsed="false">
      <c r="A544" s="37" t="s">
        <v>685</v>
      </c>
      <c r="B544" s="42" t="n">
        <v>45876</v>
      </c>
      <c r="C544" s="37" t="s">
        <v>144</v>
      </c>
      <c r="D544" s="37" t="s">
        <v>45</v>
      </c>
      <c r="E544" s="37" t="s">
        <v>96</v>
      </c>
      <c r="F544" s="37" t="s">
        <v>108</v>
      </c>
      <c r="G544" s="37" t="s">
        <v>90</v>
      </c>
      <c r="H544" s="37" t="n">
        <v>3</v>
      </c>
      <c r="I544" s="43" t="n">
        <v>1999</v>
      </c>
      <c r="J544" s="40" t="n">
        <v>0.2</v>
      </c>
    </row>
    <row r="545" customFormat="false" ht="15" hidden="false" customHeight="false" outlineLevel="0" collapsed="false">
      <c r="A545" s="37" t="s">
        <v>686</v>
      </c>
      <c r="B545" s="42" t="n">
        <v>45900</v>
      </c>
      <c r="C545" s="37" t="s">
        <v>140</v>
      </c>
      <c r="D545" s="37" t="s">
        <v>44</v>
      </c>
      <c r="E545" s="37" t="s">
        <v>97</v>
      </c>
      <c r="F545" s="37" t="s">
        <v>118</v>
      </c>
      <c r="G545" s="37" t="s">
        <v>91</v>
      </c>
      <c r="H545" s="37" t="n">
        <v>2</v>
      </c>
      <c r="I545" s="43" t="n">
        <v>2299</v>
      </c>
      <c r="J545" s="40" t="n">
        <v>0.15</v>
      </c>
    </row>
    <row r="546" customFormat="false" ht="15" hidden="false" customHeight="false" outlineLevel="0" collapsed="false">
      <c r="A546" s="37" t="s">
        <v>687</v>
      </c>
      <c r="B546" s="42" t="n">
        <v>45895</v>
      </c>
      <c r="C546" s="37" t="s">
        <v>144</v>
      </c>
      <c r="D546" s="37" t="s">
        <v>45</v>
      </c>
      <c r="E546" s="37" t="s">
        <v>96</v>
      </c>
      <c r="F546" s="37" t="s">
        <v>116</v>
      </c>
      <c r="G546" s="37" t="s">
        <v>91</v>
      </c>
      <c r="H546" s="37" t="n">
        <v>1</v>
      </c>
      <c r="I546" s="43" t="n">
        <v>899</v>
      </c>
      <c r="J546" s="40" t="n">
        <v>0.1</v>
      </c>
    </row>
    <row r="547" customFormat="false" ht="15" hidden="false" customHeight="false" outlineLevel="0" collapsed="false">
      <c r="A547" s="37" t="s">
        <v>688</v>
      </c>
      <c r="B547" s="42" t="n">
        <v>45879</v>
      </c>
      <c r="C547" s="37" t="s">
        <v>136</v>
      </c>
      <c r="D547" s="37" t="s">
        <v>47</v>
      </c>
      <c r="E547" s="37" t="s">
        <v>96</v>
      </c>
      <c r="F547" s="37" t="s">
        <v>112</v>
      </c>
      <c r="G547" s="37" t="s">
        <v>92</v>
      </c>
      <c r="H547" s="37" t="n">
        <v>1</v>
      </c>
      <c r="I547" s="43" t="n">
        <v>3299</v>
      </c>
      <c r="J547" s="40" t="n">
        <v>0.1</v>
      </c>
    </row>
    <row r="548" customFormat="false" ht="15" hidden="false" customHeight="false" outlineLevel="0" collapsed="false">
      <c r="A548" s="37" t="s">
        <v>689</v>
      </c>
      <c r="B548" s="42" t="n">
        <v>45888</v>
      </c>
      <c r="C548" s="37" t="s">
        <v>138</v>
      </c>
      <c r="D548" s="37" t="s">
        <v>46</v>
      </c>
      <c r="E548" s="37" t="s">
        <v>96</v>
      </c>
      <c r="F548" s="37" t="s">
        <v>108</v>
      </c>
      <c r="G548" s="37" t="s">
        <v>90</v>
      </c>
      <c r="H548" s="37" t="n">
        <v>3</v>
      </c>
      <c r="I548" s="43" t="n">
        <v>1999</v>
      </c>
      <c r="J548" s="40" t="n">
        <v>0.15</v>
      </c>
    </row>
    <row r="549" customFormat="false" ht="15" hidden="false" customHeight="false" outlineLevel="0" collapsed="false">
      <c r="A549" s="37" t="s">
        <v>690</v>
      </c>
      <c r="B549" s="42" t="n">
        <v>45887</v>
      </c>
      <c r="C549" s="37" t="s">
        <v>142</v>
      </c>
      <c r="D549" s="37" t="s">
        <v>47</v>
      </c>
      <c r="E549" s="37" t="s">
        <v>96</v>
      </c>
      <c r="F549" s="37" t="s">
        <v>109</v>
      </c>
      <c r="G549" s="37" t="s">
        <v>90</v>
      </c>
      <c r="H549" s="37" t="n">
        <v>1</v>
      </c>
      <c r="I549" s="43" t="n">
        <v>3499</v>
      </c>
      <c r="J549" s="40" t="n">
        <v>0.1</v>
      </c>
    </row>
    <row r="550" customFormat="false" ht="15" hidden="false" customHeight="false" outlineLevel="0" collapsed="false">
      <c r="A550" s="37" t="s">
        <v>691</v>
      </c>
      <c r="B550" s="42" t="n">
        <v>45884</v>
      </c>
      <c r="C550" s="37" t="s">
        <v>146</v>
      </c>
      <c r="D550" s="37" t="s">
        <v>45</v>
      </c>
      <c r="E550" s="37" t="s">
        <v>96</v>
      </c>
      <c r="F550" s="37" t="s">
        <v>118</v>
      </c>
      <c r="G550" s="37" t="s">
        <v>91</v>
      </c>
      <c r="H550" s="37" t="n">
        <v>1</v>
      </c>
      <c r="I550" s="43" t="n">
        <v>2299</v>
      </c>
      <c r="J550" s="40" t="n">
        <v>0.05</v>
      </c>
    </row>
    <row r="551" customFormat="false" ht="15" hidden="false" customHeight="false" outlineLevel="0" collapsed="false">
      <c r="A551" s="37" t="s">
        <v>692</v>
      </c>
      <c r="B551" s="42" t="n">
        <v>45872</v>
      </c>
      <c r="C551" s="37" t="s">
        <v>140</v>
      </c>
      <c r="D551" s="37" t="s">
        <v>44</v>
      </c>
      <c r="E551" s="37" t="s">
        <v>97</v>
      </c>
      <c r="F551" s="37" t="s">
        <v>121</v>
      </c>
      <c r="G551" s="37" t="s">
        <v>93</v>
      </c>
      <c r="H551" s="37" t="n">
        <v>2</v>
      </c>
      <c r="I551" s="43" t="n">
        <v>999</v>
      </c>
      <c r="J551" s="40" t="n">
        <v>0.1</v>
      </c>
    </row>
    <row r="552" customFormat="false" ht="15" hidden="false" customHeight="false" outlineLevel="0" collapsed="false">
      <c r="A552" s="37" t="s">
        <v>693</v>
      </c>
      <c r="B552" s="42" t="n">
        <v>45873</v>
      </c>
      <c r="C552" s="37" t="s">
        <v>144</v>
      </c>
      <c r="D552" s="37" t="s">
        <v>45</v>
      </c>
      <c r="E552" s="37" t="s">
        <v>97</v>
      </c>
      <c r="F552" s="37" t="s">
        <v>119</v>
      </c>
      <c r="G552" s="37" t="s">
        <v>91</v>
      </c>
      <c r="H552" s="37" t="n">
        <v>1</v>
      </c>
      <c r="I552" s="43" t="n">
        <v>1099</v>
      </c>
      <c r="J552" s="40" t="n">
        <v>0</v>
      </c>
    </row>
    <row r="553" customFormat="false" ht="15" hidden="false" customHeight="false" outlineLevel="0" collapsed="false">
      <c r="A553" s="37" t="s">
        <v>694</v>
      </c>
      <c r="B553" s="42" t="n">
        <v>45893</v>
      </c>
      <c r="C553" s="37" t="s">
        <v>160</v>
      </c>
      <c r="D553" s="37" t="s">
        <v>46</v>
      </c>
      <c r="E553" s="37" t="s">
        <v>96</v>
      </c>
      <c r="F553" s="37" t="s">
        <v>113</v>
      </c>
      <c r="G553" s="37" t="s">
        <v>92</v>
      </c>
      <c r="H553" s="37" t="n">
        <v>3</v>
      </c>
      <c r="I553" s="43" t="n">
        <v>2199</v>
      </c>
      <c r="J553" s="40" t="n">
        <v>0.2</v>
      </c>
    </row>
    <row r="554" customFormat="false" ht="15" hidden="false" customHeight="false" outlineLevel="0" collapsed="false">
      <c r="A554" s="37" t="s">
        <v>695</v>
      </c>
      <c r="B554" s="42" t="n">
        <v>45871</v>
      </c>
      <c r="C554" s="37" t="s">
        <v>136</v>
      </c>
      <c r="D554" s="37" t="s">
        <v>47</v>
      </c>
      <c r="E554" s="37" t="s">
        <v>97</v>
      </c>
      <c r="F554" s="37" t="s">
        <v>108</v>
      </c>
      <c r="G554" s="37" t="s">
        <v>90</v>
      </c>
      <c r="H554" s="37" t="n">
        <v>4</v>
      </c>
      <c r="I554" s="43" t="n">
        <v>1999</v>
      </c>
      <c r="J554" s="40" t="n">
        <v>0</v>
      </c>
    </row>
    <row r="555" customFormat="false" ht="15" hidden="false" customHeight="false" outlineLevel="0" collapsed="false">
      <c r="A555" s="37" t="s">
        <v>696</v>
      </c>
      <c r="B555" s="42" t="n">
        <v>45890</v>
      </c>
      <c r="C555" s="37" t="s">
        <v>169</v>
      </c>
      <c r="D555" s="37" t="s">
        <v>44</v>
      </c>
      <c r="E555" s="37" t="s">
        <v>97</v>
      </c>
      <c r="F555" s="37" t="s">
        <v>116</v>
      </c>
      <c r="G555" s="37" t="s">
        <v>91</v>
      </c>
      <c r="H555" s="37" t="n">
        <v>2</v>
      </c>
      <c r="I555" s="43" t="n">
        <v>899</v>
      </c>
      <c r="J555" s="40" t="n">
        <v>0.1</v>
      </c>
    </row>
    <row r="556" customFormat="false" ht="15" hidden="false" customHeight="false" outlineLevel="0" collapsed="false">
      <c r="A556" s="37" t="s">
        <v>697</v>
      </c>
      <c r="B556" s="42" t="n">
        <v>45887</v>
      </c>
      <c r="C556" s="37" t="s">
        <v>134</v>
      </c>
      <c r="D556" s="37" t="s">
        <v>45</v>
      </c>
      <c r="E556" s="37" t="s">
        <v>96</v>
      </c>
      <c r="F556" s="37" t="s">
        <v>118</v>
      </c>
      <c r="G556" s="37" t="s">
        <v>91</v>
      </c>
      <c r="H556" s="37" t="n">
        <v>5</v>
      </c>
      <c r="I556" s="43" t="n">
        <v>2299</v>
      </c>
      <c r="J556" s="40" t="n">
        <v>0.15</v>
      </c>
    </row>
    <row r="557" customFormat="false" ht="15" hidden="false" customHeight="false" outlineLevel="0" collapsed="false">
      <c r="A557" s="37" t="s">
        <v>698</v>
      </c>
      <c r="B557" s="42" t="n">
        <v>45876</v>
      </c>
      <c r="C557" s="37" t="s">
        <v>142</v>
      </c>
      <c r="D557" s="37" t="s">
        <v>47</v>
      </c>
      <c r="E557" s="37" t="s">
        <v>96</v>
      </c>
      <c r="F557" s="37" t="s">
        <v>108</v>
      </c>
      <c r="G557" s="37" t="s">
        <v>90</v>
      </c>
      <c r="H557" s="37" t="n">
        <v>1</v>
      </c>
      <c r="I557" s="43" t="n">
        <v>1999</v>
      </c>
      <c r="J557" s="40" t="n">
        <v>0.15</v>
      </c>
    </row>
    <row r="558" customFormat="false" ht="15" hidden="false" customHeight="false" outlineLevel="0" collapsed="false">
      <c r="A558" s="37" t="s">
        <v>699</v>
      </c>
      <c r="B558" s="42" t="n">
        <v>45883</v>
      </c>
      <c r="C558" s="37" t="s">
        <v>154</v>
      </c>
      <c r="D558" s="37" t="s">
        <v>47</v>
      </c>
      <c r="E558" s="37" t="s">
        <v>1148</v>
      </c>
      <c r="F558" s="37" t="s">
        <v>121</v>
      </c>
      <c r="G558" s="37" t="s">
        <v>93</v>
      </c>
      <c r="H558" s="37" t="n">
        <v>1</v>
      </c>
      <c r="I558" s="43" t="n">
        <v>999</v>
      </c>
      <c r="J558" s="40" t="n">
        <v>0</v>
      </c>
    </row>
    <row r="559" customFormat="false" ht="15" hidden="false" customHeight="false" outlineLevel="0" collapsed="false">
      <c r="A559" s="37" t="s">
        <v>700</v>
      </c>
      <c r="B559" s="42" t="n">
        <v>45887</v>
      </c>
      <c r="C559" s="37" t="s">
        <v>160</v>
      </c>
      <c r="D559" s="37" t="s">
        <v>46</v>
      </c>
      <c r="E559" s="37" t="s">
        <v>97</v>
      </c>
      <c r="F559" s="37" t="s">
        <v>113</v>
      </c>
      <c r="G559" s="37" t="s">
        <v>92</v>
      </c>
      <c r="H559" s="37" t="n">
        <v>2</v>
      </c>
      <c r="I559" s="43" t="n">
        <v>2199</v>
      </c>
      <c r="J559" s="40" t="n">
        <v>0</v>
      </c>
    </row>
    <row r="560" customFormat="false" ht="15" hidden="false" customHeight="false" outlineLevel="0" collapsed="false">
      <c r="A560" s="37" t="s">
        <v>701</v>
      </c>
      <c r="B560" s="42" t="n">
        <v>45878</v>
      </c>
      <c r="C560" s="37" t="s">
        <v>136</v>
      </c>
      <c r="D560" s="37" t="s">
        <v>47</v>
      </c>
      <c r="E560" s="37" t="s">
        <v>1153</v>
      </c>
      <c r="F560" s="37" t="s">
        <v>119</v>
      </c>
      <c r="G560" s="37" t="s">
        <v>91</v>
      </c>
      <c r="H560" s="37" t="n">
        <v>1</v>
      </c>
      <c r="I560" s="43" t="n">
        <v>1099</v>
      </c>
      <c r="J560" s="40" t="n">
        <v>0.1</v>
      </c>
    </row>
    <row r="561" customFormat="false" ht="15" hidden="false" customHeight="false" outlineLevel="0" collapsed="false">
      <c r="A561" s="37" t="s">
        <v>702</v>
      </c>
      <c r="B561" s="42" t="n">
        <v>45881</v>
      </c>
      <c r="C561" s="37" t="s">
        <v>172</v>
      </c>
      <c r="D561" s="37" t="s">
        <v>46</v>
      </c>
      <c r="E561" s="37" t="s">
        <v>96</v>
      </c>
      <c r="F561" s="37" t="s">
        <v>117</v>
      </c>
      <c r="G561" s="37" t="s">
        <v>91</v>
      </c>
      <c r="H561" s="37" t="n">
        <v>1</v>
      </c>
      <c r="I561" s="43" t="n">
        <v>1499</v>
      </c>
      <c r="J561" s="40" t="n">
        <v>0.1</v>
      </c>
    </row>
    <row r="562" customFormat="false" ht="15" hidden="false" customHeight="false" outlineLevel="0" collapsed="false">
      <c r="A562" s="37" t="s">
        <v>703</v>
      </c>
      <c r="B562" s="42" t="n">
        <v>45875</v>
      </c>
      <c r="C562" s="37" t="s">
        <v>166</v>
      </c>
      <c r="D562" s="37" t="s">
        <v>44</v>
      </c>
      <c r="E562" s="37" t="s">
        <v>96</v>
      </c>
      <c r="F562" s="37" t="s">
        <v>115</v>
      </c>
      <c r="G562" s="37" t="s">
        <v>92</v>
      </c>
      <c r="H562" s="37" t="n">
        <v>5</v>
      </c>
      <c r="I562" s="43" t="n">
        <v>1799</v>
      </c>
      <c r="J562" s="40" t="n">
        <v>0.1</v>
      </c>
    </row>
    <row r="563" customFormat="false" ht="15" hidden="false" customHeight="false" outlineLevel="0" collapsed="false">
      <c r="A563" s="37" t="s">
        <v>704</v>
      </c>
      <c r="B563" s="42" t="n">
        <v>45893</v>
      </c>
      <c r="C563" s="37" t="s">
        <v>146</v>
      </c>
      <c r="D563" s="37" t="s">
        <v>45</v>
      </c>
      <c r="E563" s="37" t="s">
        <v>96</v>
      </c>
      <c r="F563" s="37" t="s">
        <v>115</v>
      </c>
      <c r="G563" s="37" t="s">
        <v>92</v>
      </c>
      <c r="H563" s="37" t="n">
        <v>1</v>
      </c>
      <c r="I563" s="43" t="n">
        <v>1799</v>
      </c>
      <c r="J563" s="40" t="n">
        <v>0.1</v>
      </c>
    </row>
    <row r="564" customFormat="false" ht="15" hidden="false" customHeight="false" outlineLevel="0" collapsed="false">
      <c r="A564" s="37" t="s">
        <v>705</v>
      </c>
      <c r="B564" s="42" t="n">
        <v>45875</v>
      </c>
      <c r="C564" s="37" t="s">
        <v>144</v>
      </c>
      <c r="D564" s="37" t="s">
        <v>45</v>
      </c>
      <c r="E564" s="37" t="s">
        <v>96</v>
      </c>
      <c r="F564" s="37" t="s">
        <v>117</v>
      </c>
      <c r="G564" s="37" t="s">
        <v>91</v>
      </c>
      <c r="H564" s="37" t="n">
        <v>1</v>
      </c>
      <c r="I564" s="43" t="n">
        <v>1499</v>
      </c>
      <c r="J564" s="40" t="n">
        <v>0</v>
      </c>
    </row>
    <row r="565" customFormat="false" ht="15" hidden="false" customHeight="false" outlineLevel="0" collapsed="false">
      <c r="A565" s="37" t="s">
        <v>706</v>
      </c>
      <c r="B565" s="42" t="n">
        <v>45889</v>
      </c>
      <c r="C565" s="37" t="s">
        <v>169</v>
      </c>
      <c r="D565" s="37" t="s">
        <v>44</v>
      </c>
      <c r="E565" s="37" t="s">
        <v>97</v>
      </c>
      <c r="F565" s="37" t="s">
        <v>110</v>
      </c>
      <c r="G565" s="37" t="s">
        <v>90</v>
      </c>
      <c r="H565" s="37" t="n">
        <v>2</v>
      </c>
      <c r="I565" s="43" t="n">
        <v>1299</v>
      </c>
      <c r="J565" s="40" t="n">
        <v>0</v>
      </c>
    </row>
    <row r="566" customFormat="false" ht="15" hidden="false" customHeight="false" outlineLevel="0" collapsed="false">
      <c r="A566" s="37" t="s">
        <v>707</v>
      </c>
      <c r="B566" s="42" t="n">
        <v>45890</v>
      </c>
      <c r="C566" s="37" t="s">
        <v>146</v>
      </c>
      <c r="D566" s="37" t="s">
        <v>45</v>
      </c>
      <c r="E566" s="37" t="s">
        <v>96</v>
      </c>
      <c r="F566" s="37" t="s">
        <v>110</v>
      </c>
      <c r="G566" s="37" t="s">
        <v>90</v>
      </c>
      <c r="H566" s="37" t="n">
        <v>2</v>
      </c>
      <c r="I566" s="43" t="n">
        <v>1299</v>
      </c>
      <c r="J566" s="40" t="n">
        <v>0.1</v>
      </c>
    </row>
    <row r="567" customFormat="false" ht="15" hidden="false" customHeight="false" outlineLevel="0" collapsed="false">
      <c r="A567" s="37" t="s">
        <v>708</v>
      </c>
      <c r="B567" s="42" t="n">
        <v>45888</v>
      </c>
      <c r="C567" s="37" t="s">
        <v>136</v>
      </c>
      <c r="D567" s="37" t="s">
        <v>47</v>
      </c>
      <c r="E567" s="37" t="s">
        <v>97</v>
      </c>
      <c r="F567" s="37" t="s">
        <v>108</v>
      </c>
      <c r="G567" s="37" t="s">
        <v>90</v>
      </c>
      <c r="H567" s="37" t="n">
        <v>1</v>
      </c>
      <c r="I567" s="43" t="n">
        <v>1999</v>
      </c>
      <c r="J567" s="40" t="n">
        <v>0.05</v>
      </c>
    </row>
    <row r="568" customFormat="false" ht="15" hidden="false" customHeight="false" outlineLevel="0" collapsed="false">
      <c r="A568" s="37" t="s">
        <v>709</v>
      </c>
      <c r="B568" s="42" t="n">
        <v>45886</v>
      </c>
      <c r="C568" s="37" t="s">
        <v>1155</v>
      </c>
      <c r="D568" s="37" t="s">
        <v>45</v>
      </c>
      <c r="E568" s="37" t="s">
        <v>96</v>
      </c>
      <c r="F568" s="37" t="s">
        <v>108</v>
      </c>
      <c r="G568" s="37" t="s">
        <v>90</v>
      </c>
      <c r="H568" s="37" t="n">
        <v>1</v>
      </c>
      <c r="I568" s="43" t="n">
        <v>1999</v>
      </c>
      <c r="J568" s="37" t="s">
        <v>1160</v>
      </c>
    </row>
    <row r="569" customFormat="false" ht="15" hidden="false" customHeight="false" outlineLevel="0" collapsed="false">
      <c r="A569" s="37" t="s">
        <v>710</v>
      </c>
      <c r="B569" s="42" t="n">
        <v>45870</v>
      </c>
      <c r="C569" s="37" t="s">
        <v>169</v>
      </c>
      <c r="D569" s="37" t="s">
        <v>44</v>
      </c>
      <c r="E569" s="37" t="s">
        <v>96</v>
      </c>
      <c r="F569" s="37" t="s">
        <v>109</v>
      </c>
      <c r="G569" s="37" t="s">
        <v>90</v>
      </c>
      <c r="H569" s="37" t="n">
        <v>1</v>
      </c>
      <c r="I569" s="43" t="n">
        <v>3499</v>
      </c>
      <c r="J569" s="40" t="n">
        <v>0.15</v>
      </c>
    </row>
    <row r="570" customFormat="false" ht="15" hidden="false" customHeight="false" outlineLevel="0" collapsed="false">
      <c r="A570" s="37" t="s">
        <v>711</v>
      </c>
      <c r="B570" s="42" t="n">
        <v>45895</v>
      </c>
      <c r="C570" s="37" t="s">
        <v>140</v>
      </c>
      <c r="D570" s="37" t="s">
        <v>44</v>
      </c>
      <c r="E570" s="37" t="s">
        <v>96</v>
      </c>
      <c r="F570" s="37" t="s">
        <v>116</v>
      </c>
      <c r="G570" s="37" t="s">
        <v>91</v>
      </c>
      <c r="H570" s="37" t="n">
        <v>1</v>
      </c>
      <c r="I570" s="43" t="n">
        <v>899</v>
      </c>
      <c r="J570" s="40" t="n">
        <v>0.25</v>
      </c>
    </row>
    <row r="571" customFormat="false" ht="15" hidden="false" customHeight="false" outlineLevel="0" collapsed="false">
      <c r="A571" s="37" t="s">
        <v>712</v>
      </c>
      <c r="B571" s="42" t="n">
        <v>45898</v>
      </c>
      <c r="C571" s="37" t="s">
        <v>169</v>
      </c>
      <c r="D571" s="37" t="s">
        <v>44</v>
      </c>
      <c r="E571" s="37" t="s">
        <v>96</v>
      </c>
      <c r="F571" s="37" t="s">
        <v>115</v>
      </c>
      <c r="G571" s="37" t="s">
        <v>92</v>
      </c>
      <c r="H571" s="37" t="n">
        <v>1</v>
      </c>
      <c r="I571" s="43" t="n">
        <v>1799</v>
      </c>
      <c r="J571" s="40" t="n">
        <v>0.2</v>
      </c>
    </row>
    <row r="572" customFormat="false" ht="15" hidden="false" customHeight="false" outlineLevel="0" collapsed="false">
      <c r="A572" s="37" t="s">
        <v>713</v>
      </c>
      <c r="B572" s="42" t="n">
        <v>45889</v>
      </c>
      <c r="C572" s="37" t="s">
        <v>134</v>
      </c>
      <c r="D572" s="37" t="s">
        <v>45</v>
      </c>
      <c r="E572" s="37" t="s">
        <v>96</v>
      </c>
      <c r="F572" s="37" t="s">
        <v>116</v>
      </c>
      <c r="G572" s="37" t="s">
        <v>91</v>
      </c>
      <c r="H572" s="37" t="n">
        <v>4</v>
      </c>
      <c r="I572" s="43" t="n">
        <v>899</v>
      </c>
      <c r="J572" s="40" t="n">
        <v>0</v>
      </c>
    </row>
    <row r="573" customFormat="false" ht="15" hidden="false" customHeight="false" outlineLevel="0" collapsed="false">
      <c r="A573" s="37" t="s">
        <v>714</v>
      </c>
      <c r="B573" s="42" t="n">
        <v>45890</v>
      </c>
      <c r="C573" s="37" t="s">
        <v>134</v>
      </c>
      <c r="D573" s="37" t="s">
        <v>45</v>
      </c>
      <c r="E573" s="37" t="s">
        <v>96</v>
      </c>
      <c r="F573" s="37" t="s">
        <v>117</v>
      </c>
      <c r="G573" s="37" t="s">
        <v>91</v>
      </c>
      <c r="H573" s="37" t="n">
        <v>1</v>
      </c>
      <c r="I573" s="43" t="n">
        <v>1499</v>
      </c>
      <c r="J573" s="40" t="n">
        <v>0.25</v>
      </c>
    </row>
    <row r="574" customFormat="false" ht="15" hidden="false" customHeight="false" outlineLevel="0" collapsed="false">
      <c r="A574" s="37" t="s">
        <v>715</v>
      </c>
      <c r="B574" s="42" t="n">
        <v>45880</v>
      </c>
      <c r="C574" s="37" t="s">
        <v>144</v>
      </c>
      <c r="D574" s="37" t="s">
        <v>45</v>
      </c>
      <c r="E574" s="37" t="s">
        <v>97</v>
      </c>
      <c r="F574" s="37" t="s">
        <v>114</v>
      </c>
      <c r="G574" s="37" t="s">
        <v>92</v>
      </c>
      <c r="H574" s="37" t="n">
        <v>3</v>
      </c>
      <c r="I574" s="43" t="n">
        <v>1199</v>
      </c>
      <c r="J574" s="40" t="n">
        <v>0</v>
      </c>
    </row>
    <row r="575" customFormat="false" ht="15" hidden="false" customHeight="false" outlineLevel="0" collapsed="false">
      <c r="A575" s="37" t="s">
        <v>716</v>
      </c>
      <c r="B575" s="42" t="n">
        <v>45892</v>
      </c>
      <c r="C575" s="37" t="s">
        <v>160</v>
      </c>
      <c r="D575" s="37" t="s">
        <v>46</v>
      </c>
      <c r="E575" s="37" t="s">
        <v>96</v>
      </c>
      <c r="F575" s="37" t="s">
        <v>111</v>
      </c>
      <c r="G575" s="37" t="s">
        <v>90</v>
      </c>
      <c r="H575" s="37" t="n">
        <v>2</v>
      </c>
      <c r="I575" s="43" t="n">
        <v>2499</v>
      </c>
      <c r="J575" s="40" t="n">
        <v>0.3</v>
      </c>
    </row>
    <row r="576" customFormat="false" ht="15" hidden="false" customHeight="false" outlineLevel="0" collapsed="false">
      <c r="A576" s="37" t="s">
        <v>717</v>
      </c>
      <c r="B576" s="37" t="s">
        <v>1182</v>
      </c>
      <c r="C576" s="37" t="s">
        <v>166</v>
      </c>
      <c r="D576" s="37" t="s">
        <v>44</v>
      </c>
      <c r="E576" s="37" t="s">
        <v>96</v>
      </c>
      <c r="F576" s="37" t="s">
        <v>115</v>
      </c>
      <c r="G576" s="37" t="s">
        <v>92</v>
      </c>
      <c r="H576" s="37" t="n">
        <v>2</v>
      </c>
      <c r="I576" s="43" t="n">
        <v>1799</v>
      </c>
      <c r="J576" s="40" t="n">
        <v>0.15</v>
      </c>
    </row>
    <row r="577" customFormat="false" ht="15" hidden="false" customHeight="false" outlineLevel="0" collapsed="false">
      <c r="A577" s="37" t="s">
        <v>718</v>
      </c>
      <c r="B577" s="42" t="n">
        <v>45884</v>
      </c>
      <c r="C577" s="37" t="s">
        <v>140</v>
      </c>
      <c r="D577" s="37" t="s">
        <v>44</v>
      </c>
      <c r="E577" s="37" t="s">
        <v>97</v>
      </c>
      <c r="F577" s="37" t="s">
        <v>123</v>
      </c>
      <c r="G577" s="37" t="s">
        <v>93</v>
      </c>
      <c r="H577" s="37" t="n">
        <v>1</v>
      </c>
      <c r="I577" s="43" t="n">
        <v>1299</v>
      </c>
      <c r="J577" s="40" t="n">
        <v>0</v>
      </c>
    </row>
    <row r="578" customFormat="false" ht="15" hidden="false" customHeight="false" outlineLevel="0" collapsed="false">
      <c r="A578" s="37" t="s">
        <v>719</v>
      </c>
      <c r="B578" s="42" t="n">
        <v>45876</v>
      </c>
      <c r="C578" s="37" t="s">
        <v>136</v>
      </c>
      <c r="D578" s="37" t="s">
        <v>47</v>
      </c>
      <c r="E578" s="37" t="s">
        <v>96</v>
      </c>
      <c r="F578" s="37" t="s">
        <v>115</v>
      </c>
      <c r="G578" s="37" t="s">
        <v>92</v>
      </c>
      <c r="H578" s="37" t="n">
        <v>1</v>
      </c>
      <c r="I578" s="43" t="n">
        <v>1799</v>
      </c>
      <c r="J578" s="40" t="n">
        <v>0.05</v>
      </c>
    </row>
    <row r="579" customFormat="false" ht="15" hidden="false" customHeight="false" outlineLevel="0" collapsed="false">
      <c r="A579" s="37" t="s">
        <v>720</v>
      </c>
      <c r="B579" s="42" t="n">
        <v>45897</v>
      </c>
      <c r="C579" s="37" t="s">
        <v>140</v>
      </c>
      <c r="D579" s="37" t="s">
        <v>44</v>
      </c>
      <c r="E579" s="37" t="s">
        <v>96</v>
      </c>
      <c r="F579" s="37" t="s">
        <v>117</v>
      </c>
      <c r="G579" s="37" t="s">
        <v>91</v>
      </c>
      <c r="H579" s="37" t="n">
        <v>2</v>
      </c>
      <c r="I579" s="43" t="n">
        <v>1499</v>
      </c>
      <c r="J579" s="40" t="n">
        <v>0.1</v>
      </c>
    </row>
    <row r="580" customFormat="false" ht="15" hidden="false" customHeight="false" outlineLevel="0" collapsed="false">
      <c r="A580" s="37" t="s">
        <v>721</v>
      </c>
      <c r="B580" s="42" t="n">
        <v>45873</v>
      </c>
      <c r="C580" s="37" t="s">
        <v>136</v>
      </c>
      <c r="D580" s="37" t="s">
        <v>47</v>
      </c>
      <c r="E580" s="37" t="s">
        <v>97</v>
      </c>
      <c r="F580" s="37" t="s">
        <v>119</v>
      </c>
      <c r="G580" s="37" t="s">
        <v>91</v>
      </c>
      <c r="H580" s="37" t="n">
        <v>1</v>
      </c>
      <c r="I580" s="43" t="n">
        <v>1099</v>
      </c>
      <c r="J580" s="40" t="n">
        <v>0.05</v>
      </c>
    </row>
    <row r="581" customFormat="false" ht="15" hidden="false" customHeight="false" outlineLevel="0" collapsed="false">
      <c r="A581" s="37" t="s">
        <v>722</v>
      </c>
      <c r="B581" s="42" t="n">
        <v>45900</v>
      </c>
      <c r="C581" s="37" t="s">
        <v>140</v>
      </c>
      <c r="D581" s="37" t="s">
        <v>44</v>
      </c>
      <c r="E581" s="37" t="s">
        <v>97</v>
      </c>
      <c r="F581" s="37" t="s">
        <v>117</v>
      </c>
      <c r="G581" s="37" t="s">
        <v>91</v>
      </c>
      <c r="H581" s="37" t="n">
        <v>3</v>
      </c>
      <c r="I581" s="43" t="n">
        <v>1499</v>
      </c>
      <c r="J581" s="40" t="n">
        <v>0.15</v>
      </c>
    </row>
    <row r="582" customFormat="false" ht="15" hidden="false" customHeight="false" outlineLevel="0" collapsed="false">
      <c r="A582" s="37" t="s">
        <v>723</v>
      </c>
      <c r="B582" s="42" t="n">
        <v>45903</v>
      </c>
      <c r="C582" s="37" t="s">
        <v>142</v>
      </c>
      <c r="D582" s="37" t="s">
        <v>47</v>
      </c>
      <c r="E582" s="37" t="s">
        <v>97</v>
      </c>
      <c r="F582" s="37" t="s">
        <v>112</v>
      </c>
      <c r="G582" s="37" t="s">
        <v>92</v>
      </c>
      <c r="H582" s="37" t="n">
        <v>3</v>
      </c>
      <c r="I582" s="43" t="n">
        <v>3299</v>
      </c>
      <c r="J582" s="40" t="n">
        <v>0.05</v>
      </c>
    </row>
    <row r="583" customFormat="false" ht="15" hidden="false" customHeight="false" outlineLevel="0" collapsed="false">
      <c r="A583" s="37" t="s">
        <v>724</v>
      </c>
      <c r="B583" s="42" t="n">
        <v>45901</v>
      </c>
      <c r="C583" s="37" t="s">
        <v>169</v>
      </c>
      <c r="D583" s="37" t="s">
        <v>44</v>
      </c>
      <c r="E583" s="37" t="s">
        <v>96</v>
      </c>
      <c r="F583" s="37" t="s">
        <v>119</v>
      </c>
      <c r="G583" s="37" t="s">
        <v>91</v>
      </c>
      <c r="H583" s="37" t="n">
        <v>2</v>
      </c>
      <c r="I583" s="43" t="n">
        <v>1099</v>
      </c>
      <c r="J583" s="40" t="n">
        <v>0.1</v>
      </c>
    </row>
    <row r="584" customFormat="false" ht="15" hidden="false" customHeight="false" outlineLevel="0" collapsed="false">
      <c r="A584" s="37" t="s">
        <v>725</v>
      </c>
      <c r="B584" s="42" t="n">
        <v>45930</v>
      </c>
      <c r="C584" s="37" t="s">
        <v>146</v>
      </c>
      <c r="D584" s="37" t="s">
        <v>45</v>
      </c>
      <c r="E584" s="37" t="s">
        <v>97</v>
      </c>
      <c r="F584" s="37" t="s">
        <v>109</v>
      </c>
      <c r="G584" s="37" t="s">
        <v>90</v>
      </c>
      <c r="H584" s="37" t="n">
        <v>4</v>
      </c>
      <c r="I584" s="43" t="n">
        <v>3499</v>
      </c>
      <c r="J584" s="40" t="n">
        <v>0</v>
      </c>
    </row>
    <row r="585" customFormat="false" ht="15" hidden="false" customHeight="false" outlineLevel="0" collapsed="false">
      <c r="A585" s="37" t="s">
        <v>726</v>
      </c>
      <c r="B585" s="42" t="n">
        <v>45926</v>
      </c>
      <c r="C585" s="37" t="s">
        <v>144</v>
      </c>
      <c r="D585" s="37" t="s">
        <v>45</v>
      </c>
      <c r="E585" s="37" t="s">
        <v>97</v>
      </c>
      <c r="F585" s="37" t="s">
        <v>117</v>
      </c>
      <c r="G585" s="37" t="s">
        <v>91</v>
      </c>
      <c r="H585" s="37" t="n">
        <v>3</v>
      </c>
      <c r="I585" s="43" t="n">
        <v>1499</v>
      </c>
      <c r="J585" s="40" t="n">
        <v>0.15</v>
      </c>
    </row>
    <row r="586" customFormat="false" ht="15" hidden="false" customHeight="false" outlineLevel="0" collapsed="false">
      <c r="A586" s="37" t="s">
        <v>727</v>
      </c>
      <c r="B586" s="42" t="n">
        <v>45908</v>
      </c>
      <c r="C586" s="37" t="s">
        <v>138</v>
      </c>
      <c r="D586" s="37" t="s">
        <v>46</v>
      </c>
      <c r="E586" s="37" t="s">
        <v>97</v>
      </c>
      <c r="F586" s="37" t="s">
        <v>109</v>
      </c>
      <c r="G586" s="37" t="s">
        <v>90</v>
      </c>
      <c r="H586" s="37" t="n">
        <v>1</v>
      </c>
      <c r="I586" s="43" t="n">
        <v>3499</v>
      </c>
      <c r="J586" s="40" t="n">
        <v>0.05</v>
      </c>
    </row>
    <row r="587" customFormat="false" ht="15" hidden="false" customHeight="false" outlineLevel="0" collapsed="false">
      <c r="A587" s="37" t="s">
        <v>728</v>
      </c>
      <c r="B587" s="42" t="n">
        <v>45923</v>
      </c>
      <c r="C587" s="37" t="s">
        <v>140</v>
      </c>
      <c r="D587" s="37" t="s">
        <v>44</v>
      </c>
      <c r="E587" s="37" t="s">
        <v>1158</v>
      </c>
      <c r="F587" s="37" t="s">
        <v>120</v>
      </c>
      <c r="G587" s="37" t="s">
        <v>93</v>
      </c>
      <c r="H587" s="37" t="n">
        <v>1</v>
      </c>
      <c r="I587" s="43" t="n">
        <v>449</v>
      </c>
      <c r="J587" s="40" t="n">
        <v>0.05</v>
      </c>
    </row>
    <row r="588" customFormat="false" ht="15" hidden="false" customHeight="false" outlineLevel="0" collapsed="false">
      <c r="A588" s="37" t="s">
        <v>729</v>
      </c>
      <c r="B588" s="42" t="n">
        <v>45911</v>
      </c>
      <c r="C588" s="37" t="s">
        <v>134</v>
      </c>
      <c r="D588" s="37" t="s">
        <v>45</v>
      </c>
      <c r="E588" s="37" t="s">
        <v>97</v>
      </c>
      <c r="F588" s="37" t="s">
        <v>116</v>
      </c>
      <c r="G588" s="37" t="s">
        <v>91</v>
      </c>
      <c r="H588" s="37" t="n">
        <v>1</v>
      </c>
      <c r="I588" s="43" t="n">
        <v>899</v>
      </c>
      <c r="J588" s="40" t="n">
        <v>0.05</v>
      </c>
    </row>
    <row r="589" customFormat="false" ht="15" hidden="false" customHeight="false" outlineLevel="0" collapsed="false">
      <c r="A589" s="37" t="s">
        <v>730</v>
      </c>
      <c r="B589" s="42" t="n">
        <v>45926</v>
      </c>
      <c r="C589" s="37" t="s">
        <v>142</v>
      </c>
      <c r="D589" s="37" t="s">
        <v>47</v>
      </c>
      <c r="E589" s="37" t="s">
        <v>96</v>
      </c>
      <c r="F589" s="37" t="s">
        <v>122</v>
      </c>
      <c r="G589" s="37" t="s">
        <v>93</v>
      </c>
      <c r="H589" s="37" t="n">
        <v>1</v>
      </c>
      <c r="I589" s="43" t="n">
        <v>1799</v>
      </c>
      <c r="J589" s="40" t="n">
        <v>0.25</v>
      </c>
    </row>
    <row r="590" customFormat="false" ht="15" hidden="false" customHeight="false" outlineLevel="0" collapsed="false">
      <c r="A590" s="37" t="s">
        <v>731</v>
      </c>
      <c r="B590" s="42" t="n">
        <v>45918</v>
      </c>
      <c r="C590" s="37" t="s">
        <v>172</v>
      </c>
      <c r="D590" s="37" t="s">
        <v>46</v>
      </c>
      <c r="E590" s="37" t="s">
        <v>97</v>
      </c>
      <c r="F590" s="37" t="s">
        <v>109</v>
      </c>
      <c r="G590" s="37" t="s">
        <v>90</v>
      </c>
      <c r="H590" s="37" t="n">
        <v>1</v>
      </c>
      <c r="I590" s="43" t="n">
        <v>3499</v>
      </c>
      <c r="J590" s="40" t="n">
        <v>0</v>
      </c>
    </row>
    <row r="591" customFormat="false" ht="15" hidden="false" customHeight="false" outlineLevel="0" collapsed="false">
      <c r="A591" s="37" t="s">
        <v>732</v>
      </c>
      <c r="B591" s="42" t="n">
        <v>45910</v>
      </c>
      <c r="C591" s="37" t="s">
        <v>166</v>
      </c>
      <c r="D591" s="37" t="s">
        <v>44</v>
      </c>
      <c r="E591" s="37" t="s">
        <v>97</v>
      </c>
      <c r="F591" s="37" t="s">
        <v>116</v>
      </c>
      <c r="G591" s="37" t="s">
        <v>91</v>
      </c>
      <c r="H591" s="37" t="n">
        <v>1</v>
      </c>
      <c r="I591" s="43" t="n">
        <v>899</v>
      </c>
      <c r="J591" s="40" t="n">
        <v>0.1</v>
      </c>
    </row>
    <row r="592" customFormat="false" ht="15" hidden="false" customHeight="false" outlineLevel="0" collapsed="false">
      <c r="A592" s="37" t="s">
        <v>733</v>
      </c>
      <c r="B592" s="42" t="n">
        <v>45914</v>
      </c>
      <c r="C592" s="37" t="s">
        <v>140</v>
      </c>
      <c r="D592" s="37" t="s">
        <v>44</v>
      </c>
      <c r="E592" s="37" t="s">
        <v>97</v>
      </c>
      <c r="F592" s="37" t="s">
        <v>111</v>
      </c>
      <c r="G592" s="37" t="s">
        <v>90</v>
      </c>
      <c r="H592" s="37" t="n">
        <v>1</v>
      </c>
      <c r="I592" s="43" t="n">
        <v>2499</v>
      </c>
      <c r="J592" s="40" t="n">
        <v>0.1</v>
      </c>
    </row>
    <row r="593" customFormat="false" ht="15" hidden="false" customHeight="false" outlineLevel="0" collapsed="false">
      <c r="A593" s="37" t="s">
        <v>734</v>
      </c>
      <c r="B593" s="42" t="n">
        <v>45908</v>
      </c>
      <c r="C593" s="37" t="s">
        <v>154</v>
      </c>
      <c r="D593" s="37" t="s">
        <v>47</v>
      </c>
      <c r="E593" s="37" t="s">
        <v>97</v>
      </c>
      <c r="F593" s="37" t="s">
        <v>110</v>
      </c>
      <c r="G593" s="37" t="s">
        <v>90</v>
      </c>
      <c r="H593" s="37" t="n">
        <v>1</v>
      </c>
      <c r="I593" s="43" t="n">
        <v>1299</v>
      </c>
      <c r="J593" s="40" t="n">
        <v>0</v>
      </c>
    </row>
    <row r="594" customFormat="false" ht="15" hidden="false" customHeight="false" outlineLevel="0" collapsed="false">
      <c r="A594" s="37" t="s">
        <v>735</v>
      </c>
      <c r="B594" s="42" t="n">
        <v>45917</v>
      </c>
      <c r="C594" s="37" t="s">
        <v>154</v>
      </c>
      <c r="D594" s="37" t="s">
        <v>47</v>
      </c>
      <c r="E594" s="37" t="s">
        <v>96</v>
      </c>
      <c r="F594" s="37" t="s">
        <v>119</v>
      </c>
      <c r="G594" s="37" t="s">
        <v>91</v>
      </c>
      <c r="H594" s="37" t="n">
        <v>3</v>
      </c>
      <c r="I594" s="43" t="n">
        <v>1099</v>
      </c>
      <c r="J594" s="40" t="n">
        <v>0.1</v>
      </c>
    </row>
    <row r="595" customFormat="false" ht="15" hidden="false" customHeight="false" outlineLevel="0" collapsed="false">
      <c r="A595" s="37" t="s">
        <v>736</v>
      </c>
      <c r="B595" s="42" t="n">
        <v>45909</v>
      </c>
      <c r="C595" s="37" t="s">
        <v>169</v>
      </c>
      <c r="D595" s="37" t="s">
        <v>44</v>
      </c>
      <c r="E595" s="37" t="s">
        <v>97</v>
      </c>
      <c r="F595" s="37" t="s">
        <v>116</v>
      </c>
      <c r="G595" s="37" t="s">
        <v>91</v>
      </c>
      <c r="H595" s="37" t="n">
        <v>1</v>
      </c>
      <c r="I595" s="43" t="n">
        <v>899</v>
      </c>
      <c r="J595" s="40" t="n">
        <v>0.2</v>
      </c>
    </row>
    <row r="596" customFormat="false" ht="15" hidden="false" customHeight="false" outlineLevel="0" collapsed="false">
      <c r="A596" s="37" t="s">
        <v>737</v>
      </c>
      <c r="B596" s="42" t="n">
        <v>45910</v>
      </c>
      <c r="C596" s="37" t="s">
        <v>160</v>
      </c>
      <c r="D596" s="37" t="s">
        <v>46</v>
      </c>
      <c r="E596" s="37" t="s">
        <v>97</v>
      </c>
      <c r="F596" s="37" t="s">
        <v>121</v>
      </c>
      <c r="G596" s="37" t="s">
        <v>93</v>
      </c>
      <c r="H596" s="37" t="n">
        <v>1</v>
      </c>
      <c r="I596" s="43" t="n">
        <v>999</v>
      </c>
      <c r="J596" s="40" t="n">
        <v>0.15</v>
      </c>
    </row>
    <row r="597" customFormat="false" ht="15" hidden="false" customHeight="false" outlineLevel="0" collapsed="false">
      <c r="A597" s="37" t="s">
        <v>738</v>
      </c>
      <c r="B597" s="42" t="n">
        <v>45925</v>
      </c>
      <c r="C597" s="37" t="s">
        <v>160</v>
      </c>
      <c r="D597" s="37" t="s">
        <v>46</v>
      </c>
      <c r="E597" s="37" t="s">
        <v>97</v>
      </c>
      <c r="F597" s="37" t="s">
        <v>111</v>
      </c>
      <c r="G597" s="37" t="s">
        <v>90</v>
      </c>
      <c r="H597" s="37" t="n">
        <v>2</v>
      </c>
      <c r="I597" s="43" t="n">
        <v>2499</v>
      </c>
      <c r="J597" s="40" t="n">
        <v>0.2</v>
      </c>
    </row>
    <row r="598" customFormat="false" ht="15" hidden="false" customHeight="false" outlineLevel="0" collapsed="false">
      <c r="A598" s="37" t="s">
        <v>739</v>
      </c>
      <c r="B598" s="42" t="n">
        <v>45903</v>
      </c>
      <c r="C598" s="37" t="s">
        <v>142</v>
      </c>
      <c r="D598" s="37" t="s">
        <v>47</v>
      </c>
      <c r="E598" s="37" t="s">
        <v>96</v>
      </c>
      <c r="F598" s="37" t="s">
        <v>118</v>
      </c>
      <c r="G598" s="37" t="s">
        <v>91</v>
      </c>
      <c r="H598" s="37" t="n">
        <v>1</v>
      </c>
      <c r="I598" s="43" t="n">
        <v>2299</v>
      </c>
      <c r="J598" s="40" t="n">
        <v>0.25</v>
      </c>
    </row>
    <row r="599" customFormat="false" ht="15" hidden="false" customHeight="false" outlineLevel="0" collapsed="false">
      <c r="A599" s="37" t="s">
        <v>739</v>
      </c>
      <c r="B599" s="42" t="n">
        <v>45903</v>
      </c>
      <c r="C599" s="37" t="s">
        <v>142</v>
      </c>
      <c r="D599" s="37" t="s">
        <v>47</v>
      </c>
      <c r="E599" s="37" t="s">
        <v>96</v>
      </c>
      <c r="F599" s="37" t="s">
        <v>118</v>
      </c>
      <c r="G599" s="37" t="s">
        <v>91</v>
      </c>
      <c r="H599" s="37" t="n">
        <v>1</v>
      </c>
      <c r="I599" s="43" t="n">
        <v>2299</v>
      </c>
      <c r="J599" s="40" t="n">
        <v>0.25</v>
      </c>
    </row>
    <row r="600" customFormat="false" ht="15" hidden="false" customHeight="false" outlineLevel="0" collapsed="false">
      <c r="A600" s="37" t="s">
        <v>740</v>
      </c>
      <c r="B600" s="42" t="n">
        <v>45906</v>
      </c>
      <c r="C600" s="37" t="s">
        <v>166</v>
      </c>
      <c r="D600" s="37" t="s">
        <v>44</v>
      </c>
      <c r="E600" s="37" t="s">
        <v>96</v>
      </c>
      <c r="F600" s="37" t="s">
        <v>123</v>
      </c>
      <c r="G600" s="37" t="s">
        <v>93</v>
      </c>
      <c r="H600" s="37" t="n">
        <v>3</v>
      </c>
      <c r="I600" s="43" t="n">
        <v>1299</v>
      </c>
      <c r="J600" s="40" t="n">
        <v>0.05</v>
      </c>
    </row>
    <row r="601" customFormat="false" ht="15" hidden="false" customHeight="false" outlineLevel="0" collapsed="false">
      <c r="A601" s="37" t="s">
        <v>741</v>
      </c>
      <c r="B601" s="42" t="n">
        <v>45927</v>
      </c>
      <c r="C601" s="37" t="s">
        <v>140</v>
      </c>
      <c r="D601" s="37" t="s">
        <v>44</v>
      </c>
      <c r="E601" s="37" t="s">
        <v>97</v>
      </c>
      <c r="F601" s="37" t="s">
        <v>109</v>
      </c>
      <c r="G601" s="37" t="s">
        <v>90</v>
      </c>
      <c r="H601" s="37" t="n">
        <v>1</v>
      </c>
      <c r="I601" s="43" t="n">
        <v>3499</v>
      </c>
      <c r="J601" s="40" t="n">
        <v>0.05</v>
      </c>
    </row>
    <row r="602" customFormat="false" ht="15" hidden="false" customHeight="false" outlineLevel="0" collapsed="false">
      <c r="A602" s="37" t="s">
        <v>742</v>
      </c>
      <c r="B602" s="42" t="n">
        <v>45923</v>
      </c>
      <c r="C602" s="37" t="s">
        <v>138</v>
      </c>
      <c r="D602" s="37" t="s">
        <v>46</v>
      </c>
      <c r="E602" s="37" t="s">
        <v>96</v>
      </c>
      <c r="F602" s="37" t="s">
        <v>116</v>
      </c>
      <c r="G602" s="37" t="s">
        <v>91</v>
      </c>
      <c r="H602" s="37" t="n">
        <v>2</v>
      </c>
      <c r="I602" s="43" t="n">
        <v>899</v>
      </c>
      <c r="J602" s="40" t="n">
        <v>0.1</v>
      </c>
    </row>
    <row r="603" customFormat="false" ht="15" hidden="false" customHeight="false" outlineLevel="0" collapsed="false">
      <c r="A603" s="37" t="s">
        <v>743</v>
      </c>
      <c r="B603" s="42" t="n">
        <v>45909</v>
      </c>
      <c r="C603" s="37" t="s">
        <v>138</v>
      </c>
      <c r="D603" s="37" t="s">
        <v>46</v>
      </c>
      <c r="E603" s="37" t="s">
        <v>97</v>
      </c>
      <c r="F603" s="37" t="s">
        <v>117</v>
      </c>
      <c r="G603" s="37" t="s">
        <v>91</v>
      </c>
      <c r="H603" s="37" t="n">
        <v>3</v>
      </c>
      <c r="I603" s="43" t="n">
        <v>1499</v>
      </c>
      <c r="J603" s="40" t="n">
        <v>0.05</v>
      </c>
    </row>
    <row r="604" customFormat="false" ht="15" hidden="false" customHeight="false" outlineLevel="0" collapsed="false">
      <c r="A604" s="37" t="s">
        <v>744</v>
      </c>
      <c r="B604" s="42" t="n">
        <v>45906</v>
      </c>
      <c r="C604" s="37" t="s">
        <v>154</v>
      </c>
      <c r="D604" s="37" t="s">
        <v>47</v>
      </c>
      <c r="E604" s="37" t="s">
        <v>96</v>
      </c>
      <c r="F604" s="37" t="s">
        <v>114</v>
      </c>
      <c r="G604" s="37" t="s">
        <v>92</v>
      </c>
      <c r="H604" s="37" t="n">
        <v>2</v>
      </c>
      <c r="I604" s="43" t="n">
        <v>1199</v>
      </c>
      <c r="J604" s="40" t="n">
        <v>0.25</v>
      </c>
    </row>
    <row r="605" customFormat="false" ht="15" hidden="false" customHeight="false" outlineLevel="0" collapsed="false">
      <c r="A605" s="37" t="s">
        <v>745</v>
      </c>
      <c r="B605" s="42" t="n">
        <v>45918</v>
      </c>
      <c r="C605" s="37" t="s">
        <v>138</v>
      </c>
      <c r="D605" s="37" t="s">
        <v>46</v>
      </c>
      <c r="E605" s="37" t="s">
        <v>97</v>
      </c>
      <c r="F605" s="37" t="s">
        <v>111</v>
      </c>
      <c r="G605" s="37" t="s">
        <v>90</v>
      </c>
      <c r="H605" s="37" t="n">
        <v>1</v>
      </c>
      <c r="I605" s="43" t="n">
        <v>2499</v>
      </c>
      <c r="J605" s="40" t="n">
        <v>0</v>
      </c>
    </row>
    <row r="606" customFormat="false" ht="15" hidden="false" customHeight="false" outlineLevel="0" collapsed="false">
      <c r="A606" s="37" t="s">
        <v>746</v>
      </c>
      <c r="B606" s="42" t="n">
        <v>45928</v>
      </c>
      <c r="C606" s="37" t="s">
        <v>169</v>
      </c>
      <c r="D606" s="37" t="s">
        <v>44</v>
      </c>
      <c r="E606" s="37" t="s">
        <v>96</v>
      </c>
      <c r="F606" s="37" t="s">
        <v>113</v>
      </c>
      <c r="G606" s="37" t="s">
        <v>92</v>
      </c>
      <c r="H606" s="37" t="n">
        <v>3</v>
      </c>
      <c r="I606" s="43" t="n">
        <v>2199</v>
      </c>
      <c r="J606" s="40" t="n">
        <v>0.2</v>
      </c>
    </row>
    <row r="607" customFormat="false" ht="15" hidden="false" customHeight="false" outlineLevel="0" collapsed="false">
      <c r="A607" s="37" t="s">
        <v>747</v>
      </c>
      <c r="B607" s="42" t="n">
        <v>45901</v>
      </c>
      <c r="C607" s="37" t="s">
        <v>136</v>
      </c>
      <c r="D607" s="37" t="s">
        <v>47</v>
      </c>
      <c r="E607" s="37" t="s">
        <v>96</v>
      </c>
      <c r="F607" s="37" t="s">
        <v>108</v>
      </c>
      <c r="G607" s="37" t="s">
        <v>90</v>
      </c>
      <c r="H607" s="37" t="n">
        <v>1</v>
      </c>
      <c r="I607" s="43" t="n">
        <v>1999</v>
      </c>
      <c r="J607" s="40" t="n">
        <v>0.2</v>
      </c>
    </row>
    <row r="608" customFormat="false" ht="15" hidden="false" customHeight="false" outlineLevel="0" collapsed="false">
      <c r="A608" s="37" t="s">
        <v>748</v>
      </c>
      <c r="B608" s="42" t="n">
        <v>45919</v>
      </c>
      <c r="C608" s="37" t="s">
        <v>169</v>
      </c>
      <c r="D608" s="37" t="s">
        <v>44</v>
      </c>
      <c r="E608" s="37" t="s">
        <v>96</v>
      </c>
      <c r="F608" s="37" t="s">
        <v>120</v>
      </c>
      <c r="G608" s="37" t="s">
        <v>93</v>
      </c>
      <c r="H608" s="37" t="n">
        <v>2</v>
      </c>
      <c r="I608" s="43" t="n">
        <v>449</v>
      </c>
      <c r="J608" s="40" t="n">
        <v>0.25</v>
      </c>
    </row>
    <row r="609" customFormat="false" ht="15" hidden="false" customHeight="false" outlineLevel="0" collapsed="false">
      <c r="A609" s="37" t="s">
        <v>749</v>
      </c>
      <c r="B609" s="42" t="n">
        <v>45912</v>
      </c>
      <c r="C609" s="37" t="s">
        <v>154</v>
      </c>
      <c r="D609" s="37" t="s">
        <v>47</v>
      </c>
      <c r="E609" s="37" t="s">
        <v>96</v>
      </c>
      <c r="F609" s="37" t="s">
        <v>111</v>
      </c>
      <c r="G609" s="37" t="s">
        <v>90</v>
      </c>
      <c r="H609" s="37" t="n">
        <v>2</v>
      </c>
      <c r="I609" s="43" t="n">
        <v>2499</v>
      </c>
      <c r="J609" s="40" t="n">
        <v>0.15</v>
      </c>
    </row>
    <row r="610" customFormat="false" ht="15" hidden="false" customHeight="false" outlineLevel="0" collapsed="false">
      <c r="A610" s="37" t="s">
        <v>750</v>
      </c>
      <c r="B610" s="42" t="n">
        <v>45914</v>
      </c>
      <c r="C610" s="37" t="s">
        <v>138</v>
      </c>
      <c r="D610" s="37" t="s">
        <v>46</v>
      </c>
      <c r="E610" s="37" t="s">
        <v>97</v>
      </c>
      <c r="F610" s="37" t="s">
        <v>118</v>
      </c>
      <c r="G610" s="37" t="s">
        <v>91</v>
      </c>
      <c r="H610" s="37" t="n">
        <v>3</v>
      </c>
      <c r="I610" s="43" t="n">
        <v>2299</v>
      </c>
      <c r="J610" s="40" t="n">
        <v>0.05</v>
      </c>
    </row>
    <row r="611" customFormat="false" ht="15" hidden="false" customHeight="false" outlineLevel="0" collapsed="false">
      <c r="A611" s="37" t="s">
        <v>751</v>
      </c>
      <c r="B611" s="42" t="n">
        <v>45919</v>
      </c>
      <c r="C611" s="37" t="s">
        <v>138</v>
      </c>
      <c r="D611" s="37" t="s">
        <v>46</v>
      </c>
      <c r="E611" s="37" t="s">
        <v>96</v>
      </c>
      <c r="F611" s="37" t="s">
        <v>111</v>
      </c>
      <c r="G611" s="37" t="s">
        <v>90</v>
      </c>
      <c r="H611" s="37" t="n">
        <v>2</v>
      </c>
      <c r="I611" s="43" t="n">
        <v>2499</v>
      </c>
      <c r="J611" s="40" t="n">
        <v>0.4</v>
      </c>
    </row>
    <row r="612" customFormat="false" ht="15" hidden="false" customHeight="false" outlineLevel="0" collapsed="false">
      <c r="A612" s="37" t="s">
        <v>752</v>
      </c>
      <c r="B612" s="42" t="n">
        <v>45918</v>
      </c>
      <c r="C612" s="37" t="s">
        <v>160</v>
      </c>
      <c r="D612" s="37" t="s">
        <v>46</v>
      </c>
      <c r="E612" s="37" t="s">
        <v>97</v>
      </c>
      <c r="F612" s="37" t="s">
        <v>120</v>
      </c>
      <c r="G612" s="37" t="s">
        <v>93</v>
      </c>
      <c r="H612" s="37" t="n">
        <v>2</v>
      </c>
      <c r="I612" s="43" t="n">
        <v>449</v>
      </c>
      <c r="J612" s="40" t="n">
        <v>0.1</v>
      </c>
    </row>
    <row r="613" customFormat="false" ht="15" hidden="false" customHeight="false" outlineLevel="0" collapsed="false">
      <c r="A613" s="37" t="s">
        <v>753</v>
      </c>
      <c r="B613" s="42" t="n">
        <v>45911</v>
      </c>
      <c r="C613" s="37" t="s">
        <v>136</v>
      </c>
      <c r="D613" s="37" t="s">
        <v>47</v>
      </c>
      <c r="E613" s="37" t="s">
        <v>1158</v>
      </c>
      <c r="F613" s="37" t="s">
        <v>114</v>
      </c>
      <c r="G613" s="37" t="s">
        <v>92</v>
      </c>
      <c r="H613" s="37" t="n">
        <v>1</v>
      </c>
      <c r="I613" s="43" t="n">
        <v>1199</v>
      </c>
      <c r="J613" s="40" t="n">
        <v>0.05</v>
      </c>
    </row>
    <row r="614" customFormat="false" ht="15" hidden="false" customHeight="false" outlineLevel="0" collapsed="false">
      <c r="A614" s="37" t="s">
        <v>754</v>
      </c>
      <c r="B614" s="42" t="n">
        <v>45917</v>
      </c>
      <c r="C614" s="37" t="s">
        <v>1175</v>
      </c>
      <c r="D614" s="37" t="s">
        <v>45</v>
      </c>
      <c r="E614" s="37" t="s">
        <v>97</v>
      </c>
      <c r="F614" s="37" t="s">
        <v>121</v>
      </c>
      <c r="G614" s="37" t="s">
        <v>93</v>
      </c>
      <c r="H614" s="37" t="n">
        <v>2</v>
      </c>
      <c r="I614" s="43" t="n">
        <v>999</v>
      </c>
      <c r="J614" s="40" t="n">
        <v>0.1</v>
      </c>
    </row>
    <row r="615" customFormat="false" ht="15" hidden="false" customHeight="false" outlineLevel="0" collapsed="false">
      <c r="A615" s="37" t="s">
        <v>754</v>
      </c>
      <c r="B615" s="42" t="n">
        <v>45917</v>
      </c>
      <c r="C615" s="37" t="s">
        <v>1175</v>
      </c>
      <c r="D615" s="37" t="s">
        <v>45</v>
      </c>
      <c r="E615" s="37" t="s">
        <v>97</v>
      </c>
      <c r="F615" s="37" t="s">
        <v>121</v>
      </c>
      <c r="G615" s="37" t="s">
        <v>93</v>
      </c>
      <c r="H615" s="37" t="n">
        <v>2</v>
      </c>
      <c r="I615" s="43" t="n">
        <v>999</v>
      </c>
      <c r="J615" s="40" t="n">
        <v>0.1</v>
      </c>
    </row>
    <row r="616" customFormat="false" ht="15" hidden="false" customHeight="false" outlineLevel="0" collapsed="false">
      <c r="A616" s="37" t="s">
        <v>755</v>
      </c>
      <c r="B616" s="42" t="n">
        <v>45913</v>
      </c>
      <c r="C616" s="37" t="s">
        <v>142</v>
      </c>
      <c r="D616" s="37" t="s">
        <v>47</v>
      </c>
      <c r="E616" s="37" t="s">
        <v>96</v>
      </c>
      <c r="F616" s="37" t="s">
        <v>109</v>
      </c>
      <c r="G616" s="37" t="s">
        <v>90</v>
      </c>
      <c r="H616" s="37" t="n">
        <v>2</v>
      </c>
      <c r="I616" s="43" t="n">
        <v>3499</v>
      </c>
      <c r="J616" s="40" t="n">
        <v>0.1</v>
      </c>
    </row>
    <row r="617" customFormat="false" ht="15" hidden="false" customHeight="false" outlineLevel="0" collapsed="false">
      <c r="A617" s="37" t="s">
        <v>756</v>
      </c>
      <c r="B617" s="42" t="n">
        <v>45918</v>
      </c>
      <c r="C617" s="37" t="s">
        <v>166</v>
      </c>
      <c r="D617" s="37" t="s">
        <v>44</v>
      </c>
      <c r="E617" s="37" t="s">
        <v>96</v>
      </c>
      <c r="F617" s="37" t="s">
        <v>111</v>
      </c>
      <c r="G617" s="37" t="s">
        <v>90</v>
      </c>
      <c r="H617" s="37" t="n">
        <v>2</v>
      </c>
      <c r="I617" s="43" t="n">
        <v>2499</v>
      </c>
      <c r="J617" s="40" t="n">
        <v>0.05</v>
      </c>
    </row>
    <row r="618" customFormat="false" ht="15" hidden="false" customHeight="false" outlineLevel="0" collapsed="false">
      <c r="A618" s="37" t="s">
        <v>757</v>
      </c>
      <c r="B618" s="42" t="n">
        <v>45910</v>
      </c>
      <c r="C618" s="37" t="s">
        <v>154</v>
      </c>
      <c r="D618" s="37" t="s">
        <v>47</v>
      </c>
      <c r="E618" s="37" t="s">
        <v>97</v>
      </c>
      <c r="F618" s="37" t="s">
        <v>117</v>
      </c>
      <c r="G618" s="37" t="s">
        <v>91</v>
      </c>
      <c r="H618" s="37" t="n">
        <v>1</v>
      </c>
      <c r="I618" s="43" t="n">
        <v>1499</v>
      </c>
      <c r="J618" s="40" t="n">
        <v>0.1</v>
      </c>
    </row>
    <row r="619" customFormat="false" ht="15" hidden="false" customHeight="false" outlineLevel="0" collapsed="false">
      <c r="A619" s="37" t="s">
        <v>758</v>
      </c>
      <c r="B619" s="42" t="n">
        <v>45911</v>
      </c>
      <c r="C619" s="37" t="s">
        <v>172</v>
      </c>
      <c r="D619" s="37" t="s">
        <v>46</v>
      </c>
      <c r="E619" s="37" t="s">
        <v>96</v>
      </c>
      <c r="F619" s="37" t="s">
        <v>109</v>
      </c>
      <c r="G619" s="37" t="s">
        <v>90</v>
      </c>
      <c r="H619" s="37" t="n">
        <v>3</v>
      </c>
      <c r="I619" s="43" t="n">
        <v>3499</v>
      </c>
      <c r="J619" s="40" t="n">
        <v>0.1</v>
      </c>
    </row>
    <row r="620" customFormat="false" ht="15" hidden="false" customHeight="false" outlineLevel="0" collapsed="false">
      <c r="A620" s="37" t="s">
        <v>759</v>
      </c>
      <c r="B620" s="42" t="n">
        <v>45920</v>
      </c>
      <c r="C620" s="37" t="s">
        <v>154</v>
      </c>
      <c r="D620" s="37" t="s">
        <v>47</v>
      </c>
      <c r="E620" s="37" t="s">
        <v>96</v>
      </c>
      <c r="F620" s="37" t="s">
        <v>111</v>
      </c>
      <c r="G620" s="37" t="s">
        <v>90</v>
      </c>
      <c r="H620" s="37" t="n">
        <v>3</v>
      </c>
      <c r="I620" s="43" t="n">
        <v>2499</v>
      </c>
      <c r="J620" s="40" t="n">
        <v>0.1</v>
      </c>
    </row>
    <row r="621" customFormat="false" ht="15" hidden="false" customHeight="false" outlineLevel="0" collapsed="false">
      <c r="A621" s="37" t="s">
        <v>760</v>
      </c>
      <c r="B621" s="42" t="n">
        <v>45918</v>
      </c>
      <c r="C621" s="37" t="s">
        <v>1155</v>
      </c>
      <c r="D621" s="37" t="s">
        <v>45</v>
      </c>
      <c r="E621" s="37" t="s">
        <v>97</v>
      </c>
      <c r="F621" s="37" t="s">
        <v>112</v>
      </c>
      <c r="G621" s="37" t="s">
        <v>92</v>
      </c>
      <c r="H621" s="37" t="n">
        <v>2</v>
      </c>
      <c r="I621" s="43" t="n">
        <v>3299</v>
      </c>
      <c r="J621" s="40" t="n">
        <v>0.1</v>
      </c>
    </row>
    <row r="622" customFormat="false" ht="15" hidden="false" customHeight="false" outlineLevel="0" collapsed="false">
      <c r="A622" s="37" t="s">
        <v>761</v>
      </c>
      <c r="B622" s="42" t="n">
        <v>45924</v>
      </c>
      <c r="C622" s="37" t="s">
        <v>1155</v>
      </c>
      <c r="D622" s="37" t="s">
        <v>45</v>
      </c>
      <c r="E622" s="37" t="s">
        <v>97</v>
      </c>
      <c r="F622" s="37" t="s">
        <v>108</v>
      </c>
      <c r="G622" s="37" t="s">
        <v>90</v>
      </c>
      <c r="H622" s="37" t="n">
        <v>1</v>
      </c>
      <c r="I622" s="43" t="n">
        <v>1999</v>
      </c>
      <c r="J622" s="40" t="n">
        <v>0.05</v>
      </c>
    </row>
    <row r="623" customFormat="false" ht="15" hidden="false" customHeight="false" outlineLevel="0" collapsed="false">
      <c r="A623" s="37" t="s">
        <v>762</v>
      </c>
      <c r="B623" s="42" t="n">
        <v>45914</v>
      </c>
      <c r="C623" s="37" t="s">
        <v>138</v>
      </c>
      <c r="D623" s="37" t="s">
        <v>46</v>
      </c>
      <c r="E623" s="37" t="s">
        <v>97</v>
      </c>
      <c r="F623" s="37" t="s">
        <v>108</v>
      </c>
      <c r="G623" s="37" t="s">
        <v>90</v>
      </c>
      <c r="H623" s="37" t="n">
        <v>2</v>
      </c>
      <c r="I623" s="43" t="n">
        <v>1999</v>
      </c>
      <c r="J623" s="40" t="n">
        <v>0</v>
      </c>
    </row>
    <row r="624" customFormat="false" ht="15" hidden="false" customHeight="false" outlineLevel="0" collapsed="false">
      <c r="A624" s="37" t="s">
        <v>763</v>
      </c>
      <c r="B624" s="42" t="n">
        <v>45924</v>
      </c>
      <c r="C624" s="37" t="s">
        <v>134</v>
      </c>
      <c r="D624" s="37" t="s">
        <v>45</v>
      </c>
      <c r="E624" s="37" t="s">
        <v>96</v>
      </c>
      <c r="F624" s="37" t="s">
        <v>109</v>
      </c>
      <c r="G624" s="37" t="s">
        <v>90</v>
      </c>
      <c r="H624" s="37" t="n">
        <v>1</v>
      </c>
      <c r="I624" s="43" t="n">
        <v>3499</v>
      </c>
      <c r="J624" s="40" t="n">
        <v>0.1</v>
      </c>
    </row>
    <row r="625" customFormat="false" ht="15" hidden="false" customHeight="false" outlineLevel="0" collapsed="false">
      <c r="A625" s="37" t="s">
        <v>764</v>
      </c>
      <c r="B625" s="42" t="n">
        <v>45917</v>
      </c>
      <c r="C625" s="37" t="s">
        <v>136</v>
      </c>
      <c r="D625" s="37" t="s">
        <v>47</v>
      </c>
      <c r="E625" s="37" t="s">
        <v>97</v>
      </c>
      <c r="F625" s="37" t="s">
        <v>119</v>
      </c>
      <c r="G625" s="37" t="s">
        <v>91</v>
      </c>
      <c r="H625" s="37" t="n">
        <v>1</v>
      </c>
      <c r="I625" s="43" t="n">
        <v>1099</v>
      </c>
      <c r="J625" s="40" t="n">
        <v>0.05</v>
      </c>
    </row>
    <row r="626" customFormat="false" ht="15" hidden="false" customHeight="false" outlineLevel="0" collapsed="false">
      <c r="A626" s="37" t="s">
        <v>765</v>
      </c>
      <c r="B626" s="42" t="n">
        <v>45901</v>
      </c>
      <c r="C626" s="37" t="s">
        <v>146</v>
      </c>
      <c r="D626" s="37" t="s">
        <v>45</v>
      </c>
      <c r="E626" s="37" t="s">
        <v>97</v>
      </c>
      <c r="F626" s="37" t="s">
        <v>123</v>
      </c>
      <c r="G626" s="37" t="s">
        <v>93</v>
      </c>
      <c r="H626" s="37" t="n">
        <v>1</v>
      </c>
      <c r="I626" s="43" t="n">
        <v>1299</v>
      </c>
      <c r="J626" s="37" t="s">
        <v>1181</v>
      </c>
    </row>
    <row r="627" customFormat="false" ht="15" hidden="false" customHeight="false" outlineLevel="0" collapsed="false">
      <c r="A627" s="37" t="s">
        <v>766</v>
      </c>
      <c r="B627" s="42" t="n">
        <v>45910</v>
      </c>
      <c r="C627" s="37" t="s">
        <v>138</v>
      </c>
      <c r="D627" s="37" t="s">
        <v>46</v>
      </c>
      <c r="E627" s="37" t="s">
        <v>97</v>
      </c>
      <c r="F627" s="37" t="s">
        <v>109</v>
      </c>
      <c r="G627" s="37" t="s">
        <v>90</v>
      </c>
      <c r="H627" s="37" t="n">
        <v>1</v>
      </c>
      <c r="I627" s="43" t="n">
        <v>3499</v>
      </c>
      <c r="J627" s="40" t="n">
        <v>0</v>
      </c>
    </row>
    <row r="628" customFormat="false" ht="15" hidden="false" customHeight="false" outlineLevel="0" collapsed="false">
      <c r="A628" s="37" t="s">
        <v>767</v>
      </c>
      <c r="B628" s="42" t="n">
        <v>45904</v>
      </c>
      <c r="C628" s="37" t="s">
        <v>142</v>
      </c>
      <c r="D628" s="37" t="s">
        <v>47</v>
      </c>
      <c r="E628" s="37" t="s">
        <v>96</v>
      </c>
      <c r="F628" s="37" t="s">
        <v>121</v>
      </c>
      <c r="G628" s="37" t="s">
        <v>93</v>
      </c>
      <c r="H628" s="37" t="n">
        <v>5</v>
      </c>
      <c r="I628" s="43" t="n">
        <v>999</v>
      </c>
      <c r="J628" s="40" t="n">
        <v>0.1</v>
      </c>
    </row>
    <row r="629" customFormat="false" ht="15" hidden="false" customHeight="false" outlineLevel="0" collapsed="false">
      <c r="A629" s="37" t="s">
        <v>768</v>
      </c>
      <c r="B629" s="42" t="n">
        <v>45907</v>
      </c>
      <c r="C629" s="37" t="s">
        <v>1155</v>
      </c>
      <c r="D629" s="37" t="s">
        <v>45</v>
      </c>
      <c r="E629" s="37" t="s">
        <v>97</v>
      </c>
      <c r="F629" s="37" t="s">
        <v>109</v>
      </c>
      <c r="G629" s="37" t="s">
        <v>90</v>
      </c>
      <c r="H629" s="37" t="n">
        <v>2</v>
      </c>
      <c r="I629" s="43" t="n">
        <v>3499</v>
      </c>
      <c r="J629" s="40" t="n">
        <v>0</v>
      </c>
    </row>
    <row r="630" customFormat="false" ht="15" hidden="false" customHeight="false" outlineLevel="0" collapsed="false">
      <c r="A630" s="37" t="s">
        <v>769</v>
      </c>
      <c r="B630" s="42" t="n">
        <v>45905</v>
      </c>
      <c r="C630" s="37" t="s">
        <v>142</v>
      </c>
      <c r="D630" s="37" t="s">
        <v>47</v>
      </c>
      <c r="E630" s="37" t="s">
        <v>97</v>
      </c>
      <c r="F630" s="37" t="s">
        <v>118</v>
      </c>
      <c r="G630" s="37" t="s">
        <v>91</v>
      </c>
      <c r="H630" s="37" t="n">
        <v>2</v>
      </c>
      <c r="I630" s="43" t="n">
        <v>2299</v>
      </c>
      <c r="J630" s="40" t="n">
        <v>0</v>
      </c>
    </row>
    <row r="631" customFormat="false" ht="15" hidden="false" customHeight="false" outlineLevel="0" collapsed="false">
      <c r="A631" s="37" t="s">
        <v>770</v>
      </c>
      <c r="B631" s="42" t="n">
        <v>45913</v>
      </c>
      <c r="C631" s="37" t="s">
        <v>169</v>
      </c>
      <c r="D631" s="37" t="s">
        <v>44</v>
      </c>
      <c r="E631" s="37" t="s">
        <v>97</v>
      </c>
      <c r="F631" s="37" t="s">
        <v>112</v>
      </c>
      <c r="G631" s="37" t="s">
        <v>92</v>
      </c>
      <c r="H631" s="37" t="n">
        <v>3</v>
      </c>
      <c r="I631" s="43" t="n">
        <v>3299</v>
      </c>
      <c r="J631" s="40" t="n">
        <v>0.15</v>
      </c>
    </row>
    <row r="632" customFormat="false" ht="15" hidden="false" customHeight="false" outlineLevel="0" collapsed="false">
      <c r="A632" s="37" t="s">
        <v>771</v>
      </c>
      <c r="B632" s="42" t="n">
        <v>45912</v>
      </c>
      <c r="C632" s="37" t="s">
        <v>146</v>
      </c>
      <c r="D632" s="37" t="s">
        <v>45</v>
      </c>
      <c r="E632" s="37" t="s">
        <v>97</v>
      </c>
      <c r="F632" s="37" t="s">
        <v>115</v>
      </c>
      <c r="G632" s="37" t="s">
        <v>92</v>
      </c>
      <c r="H632" s="37" t="n">
        <v>2</v>
      </c>
      <c r="I632" s="43" t="n">
        <v>1799</v>
      </c>
      <c r="J632" s="40" t="n">
        <v>0</v>
      </c>
    </row>
    <row r="633" customFormat="false" ht="15" hidden="false" customHeight="false" outlineLevel="0" collapsed="false">
      <c r="A633" s="37" t="s">
        <v>772</v>
      </c>
      <c r="B633" s="42" t="n">
        <v>45928</v>
      </c>
      <c r="C633" s="37" t="s">
        <v>169</v>
      </c>
      <c r="D633" s="37" t="s">
        <v>44</v>
      </c>
      <c r="E633" s="37" t="s">
        <v>96</v>
      </c>
      <c r="F633" s="37" t="s">
        <v>110</v>
      </c>
      <c r="G633" s="37" t="s">
        <v>90</v>
      </c>
      <c r="H633" s="37" t="n">
        <v>2</v>
      </c>
      <c r="I633" s="43" t="n">
        <v>1299</v>
      </c>
      <c r="J633" s="40" t="n">
        <v>0.1</v>
      </c>
    </row>
    <row r="634" customFormat="false" ht="15" hidden="false" customHeight="false" outlineLevel="0" collapsed="false">
      <c r="A634" s="37" t="s">
        <v>773</v>
      </c>
      <c r="B634" s="42" t="n">
        <v>45925</v>
      </c>
      <c r="C634" s="37" t="s">
        <v>146</v>
      </c>
      <c r="D634" s="37" t="s">
        <v>45</v>
      </c>
      <c r="E634" s="37" t="s">
        <v>96</v>
      </c>
      <c r="F634" s="37" t="s">
        <v>108</v>
      </c>
      <c r="G634" s="37" t="s">
        <v>90</v>
      </c>
      <c r="H634" s="37" t="n">
        <v>1</v>
      </c>
      <c r="I634" s="43" t="n">
        <v>1999</v>
      </c>
      <c r="J634" s="40" t="n">
        <v>0.15</v>
      </c>
    </row>
    <row r="635" customFormat="false" ht="15" hidden="false" customHeight="false" outlineLevel="0" collapsed="false">
      <c r="A635" s="37" t="s">
        <v>774</v>
      </c>
      <c r="B635" s="37" t="s">
        <v>1183</v>
      </c>
      <c r="C635" s="37" t="s">
        <v>136</v>
      </c>
      <c r="D635" s="37" t="s">
        <v>47</v>
      </c>
      <c r="E635" s="37" t="s">
        <v>97</v>
      </c>
      <c r="F635" s="37" t="s">
        <v>122</v>
      </c>
      <c r="G635" s="37" t="s">
        <v>93</v>
      </c>
      <c r="H635" s="37" t="n">
        <v>2</v>
      </c>
      <c r="I635" s="43" t="n">
        <v>1799</v>
      </c>
      <c r="J635" s="40" t="n">
        <v>0.15</v>
      </c>
    </row>
    <row r="636" customFormat="false" ht="15" hidden="false" customHeight="false" outlineLevel="0" collapsed="false">
      <c r="A636" s="37" t="s">
        <v>775</v>
      </c>
      <c r="B636" s="42" t="n">
        <v>45927</v>
      </c>
      <c r="C636" s="37" t="s">
        <v>138</v>
      </c>
      <c r="D636" s="37" t="s">
        <v>46</v>
      </c>
      <c r="E636" s="37" t="s">
        <v>1158</v>
      </c>
      <c r="F636" s="37" t="s">
        <v>122</v>
      </c>
      <c r="G636" s="37" t="s">
        <v>93</v>
      </c>
      <c r="H636" s="37" t="n">
        <v>2</v>
      </c>
      <c r="I636" s="43" t="n">
        <v>1799</v>
      </c>
      <c r="J636" s="40" t="n">
        <v>0.25</v>
      </c>
    </row>
    <row r="637" customFormat="false" ht="15" hidden="false" customHeight="false" outlineLevel="0" collapsed="false">
      <c r="A637" s="37" t="s">
        <v>776</v>
      </c>
      <c r="B637" s="42" t="n">
        <v>45903</v>
      </c>
      <c r="C637" s="37" t="s">
        <v>140</v>
      </c>
      <c r="D637" s="37" t="s">
        <v>44</v>
      </c>
      <c r="E637" s="37" t="s">
        <v>97</v>
      </c>
      <c r="F637" s="37" t="s">
        <v>117</v>
      </c>
      <c r="G637" s="37" t="s">
        <v>91</v>
      </c>
      <c r="H637" s="37" t="n">
        <v>1</v>
      </c>
      <c r="I637" s="43" t="n">
        <v>1499</v>
      </c>
      <c r="J637" s="40" t="n">
        <v>0.05</v>
      </c>
    </row>
    <row r="638" customFormat="false" ht="15" hidden="false" customHeight="false" outlineLevel="0" collapsed="false">
      <c r="A638" s="37" t="s">
        <v>777</v>
      </c>
      <c r="B638" s="42" t="n">
        <v>45906</v>
      </c>
      <c r="C638" s="37" t="s">
        <v>142</v>
      </c>
      <c r="D638" s="37" t="s">
        <v>47</v>
      </c>
      <c r="E638" s="37" t="s">
        <v>96</v>
      </c>
      <c r="F638" s="37" t="s">
        <v>121</v>
      </c>
      <c r="G638" s="37" t="s">
        <v>93</v>
      </c>
      <c r="H638" s="37" t="n">
        <v>2</v>
      </c>
      <c r="I638" s="43" t="n">
        <v>999</v>
      </c>
      <c r="J638" s="40" t="n">
        <v>0.25</v>
      </c>
    </row>
    <row r="639" customFormat="false" ht="15" hidden="false" customHeight="false" outlineLevel="0" collapsed="false">
      <c r="A639" s="37" t="s">
        <v>778</v>
      </c>
      <c r="B639" s="42" t="n">
        <v>45905</v>
      </c>
      <c r="C639" s="37" t="s">
        <v>172</v>
      </c>
      <c r="D639" s="37" t="s">
        <v>46</v>
      </c>
      <c r="E639" s="37" t="s">
        <v>96</v>
      </c>
      <c r="F639" s="37" t="s">
        <v>123</v>
      </c>
      <c r="G639" s="37" t="s">
        <v>93</v>
      </c>
      <c r="H639" s="37" t="n">
        <v>2</v>
      </c>
      <c r="I639" s="43" t="n">
        <v>1299</v>
      </c>
      <c r="J639" s="40" t="n">
        <v>0</v>
      </c>
    </row>
    <row r="640" customFormat="false" ht="15" hidden="false" customHeight="false" outlineLevel="0" collapsed="false">
      <c r="A640" s="37" t="s">
        <v>779</v>
      </c>
      <c r="B640" s="42" t="n">
        <v>45927</v>
      </c>
      <c r="C640" s="37" t="s">
        <v>169</v>
      </c>
      <c r="D640" s="37" t="s">
        <v>44</v>
      </c>
      <c r="E640" s="37" t="s">
        <v>96</v>
      </c>
      <c r="F640" s="37" t="s">
        <v>110</v>
      </c>
      <c r="G640" s="37" t="s">
        <v>90</v>
      </c>
      <c r="H640" s="37" t="n">
        <v>1</v>
      </c>
      <c r="I640" s="43" t="n">
        <v>1299</v>
      </c>
      <c r="J640" s="40" t="n">
        <v>0.25</v>
      </c>
    </row>
    <row r="641" customFormat="false" ht="15" hidden="false" customHeight="false" outlineLevel="0" collapsed="false">
      <c r="A641" s="37" t="s">
        <v>780</v>
      </c>
      <c r="B641" s="42" t="n">
        <v>45920</v>
      </c>
      <c r="C641" s="37" t="s">
        <v>144</v>
      </c>
      <c r="D641" s="37" t="s">
        <v>45</v>
      </c>
      <c r="E641" s="37" t="s">
        <v>97</v>
      </c>
      <c r="F641" s="37" t="s">
        <v>112</v>
      </c>
      <c r="G641" s="37"/>
      <c r="H641" s="37" t="n">
        <v>1</v>
      </c>
      <c r="I641" s="43" t="n">
        <v>3299</v>
      </c>
      <c r="J641" s="40" t="n">
        <v>0.05</v>
      </c>
    </row>
    <row r="642" customFormat="false" ht="15" hidden="false" customHeight="false" outlineLevel="0" collapsed="false">
      <c r="A642" s="37" t="s">
        <v>781</v>
      </c>
      <c r="B642" s="42" t="n">
        <v>45928</v>
      </c>
      <c r="C642" s="37" t="s">
        <v>140</v>
      </c>
      <c r="D642" s="37" t="s">
        <v>44</v>
      </c>
      <c r="E642" s="37" t="s">
        <v>97</v>
      </c>
      <c r="F642" s="37" t="s">
        <v>121</v>
      </c>
      <c r="G642" s="37" t="s">
        <v>93</v>
      </c>
      <c r="H642" s="37" t="n">
        <v>4</v>
      </c>
      <c r="I642" s="43" t="n">
        <v>999</v>
      </c>
      <c r="J642" s="40" t="n">
        <v>0.15</v>
      </c>
    </row>
    <row r="643" customFormat="false" ht="15" hidden="false" customHeight="false" outlineLevel="0" collapsed="false">
      <c r="A643" s="37" t="s">
        <v>782</v>
      </c>
      <c r="B643" s="42" t="n">
        <v>45926</v>
      </c>
      <c r="C643" s="37" t="s">
        <v>169</v>
      </c>
      <c r="D643" s="37" t="s">
        <v>44</v>
      </c>
      <c r="E643" s="37" t="s">
        <v>97</v>
      </c>
      <c r="F643" s="37" t="s">
        <v>114</v>
      </c>
      <c r="G643" s="37" t="s">
        <v>92</v>
      </c>
      <c r="H643" s="37" t="n">
        <v>5</v>
      </c>
      <c r="I643" s="43" t="n">
        <v>1199</v>
      </c>
      <c r="J643" s="37" t="s">
        <v>1164</v>
      </c>
    </row>
    <row r="644" customFormat="false" ht="15" hidden="false" customHeight="false" outlineLevel="0" collapsed="false">
      <c r="A644" s="37" t="s">
        <v>783</v>
      </c>
      <c r="B644" s="42" t="n">
        <v>45922</v>
      </c>
      <c r="C644" s="37" t="s">
        <v>136</v>
      </c>
      <c r="D644" s="37" t="s">
        <v>47</v>
      </c>
      <c r="E644" s="37" t="s">
        <v>96</v>
      </c>
      <c r="F644" s="37" t="s">
        <v>111</v>
      </c>
      <c r="G644" s="37" t="s">
        <v>90</v>
      </c>
      <c r="H644" s="37" t="n">
        <v>3</v>
      </c>
      <c r="I644" s="43" t="n">
        <v>2499</v>
      </c>
      <c r="J644" s="40" t="n">
        <v>0.05</v>
      </c>
    </row>
    <row r="645" customFormat="false" ht="15" hidden="false" customHeight="false" outlineLevel="0" collapsed="false">
      <c r="A645" s="37" t="s">
        <v>784</v>
      </c>
      <c r="B645" s="42" t="n">
        <v>45912</v>
      </c>
      <c r="C645" s="37" t="s">
        <v>140</v>
      </c>
      <c r="D645" s="37" t="s">
        <v>44</v>
      </c>
      <c r="E645" s="37" t="s">
        <v>96</v>
      </c>
      <c r="F645" s="37" t="s">
        <v>118</v>
      </c>
      <c r="G645" s="37" t="s">
        <v>91</v>
      </c>
      <c r="H645" s="37" t="n">
        <v>1</v>
      </c>
      <c r="I645" s="43" t="n">
        <v>2299</v>
      </c>
      <c r="J645" s="40" t="n">
        <v>0.25</v>
      </c>
    </row>
    <row r="646" customFormat="false" ht="15" hidden="false" customHeight="false" outlineLevel="0" collapsed="false">
      <c r="A646" s="37" t="s">
        <v>785</v>
      </c>
      <c r="B646" s="42" t="n">
        <v>45921</v>
      </c>
      <c r="C646" s="37" t="s">
        <v>172</v>
      </c>
      <c r="D646" s="37" t="s">
        <v>46</v>
      </c>
      <c r="E646" s="37" t="s">
        <v>96</v>
      </c>
      <c r="F646" s="37" t="s">
        <v>110</v>
      </c>
      <c r="G646" s="37" t="s">
        <v>90</v>
      </c>
      <c r="H646" s="37" t="n">
        <v>4</v>
      </c>
      <c r="I646" s="43" t="n">
        <v>1299</v>
      </c>
      <c r="J646" s="40" t="n">
        <v>0.25</v>
      </c>
    </row>
    <row r="647" customFormat="false" ht="15" hidden="false" customHeight="false" outlineLevel="0" collapsed="false">
      <c r="A647" s="37" t="s">
        <v>786</v>
      </c>
      <c r="B647" s="42" t="n">
        <v>45909</v>
      </c>
      <c r="C647" s="37" t="s">
        <v>142</v>
      </c>
      <c r="D647" s="37" t="s">
        <v>47</v>
      </c>
      <c r="E647" s="37" t="s">
        <v>96</v>
      </c>
      <c r="F647" s="37" t="s">
        <v>117</v>
      </c>
      <c r="G647" s="37" t="s">
        <v>91</v>
      </c>
      <c r="H647" s="37" t="n">
        <v>3</v>
      </c>
      <c r="I647" s="43" t="n">
        <v>1499</v>
      </c>
      <c r="J647" s="40" t="n">
        <v>0.2</v>
      </c>
    </row>
    <row r="648" customFormat="false" ht="15" hidden="false" customHeight="false" outlineLevel="0" collapsed="false">
      <c r="A648" s="37" t="s">
        <v>787</v>
      </c>
      <c r="B648" s="42" t="n">
        <v>45918</v>
      </c>
      <c r="C648" s="37" t="s">
        <v>140</v>
      </c>
      <c r="D648" s="37" t="s">
        <v>44</v>
      </c>
      <c r="E648" s="37" t="s">
        <v>96</v>
      </c>
      <c r="F648" s="37" t="s">
        <v>117</v>
      </c>
      <c r="G648" s="37" t="s">
        <v>91</v>
      </c>
      <c r="H648" s="37" t="n">
        <v>1</v>
      </c>
      <c r="I648" s="43" t="n">
        <v>1499</v>
      </c>
      <c r="J648" s="40" t="n">
        <v>0.15</v>
      </c>
    </row>
    <row r="649" customFormat="false" ht="15" hidden="false" customHeight="false" outlineLevel="0" collapsed="false">
      <c r="A649" s="37" t="s">
        <v>788</v>
      </c>
      <c r="B649" s="42" t="n">
        <v>45920</v>
      </c>
      <c r="C649" s="37" t="s">
        <v>144</v>
      </c>
      <c r="D649" s="37" t="s">
        <v>45</v>
      </c>
      <c r="E649" s="37" t="s">
        <v>97</v>
      </c>
      <c r="F649" s="37" t="s">
        <v>114</v>
      </c>
      <c r="G649" s="37" t="s">
        <v>92</v>
      </c>
      <c r="H649" s="37" t="n">
        <v>2</v>
      </c>
      <c r="I649" s="43" t="n">
        <v>1199</v>
      </c>
      <c r="J649" s="40" t="n">
        <v>0.05</v>
      </c>
    </row>
    <row r="650" customFormat="false" ht="15" hidden="false" customHeight="false" outlineLevel="0" collapsed="false">
      <c r="A650" s="37" t="s">
        <v>789</v>
      </c>
      <c r="B650" s="42" t="n">
        <v>45909</v>
      </c>
      <c r="C650" s="37" t="s">
        <v>134</v>
      </c>
      <c r="D650" s="37" t="s">
        <v>45</v>
      </c>
      <c r="E650" s="37" t="s">
        <v>97</v>
      </c>
      <c r="F650" s="37" t="s">
        <v>108</v>
      </c>
      <c r="G650" s="37" t="s">
        <v>90</v>
      </c>
      <c r="H650" s="37" t="n">
        <v>2</v>
      </c>
      <c r="I650" s="43" t="n">
        <v>1999</v>
      </c>
      <c r="J650" s="40" t="n">
        <v>0.2</v>
      </c>
    </row>
    <row r="651" customFormat="false" ht="15" hidden="false" customHeight="false" outlineLevel="0" collapsed="false">
      <c r="A651" s="37" t="s">
        <v>790</v>
      </c>
      <c r="B651" s="42" t="n">
        <v>45908</v>
      </c>
      <c r="C651" s="37" t="s">
        <v>1184</v>
      </c>
      <c r="D651" s="37" t="s">
        <v>47</v>
      </c>
      <c r="E651" s="37" t="s">
        <v>97</v>
      </c>
      <c r="F651" s="37" t="s">
        <v>117</v>
      </c>
      <c r="G651" s="37" t="s">
        <v>91</v>
      </c>
      <c r="H651" s="37" t="n">
        <v>1</v>
      </c>
      <c r="I651" s="43" t="n">
        <v>1499</v>
      </c>
      <c r="J651" s="40" t="n">
        <v>0</v>
      </c>
    </row>
    <row r="652" customFormat="false" ht="15" hidden="false" customHeight="false" outlineLevel="0" collapsed="false">
      <c r="A652" s="37" t="s">
        <v>791</v>
      </c>
      <c r="B652" s="42" t="n">
        <v>45909</v>
      </c>
      <c r="C652" s="37" t="s">
        <v>166</v>
      </c>
      <c r="D652" s="37" t="s">
        <v>44</v>
      </c>
      <c r="E652" s="37" t="s">
        <v>96</v>
      </c>
      <c r="F652" s="37" t="s">
        <v>119</v>
      </c>
      <c r="G652" s="37" t="s">
        <v>91</v>
      </c>
      <c r="H652" s="37" t="n">
        <v>1</v>
      </c>
      <c r="I652" s="43" t="n">
        <v>1099</v>
      </c>
      <c r="J652" s="40" t="n">
        <v>0.2</v>
      </c>
    </row>
    <row r="653" customFormat="false" ht="15" hidden="false" customHeight="false" outlineLevel="0" collapsed="false">
      <c r="A653" s="37" t="s">
        <v>792</v>
      </c>
      <c r="B653" s="42" t="n">
        <v>45927</v>
      </c>
      <c r="C653" s="37" t="s">
        <v>144</v>
      </c>
      <c r="D653" s="37" t="s">
        <v>45</v>
      </c>
      <c r="E653" s="37" t="s">
        <v>97</v>
      </c>
      <c r="F653" s="37" t="s">
        <v>108</v>
      </c>
      <c r="G653" s="37" t="s">
        <v>90</v>
      </c>
      <c r="H653" s="37" t="n">
        <v>1</v>
      </c>
      <c r="I653" s="43" t="n">
        <v>1999</v>
      </c>
      <c r="J653" s="40" t="n">
        <v>0</v>
      </c>
    </row>
    <row r="654" customFormat="false" ht="15" hidden="false" customHeight="false" outlineLevel="0" collapsed="false">
      <c r="A654" s="37" t="s">
        <v>793</v>
      </c>
      <c r="B654" s="42" t="n">
        <v>45926</v>
      </c>
      <c r="C654" s="37" t="s">
        <v>134</v>
      </c>
      <c r="D654" s="37" t="s">
        <v>45</v>
      </c>
      <c r="E654" s="37" t="s">
        <v>96</v>
      </c>
      <c r="F654" s="37" t="s">
        <v>119</v>
      </c>
      <c r="G654" s="37" t="s">
        <v>91</v>
      </c>
      <c r="H654" s="37" t="n">
        <v>2</v>
      </c>
      <c r="I654" s="43" t="n">
        <v>1099</v>
      </c>
      <c r="J654" s="37" t="s">
        <v>1181</v>
      </c>
    </row>
    <row r="655" customFormat="false" ht="15" hidden="false" customHeight="false" outlineLevel="0" collapsed="false">
      <c r="A655" s="37" t="s">
        <v>794</v>
      </c>
      <c r="B655" s="37" t="s">
        <v>1185</v>
      </c>
      <c r="C655" s="37" t="s">
        <v>172</v>
      </c>
      <c r="D655" s="37" t="s">
        <v>46</v>
      </c>
      <c r="E655" s="37" t="s">
        <v>97</v>
      </c>
      <c r="F655" s="37" t="s">
        <v>120</v>
      </c>
      <c r="G655" s="37" t="s">
        <v>93</v>
      </c>
      <c r="H655" s="37" t="n">
        <v>2</v>
      </c>
      <c r="I655" s="43" t="n">
        <v>449</v>
      </c>
      <c r="J655" s="40" t="n">
        <v>0</v>
      </c>
    </row>
    <row r="656" customFormat="false" ht="15" hidden="false" customHeight="false" outlineLevel="0" collapsed="false">
      <c r="A656" s="37" t="s">
        <v>795</v>
      </c>
      <c r="B656" s="37" t="s">
        <v>1186</v>
      </c>
      <c r="C656" s="37" t="s">
        <v>166</v>
      </c>
      <c r="D656" s="37" t="s">
        <v>44</v>
      </c>
      <c r="E656" s="37" t="s">
        <v>96</v>
      </c>
      <c r="F656" s="37" t="s">
        <v>112</v>
      </c>
      <c r="G656" s="37" t="s">
        <v>92</v>
      </c>
      <c r="H656" s="37" t="n">
        <v>5</v>
      </c>
      <c r="I656" s="43" t="n">
        <v>3299</v>
      </c>
      <c r="J656" s="40" t="n">
        <v>0.1</v>
      </c>
    </row>
    <row r="657" customFormat="false" ht="15" hidden="false" customHeight="false" outlineLevel="0" collapsed="false">
      <c r="A657" s="37" t="s">
        <v>795</v>
      </c>
      <c r="B657" s="37" t="s">
        <v>1186</v>
      </c>
      <c r="C657" s="37" t="s">
        <v>166</v>
      </c>
      <c r="D657" s="37" t="s">
        <v>44</v>
      </c>
      <c r="E657" s="37" t="s">
        <v>96</v>
      </c>
      <c r="F657" s="37" t="s">
        <v>112</v>
      </c>
      <c r="G657" s="37" t="s">
        <v>92</v>
      </c>
      <c r="H657" s="37" t="n">
        <v>5</v>
      </c>
      <c r="I657" s="43" t="n">
        <v>3299</v>
      </c>
      <c r="J657" s="40" t="n">
        <v>0.1</v>
      </c>
    </row>
    <row r="658" customFormat="false" ht="15" hidden="false" customHeight="false" outlineLevel="0" collapsed="false">
      <c r="A658" s="37" t="s">
        <v>796</v>
      </c>
      <c r="B658" s="42" t="n">
        <v>45905</v>
      </c>
      <c r="C658" s="37" t="s">
        <v>144</v>
      </c>
      <c r="D658" s="37" t="s">
        <v>45</v>
      </c>
      <c r="E658" s="37" t="s">
        <v>96</v>
      </c>
      <c r="F658" s="37" t="s">
        <v>120</v>
      </c>
      <c r="G658" s="37" t="s">
        <v>93</v>
      </c>
      <c r="H658" s="37" t="n">
        <v>2</v>
      </c>
      <c r="I658" s="43" t="n">
        <v>449</v>
      </c>
      <c r="J658" s="40" t="n">
        <v>0.05</v>
      </c>
    </row>
    <row r="659" customFormat="false" ht="15" hidden="false" customHeight="false" outlineLevel="0" collapsed="false">
      <c r="A659" s="37" t="s">
        <v>797</v>
      </c>
      <c r="B659" s="42" t="n">
        <v>45904</v>
      </c>
      <c r="C659" s="37" t="s">
        <v>169</v>
      </c>
      <c r="D659" s="37" t="s">
        <v>44</v>
      </c>
      <c r="E659" s="37" t="s">
        <v>96</v>
      </c>
      <c r="F659" s="37" t="s">
        <v>111</v>
      </c>
      <c r="G659" s="37" t="s">
        <v>90</v>
      </c>
      <c r="H659" s="37" t="n">
        <v>1</v>
      </c>
      <c r="I659" s="43" t="n">
        <v>2499</v>
      </c>
      <c r="J659" s="40" t="n">
        <v>0.25</v>
      </c>
    </row>
    <row r="660" customFormat="false" ht="15" hidden="false" customHeight="false" outlineLevel="0" collapsed="false">
      <c r="A660" s="37" t="s">
        <v>798</v>
      </c>
      <c r="B660" s="42" t="n">
        <v>45908</v>
      </c>
      <c r="C660" s="37" t="s">
        <v>144</v>
      </c>
      <c r="D660" s="37" t="s">
        <v>45</v>
      </c>
      <c r="E660" s="37" t="s">
        <v>96</v>
      </c>
      <c r="F660" s="37" t="s">
        <v>121</v>
      </c>
      <c r="G660" s="37" t="s">
        <v>93</v>
      </c>
      <c r="H660" s="37" t="n">
        <v>1</v>
      </c>
      <c r="I660" s="43" t="n">
        <v>999</v>
      </c>
      <c r="J660" s="40" t="n">
        <v>0</v>
      </c>
    </row>
    <row r="661" customFormat="false" ht="15" hidden="false" customHeight="false" outlineLevel="0" collapsed="false">
      <c r="A661" s="37" t="s">
        <v>799</v>
      </c>
      <c r="B661" s="42" t="n">
        <v>45928</v>
      </c>
      <c r="C661" s="37" t="s">
        <v>160</v>
      </c>
      <c r="D661" s="37" t="s">
        <v>46</v>
      </c>
      <c r="E661" s="37" t="s">
        <v>96</v>
      </c>
      <c r="F661" s="37" t="s">
        <v>110</v>
      </c>
      <c r="G661" s="37" t="s">
        <v>90</v>
      </c>
      <c r="H661" s="37" t="n">
        <v>3</v>
      </c>
      <c r="I661" s="43" t="n">
        <v>1299</v>
      </c>
      <c r="J661" s="40" t="n">
        <v>0.1</v>
      </c>
    </row>
    <row r="662" customFormat="false" ht="15" hidden="false" customHeight="false" outlineLevel="0" collapsed="false">
      <c r="A662" s="37" t="s">
        <v>800</v>
      </c>
      <c r="B662" s="42" t="n">
        <v>45923</v>
      </c>
      <c r="C662" s="37"/>
      <c r="D662" s="37" t="s">
        <v>45</v>
      </c>
      <c r="E662" s="37" t="s">
        <v>96</v>
      </c>
      <c r="F662" s="37" t="s">
        <v>109</v>
      </c>
      <c r="G662" s="37" t="s">
        <v>90</v>
      </c>
      <c r="H662" s="37" t="n">
        <v>1</v>
      </c>
      <c r="I662" s="43" t="n">
        <v>3499</v>
      </c>
      <c r="J662" s="40" t="n">
        <v>0.2</v>
      </c>
    </row>
    <row r="663" customFormat="false" ht="15" hidden="false" customHeight="false" outlineLevel="0" collapsed="false">
      <c r="A663" s="37" t="s">
        <v>801</v>
      </c>
      <c r="B663" s="42" t="n">
        <v>45957</v>
      </c>
      <c r="C663" s="37" t="s">
        <v>154</v>
      </c>
      <c r="D663" s="37" t="s">
        <v>47</v>
      </c>
      <c r="E663" s="37" t="s">
        <v>97</v>
      </c>
      <c r="F663" s="37" t="s">
        <v>112</v>
      </c>
      <c r="G663" s="37" t="s">
        <v>92</v>
      </c>
      <c r="H663" s="37" t="n">
        <v>2</v>
      </c>
      <c r="I663" s="43" t="n">
        <v>3299</v>
      </c>
      <c r="J663" s="40" t="n">
        <v>0</v>
      </c>
    </row>
    <row r="664" customFormat="false" ht="15" hidden="false" customHeight="false" outlineLevel="0" collapsed="false">
      <c r="A664" s="37" t="s">
        <v>802</v>
      </c>
      <c r="B664" s="42" t="n">
        <v>45931</v>
      </c>
      <c r="C664" s="37" t="s">
        <v>154</v>
      </c>
      <c r="D664" s="37" t="s">
        <v>47</v>
      </c>
      <c r="E664" s="37" t="s">
        <v>96</v>
      </c>
      <c r="F664" s="37" t="s">
        <v>123</v>
      </c>
      <c r="G664" s="37" t="s">
        <v>93</v>
      </c>
      <c r="H664" s="37" t="n">
        <v>2</v>
      </c>
      <c r="I664" s="43" t="n">
        <v>1299</v>
      </c>
      <c r="J664" s="40" t="n">
        <v>0.4</v>
      </c>
    </row>
    <row r="665" customFormat="false" ht="15" hidden="false" customHeight="false" outlineLevel="0" collapsed="false">
      <c r="A665" s="37" t="s">
        <v>803</v>
      </c>
      <c r="B665" s="42" t="n">
        <v>45960</v>
      </c>
      <c r="C665" s="37" t="s">
        <v>154</v>
      </c>
      <c r="D665" s="37" t="s">
        <v>47</v>
      </c>
      <c r="E665" s="37" t="s">
        <v>1148</v>
      </c>
      <c r="F665" s="37" t="s">
        <v>119</v>
      </c>
      <c r="G665" s="37" t="s">
        <v>91</v>
      </c>
      <c r="H665" s="37" t="n">
        <v>2</v>
      </c>
      <c r="I665" s="43" t="n">
        <v>1099</v>
      </c>
      <c r="J665" s="40" t="n">
        <v>0.4</v>
      </c>
    </row>
    <row r="666" customFormat="false" ht="15" hidden="false" customHeight="false" outlineLevel="0" collapsed="false">
      <c r="A666" s="37" t="s">
        <v>804</v>
      </c>
      <c r="B666" s="42" t="n">
        <v>45957</v>
      </c>
      <c r="C666" s="37" t="s">
        <v>146</v>
      </c>
      <c r="D666" s="37" t="s">
        <v>45</v>
      </c>
      <c r="E666" s="37" t="s">
        <v>96</v>
      </c>
      <c r="F666" s="37" t="s">
        <v>114</v>
      </c>
      <c r="G666" s="37" t="s">
        <v>92</v>
      </c>
      <c r="H666" s="37" t="n">
        <v>1</v>
      </c>
      <c r="I666" s="43" t="n">
        <v>1199</v>
      </c>
      <c r="J666" s="40" t="n">
        <v>0.1</v>
      </c>
    </row>
    <row r="667" customFormat="false" ht="15" hidden="false" customHeight="false" outlineLevel="0" collapsed="false">
      <c r="A667" s="37" t="s">
        <v>805</v>
      </c>
      <c r="B667" s="42" t="n">
        <v>45958</v>
      </c>
      <c r="C667" s="37" t="s">
        <v>166</v>
      </c>
      <c r="D667" s="37" t="s">
        <v>44</v>
      </c>
      <c r="E667" s="37" t="s">
        <v>96</v>
      </c>
      <c r="F667" s="37" t="s">
        <v>110</v>
      </c>
      <c r="G667" s="37" t="s">
        <v>90</v>
      </c>
      <c r="H667" s="37" t="n">
        <v>1</v>
      </c>
      <c r="I667" s="43" t="n">
        <v>1299</v>
      </c>
      <c r="J667" s="40" t="n">
        <v>0.4</v>
      </c>
    </row>
    <row r="668" customFormat="false" ht="15" hidden="false" customHeight="false" outlineLevel="0" collapsed="false">
      <c r="A668" s="37" t="s">
        <v>806</v>
      </c>
      <c r="B668" s="42" t="n">
        <v>45955</v>
      </c>
      <c r="C668" s="37" t="s">
        <v>134</v>
      </c>
      <c r="D668" s="37" t="s">
        <v>45</v>
      </c>
      <c r="E668" s="37" t="s">
        <v>97</v>
      </c>
      <c r="F668" s="37" t="s">
        <v>111</v>
      </c>
      <c r="G668" s="37" t="s">
        <v>90</v>
      </c>
      <c r="H668" s="37" t="n">
        <v>1</v>
      </c>
      <c r="I668" s="43" t="n">
        <v>2499</v>
      </c>
      <c r="J668" s="40" t="n">
        <v>0.25</v>
      </c>
    </row>
    <row r="669" customFormat="false" ht="15" hidden="false" customHeight="false" outlineLevel="0" collapsed="false">
      <c r="A669" s="37" t="s">
        <v>807</v>
      </c>
      <c r="B669" s="42" t="n">
        <v>45933</v>
      </c>
      <c r="C669" s="37" t="s">
        <v>134</v>
      </c>
      <c r="D669" s="37" t="s">
        <v>45</v>
      </c>
      <c r="E669" s="37" t="s">
        <v>97</v>
      </c>
      <c r="F669" s="37" t="s">
        <v>114</v>
      </c>
      <c r="G669" s="37" t="s">
        <v>92</v>
      </c>
      <c r="H669" s="37" t="n">
        <v>2</v>
      </c>
      <c r="I669" s="43" t="n">
        <v>1199</v>
      </c>
      <c r="J669" s="40" t="n">
        <v>0.05</v>
      </c>
    </row>
    <row r="670" customFormat="false" ht="15" hidden="false" customHeight="false" outlineLevel="0" collapsed="false">
      <c r="A670" s="37" t="s">
        <v>808</v>
      </c>
      <c r="B670" s="42" t="n">
        <v>45947</v>
      </c>
      <c r="C670" s="37" t="s">
        <v>169</v>
      </c>
      <c r="D670" s="37" t="s">
        <v>44</v>
      </c>
      <c r="E670" s="37" t="s">
        <v>97</v>
      </c>
      <c r="F670" s="37" t="s">
        <v>108</v>
      </c>
      <c r="G670" s="37" t="s">
        <v>90</v>
      </c>
      <c r="H670" s="37" t="n">
        <v>1</v>
      </c>
      <c r="I670" s="43" t="n">
        <v>1999</v>
      </c>
      <c r="J670" s="40" t="n">
        <v>0.25</v>
      </c>
    </row>
    <row r="671" customFormat="false" ht="15" hidden="false" customHeight="false" outlineLevel="0" collapsed="false">
      <c r="A671" s="37" t="s">
        <v>809</v>
      </c>
      <c r="B671" s="42" t="n">
        <v>45932</v>
      </c>
      <c r="C671" s="37" t="s">
        <v>136</v>
      </c>
      <c r="D671" s="37" t="s">
        <v>47</v>
      </c>
      <c r="E671" s="37" t="s">
        <v>96</v>
      </c>
      <c r="F671" s="37" t="s">
        <v>110</v>
      </c>
      <c r="G671" s="37" t="s">
        <v>90</v>
      </c>
      <c r="H671" s="37" t="n">
        <v>3</v>
      </c>
      <c r="I671" s="43" t="n">
        <v>1299</v>
      </c>
      <c r="J671" s="40" t="n">
        <v>0.25</v>
      </c>
    </row>
    <row r="672" customFormat="false" ht="15" hidden="false" customHeight="false" outlineLevel="0" collapsed="false">
      <c r="A672" s="37" t="s">
        <v>810</v>
      </c>
      <c r="B672" s="42" t="n">
        <v>45933</v>
      </c>
      <c r="C672" s="37" t="s">
        <v>144</v>
      </c>
      <c r="D672" s="37" t="s">
        <v>45</v>
      </c>
      <c r="E672" s="37" t="s">
        <v>96</v>
      </c>
      <c r="F672" s="37" t="s">
        <v>115</v>
      </c>
      <c r="G672" s="37" t="s">
        <v>92</v>
      </c>
      <c r="H672" s="37" t="n">
        <v>1</v>
      </c>
      <c r="I672" s="43" t="n">
        <v>1799</v>
      </c>
      <c r="J672" s="40" t="n">
        <v>0.3</v>
      </c>
    </row>
    <row r="673" customFormat="false" ht="15" hidden="false" customHeight="false" outlineLevel="0" collapsed="false">
      <c r="A673" s="37" t="s">
        <v>811</v>
      </c>
      <c r="B673" s="42" t="n">
        <v>45953</v>
      </c>
      <c r="C673" s="37" t="s">
        <v>142</v>
      </c>
      <c r="D673" s="37" t="s">
        <v>47</v>
      </c>
      <c r="E673" s="37" t="s">
        <v>96</v>
      </c>
      <c r="F673" s="37" t="s">
        <v>119</v>
      </c>
      <c r="G673" s="37" t="s">
        <v>91</v>
      </c>
      <c r="H673" s="37" t="n">
        <v>1</v>
      </c>
      <c r="I673" s="43" t="n">
        <v>1099</v>
      </c>
      <c r="J673" s="40" t="n">
        <v>0.25</v>
      </c>
    </row>
    <row r="674" customFormat="false" ht="15" hidden="false" customHeight="false" outlineLevel="0" collapsed="false">
      <c r="A674" s="37" t="s">
        <v>812</v>
      </c>
      <c r="B674" s="42" t="n">
        <v>45939</v>
      </c>
      <c r="C674" s="37" t="s">
        <v>144</v>
      </c>
      <c r="D674" s="37" t="s">
        <v>45</v>
      </c>
      <c r="E674" s="37" t="s">
        <v>97</v>
      </c>
      <c r="F674" s="37" t="s">
        <v>119</v>
      </c>
      <c r="G674" s="37" t="s">
        <v>91</v>
      </c>
      <c r="H674" s="37" t="n">
        <v>1</v>
      </c>
      <c r="I674" s="43" t="n">
        <v>1099</v>
      </c>
      <c r="J674" s="40" t="n">
        <v>0</v>
      </c>
    </row>
    <row r="675" customFormat="false" ht="15" hidden="false" customHeight="false" outlineLevel="0" collapsed="false">
      <c r="A675" s="37" t="s">
        <v>813</v>
      </c>
      <c r="B675" s="42" t="n">
        <v>45939</v>
      </c>
      <c r="C675" s="37" t="s">
        <v>140</v>
      </c>
      <c r="D675" s="37" t="s">
        <v>44</v>
      </c>
      <c r="E675" s="37" t="s">
        <v>96</v>
      </c>
      <c r="F675" s="37" t="s">
        <v>110</v>
      </c>
      <c r="G675" s="37" t="s">
        <v>90</v>
      </c>
      <c r="H675" s="37" t="n">
        <v>2</v>
      </c>
      <c r="I675" s="43" t="n">
        <v>1299</v>
      </c>
      <c r="J675" s="40" t="n">
        <v>0.3</v>
      </c>
    </row>
    <row r="676" customFormat="false" ht="15" hidden="false" customHeight="false" outlineLevel="0" collapsed="false">
      <c r="A676" s="37" t="s">
        <v>814</v>
      </c>
      <c r="B676" s="42" t="n">
        <v>45941</v>
      </c>
      <c r="C676" s="37" t="s">
        <v>142</v>
      </c>
      <c r="D676" s="37" t="s">
        <v>47</v>
      </c>
      <c r="E676" s="37" t="s">
        <v>97</v>
      </c>
      <c r="F676" s="37" t="s">
        <v>114</v>
      </c>
      <c r="G676" s="37" t="s">
        <v>92</v>
      </c>
      <c r="H676" s="37" t="n">
        <v>1</v>
      </c>
      <c r="I676" s="43" t="n">
        <v>1199</v>
      </c>
      <c r="J676" s="40" t="n">
        <v>0.05</v>
      </c>
    </row>
    <row r="677" customFormat="false" ht="15" hidden="false" customHeight="false" outlineLevel="0" collapsed="false">
      <c r="A677" s="37" t="s">
        <v>815</v>
      </c>
      <c r="B677" s="42" t="n">
        <v>45933</v>
      </c>
      <c r="C677" s="37" t="s">
        <v>154</v>
      </c>
      <c r="D677" s="37" t="s">
        <v>47</v>
      </c>
      <c r="E677" s="37" t="s">
        <v>96</v>
      </c>
      <c r="F677" s="37" t="s">
        <v>115</v>
      </c>
      <c r="G677" s="37" t="s">
        <v>92</v>
      </c>
      <c r="H677" s="37" t="n">
        <v>3</v>
      </c>
      <c r="I677" s="43" t="n">
        <v>1799</v>
      </c>
      <c r="J677" s="40" t="n">
        <v>0.25</v>
      </c>
    </row>
    <row r="678" customFormat="false" ht="15" hidden="false" customHeight="false" outlineLevel="0" collapsed="false">
      <c r="A678" s="37" t="s">
        <v>816</v>
      </c>
      <c r="B678" s="42" t="n">
        <v>45942</v>
      </c>
      <c r="C678" s="37" t="s">
        <v>134</v>
      </c>
      <c r="D678" s="37" t="s">
        <v>45</v>
      </c>
      <c r="E678" s="37" t="s">
        <v>96</v>
      </c>
      <c r="F678" s="37" t="s">
        <v>109</v>
      </c>
      <c r="G678" s="37" t="s">
        <v>90</v>
      </c>
      <c r="H678" s="37" t="n">
        <v>1</v>
      </c>
      <c r="I678" s="43" t="n">
        <v>3499</v>
      </c>
      <c r="J678" s="40" t="n">
        <v>0.15</v>
      </c>
    </row>
    <row r="679" customFormat="false" ht="15" hidden="false" customHeight="false" outlineLevel="0" collapsed="false">
      <c r="A679" s="37" t="s">
        <v>817</v>
      </c>
      <c r="B679" s="42" t="n">
        <v>45952</v>
      </c>
      <c r="C679" s="37" t="s">
        <v>172</v>
      </c>
      <c r="D679" s="37" t="s">
        <v>46</v>
      </c>
      <c r="E679" s="37" t="s">
        <v>1147</v>
      </c>
      <c r="F679" s="37" t="s">
        <v>116</v>
      </c>
      <c r="G679" s="37" t="s">
        <v>91</v>
      </c>
      <c r="H679" s="37" t="n">
        <v>1</v>
      </c>
      <c r="I679" s="43" t="n">
        <v>899</v>
      </c>
      <c r="J679" s="40" t="n">
        <v>0.2</v>
      </c>
    </row>
    <row r="680" customFormat="false" ht="15" hidden="false" customHeight="false" outlineLevel="0" collapsed="false">
      <c r="A680" s="37" t="s">
        <v>818</v>
      </c>
      <c r="B680" s="42" t="n">
        <v>45956</v>
      </c>
      <c r="C680" s="37" t="s">
        <v>136</v>
      </c>
      <c r="D680" s="37" t="s">
        <v>47</v>
      </c>
      <c r="E680" s="37" t="s">
        <v>97</v>
      </c>
      <c r="F680" s="37" t="s">
        <v>120</v>
      </c>
      <c r="G680" s="37" t="s">
        <v>93</v>
      </c>
      <c r="H680" s="37" t="n">
        <v>1</v>
      </c>
      <c r="I680" s="43" t="n">
        <v>449</v>
      </c>
      <c r="J680" s="40" t="n">
        <v>0</v>
      </c>
    </row>
    <row r="681" customFormat="false" ht="15" hidden="false" customHeight="false" outlineLevel="0" collapsed="false">
      <c r="A681" s="37" t="s">
        <v>819</v>
      </c>
      <c r="B681" s="42" t="n">
        <v>45951</v>
      </c>
      <c r="C681" s="37" t="s">
        <v>140</v>
      </c>
      <c r="D681" s="37" t="s">
        <v>44</v>
      </c>
      <c r="E681" s="37" t="s">
        <v>97</v>
      </c>
      <c r="F681" s="37" t="s">
        <v>115</v>
      </c>
      <c r="G681" s="37" t="s">
        <v>92</v>
      </c>
      <c r="H681" s="37" t="n">
        <v>3</v>
      </c>
      <c r="I681" s="43" t="n">
        <v>1799</v>
      </c>
      <c r="J681" s="40" t="n">
        <v>0.1</v>
      </c>
    </row>
    <row r="682" customFormat="false" ht="15" hidden="false" customHeight="false" outlineLevel="0" collapsed="false">
      <c r="A682" s="37" t="s">
        <v>820</v>
      </c>
      <c r="B682" s="42" t="n">
        <v>45932</v>
      </c>
      <c r="C682" s="37" t="s">
        <v>146</v>
      </c>
      <c r="D682" s="37" t="s">
        <v>45</v>
      </c>
      <c r="E682" s="37" t="s">
        <v>97</v>
      </c>
      <c r="F682" s="37" t="s">
        <v>111</v>
      </c>
      <c r="G682" s="37" t="s">
        <v>90</v>
      </c>
      <c r="H682" s="37" t="n">
        <v>1</v>
      </c>
      <c r="I682" s="43" t="n">
        <v>2499</v>
      </c>
      <c r="J682" s="40" t="n">
        <v>0.1</v>
      </c>
    </row>
    <row r="683" customFormat="false" ht="15" hidden="false" customHeight="false" outlineLevel="0" collapsed="false">
      <c r="A683" s="37" t="s">
        <v>821</v>
      </c>
      <c r="B683" s="42" t="n">
        <v>45959</v>
      </c>
      <c r="C683" s="37" t="s">
        <v>140</v>
      </c>
      <c r="D683" s="37" t="s">
        <v>44</v>
      </c>
      <c r="E683" s="37" t="s">
        <v>96</v>
      </c>
      <c r="F683" s="37" t="s">
        <v>119</v>
      </c>
      <c r="G683" s="37" t="s">
        <v>91</v>
      </c>
      <c r="H683" s="37" t="n">
        <v>1</v>
      </c>
      <c r="I683" s="43" t="n">
        <v>1099</v>
      </c>
      <c r="J683" s="40" t="n">
        <v>0.15</v>
      </c>
    </row>
    <row r="684" customFormat="false" ht="15" hidden="false" customHeight="false" outlineLevel="0" collapsed="false">
      <c r="A684" s="37" t="s">
        <v>822</v>
      </c>
      <c r="B684" s="42" t="n">
        <v>45936</v>
      </c>
      <c r="C684" s="37" t="s">
        <v>166</v>
      </c>
      <c r="D684" s="37" t="s">
        <v>44</v>
      </c>
      <c r="E684" s="37" t="s">
        <v>97</v>
      </c>
      <c r="F684" s="37" t="s">
        <v>123</v>
      </c>
      <c r="G684" s="37" t="s">
        <v>93</v>
      </c>
      <c r="H684" s="37" t="n">
        <v>1</v>
      </c>
      <c r="I684" s="43" t="n">
        <v>1299</v>
      </c>
      <c r="J684" s="40" t="n">
        <v>0.05</v>
      </c>
    </row>
    <row r="685" customFormat="false" ht="15" hidden="false" customHeight="false" outlineLevel="0" collapsed="false">
      <c r="A685" s="37" t="s">
        <v>822</v>
      </c>
      <c r="B685" s="42" t="n">
        <v>45936</v>
      </c>
      <c r="C685" s="37" t="s">
        <v>166</v>
      </c>
      <c r="D685" s="37" t="s">
        <v>44</v>
      </c>
      <c r="E685" s="37" t="s">
        <v>97</v>
      </c>
      <c r="F685" s="37" t="s">
        <v>123</v>
      </c>
      <c r="G685" s="37" t="s">
        <v>93</v>
      </c>
      <c r="H685" s="37" t="n">
        <v>1</v>
      </c>
      <c r="I685" s="43" t="n">
        <v>1299</v>
      </c>
      <c r="J685" s="40" t="n">
        <v>0.05</v>
      </c>
    </row>
    <row r="686" customFormat="false" ht="15" hidden="false" customHeight="false" outlineLevel="0" collapsed="false">
      <c r="A686" s="37" t="s">
        <v>823</v>
      </c>
      <c r="B686" s="42" t="n">
        <v>45943</v>
      </c>
      <c r="C686" s="37" t="s">
        <v>142</v>
      </c>
      <c r="D686" s="37" t="s">
        <v>47</v>
      </c>
      <c r="E686" s="37" t="s">
        <v>96</v>
      </c>
      <c r="F686" s="37" t="s">
        <v>118</v>
      </c>
      <c r="G686" s="37" t="s">
        <v>91</v>
      </c>
      <c r="H686" s="37" t="n">
        <v>1</v>
      </c>
      <c r="I686" s="43" t="n">
        <v>2299</v>
      </c>
      <c r="J686" s="40" t="n">
        <v>0.3</v>
      </c>
    </row>
    <row r="687" customFormat="false" ht="15" hidden="false" customHeight="false" outlineLevel="0" collapsed="false">
      <c r="A687" s="37" t="s">
        <v>824</v>
      </c>
      <c r="B687" s="42" t="n">
        <v>45959</v>
      </c>
      <c r="C687" s="37" t="s">
        <v>160</v>
      </c>
      <c r="D687" s="37" t="s">
        <v>46</v>
      </c>
      <c r="E687" s="37" t="s">
        <v>97</v>
      </c>
      <c r="F687" s="37" t="s">
        <v>117</v>
      </c>
      <c r="G687" s="37" t="s">
        <v>91</v>
      </c>
      <c r="H687" s="37" t="n">
        <v>1</v>
      </c>
      <c r="I687" s="43" t="n">
        <v>1499</v>
      </c>
      <c r="J687" s="40" t="n">
        <v>0</v>
      </c>
    </row>
    <row r="688" customFormat="false" ht="15" hidden="false" customHeight="false" outlineLevel="0" collapsed="false">
      <c r="A688" s="37" t="s">
        <v>825</v>
      </c>
      <c r="B688" s="42" t="n">
        <v>45956</v>
      </c>
      <c r="C688" s="37" t="s">
        <v>140</v>
      </c>
      <c r="D688" s="37" t="s">
        <v>44</v>
      </c>
      <c r="E688" s="37" t="s">
        <v>96</v>
      </c>
      <c r="F688" s="37" t="s">
        <v>119</v>
      </c>
      <c r="G688" s="37" t="s">
        <v>91</v>
      </c>
      <c r="H688" s="37" t="n">
        <v>1</v>
      </c>
      <c r="I688" s="43" t="n">
        <v>1099</v>
      </c>
      <c r="J688" s="40" t="n">
        <v>0.25</v>
      </c>
    </row>
    <row r="689" customFormat="false" ht="15" hidden="false" customHeight="false" outlineLevel="0" collapsed="false">
      <c r="A689" s="37" t="s">
        <v>826</v>
      </c>
      <c r="B689" s="42" t="n">
        <v>45947</v>
      </c>
      <c r="C689" s="37" t="s">
        <v>136</v>
      </c>
      <c r="D689" s="37" t="s">
        <v>47</v>
      </c>
      <c r="E689" s="37" t="s">
        <v>97</v>
      </c>
      <c r="F689" s="37" t="s">
        <v>118</v>
      </c>
      <c r="G689" s="37" t="s">
        <v>91</v>
      </c>
      <c r="H689" s="37" t="n">
        <v>4</v>
      </c>
      <c r="I689" s="43" t="n">
        <v>2299</v>
      </c>
      <c r="J689" s="40" t="n">
        <v>0.15</v>
      </c>
    </row>
    <row r="690" customFormat="false" ht="15" hidden="false" customHeight="false" outlineLevel="0" collapsed="false">
      <c r="A690" s="37" t="s">
        <v>827</v>
      </c>
      <c r="B690" s="42" t="n">
        <v>45955</v>
      </c>
      <c r="C690" s="37" t="s">
        <v>140</v>
      </c>
      <c r="D690" s="37" t="s">
        <v>44</v>
      </c>
      <c r="E690" s="37" t="s">
        <v>96</v>
      </c>
      <c r="F690" s="37" t="s">
        <v>115</v>
      </c>
      <c r="G690" s="37" t="s">
        <v>92</v>
      </c>
      <c r="H690" s="37" t="n">
        <v>1</v>
      </c>
      <c r="I690" s="43" t="n">
        <v>1799</v>
      </c>
      <c r="J690" s="40" t="n">
        <v>0.15</v>
      </c>
    </row>
    <row r="691" customFormat="false" ht="15" hidden="false" customHeight="false" outlineLevel="0" collapsed="false">
      <c r="A691" s="37" t="s">
        <v>828</v>
      </c>
      <c r="B691" s="42" t="n">
        <v>45931</v>
      </c>
      <c r="C691" s="37" t="s">
        <v>154</v>
      </c>
      <c r="D691" s="37" t="s">
        <v>47</v>
      </c>
      <c r="E691" s="37" t="s">
        <v>96</v>
      </c>
      <c r="F691" s="37" t="s">
        <v>116</v>
      </c>
      <c r="G691" s="37" t="s">
        <v>91</v>
      </c>
      <c r="H691" s="37" t="n">
        <v>2</v>
      </c>
      <c r="I691" s="43" t="n">
        <v>899</v>
      </c>
      <c r="J691" s="40" t="n">
        <v>0.2</v>
      </c>
    </row>
    <row r="692" customFormat="false" ht="15" hidden="false" customHeight="false" outlineLevel="0" collapsed="false">
      <c r="A692" s="37" t="s">
        <v>829</v>
      </c>
      <c r="B692" s="42" t="n">
        <v>45940</v>
      </c>
      <c r="C692" s="37" t="s">
        <v>136</v>
      </c>
      <c r="D692" s="37" t="s">
        <v>47</v>
      </c>
      <c r="E692" s="37" t="s">
        <v>97</v>
      </c>
      <c r="F692" s="37" t="s">
        <v>110</v>
      </c>
      <c r="G692" s="37" t="s">
        <v>90</v>
      </c>
      <c r="H692" s="37" t="n">
        <v>3</v>
      </c>
      <c r="I692" s="43" t="n">
        <v>1299</v>
      </c>
      <c r="J692" s="40" t="n">
        <v>0</v>
      </c>
    </row>
    <row r="693" customFormat="false" ht="15" hidden="false" customHeight="false" outlineLevel="0" collapsed="false">
      <c r="A693" s="37" t="s">
        <v>830</v>
      </c>
      <c r="B693" s="42" t="n">
        <v>45932</v>
      </c>
      <c r="C693" s="37" t="s">
        <v>146</v>
      </c>
      <c r="D693" s="37" t="s">
        <v>45</v>
      </c>
      <c r="E693" s="37" t="s">
        <v>97</v>
      </c>
      <c r="F693" s="37" t="s">
        <v>112</v>
      </c>
      <c r="G693" s="37" t="s">
        <v>92</v>
      </c>
      <c r="H693" s="37" t="n">
        <v>1</v>
      </c>
      <c r="I693" s="43" t="n">
        <v>3299</v>
      </c>
      <c r="J693" s="40" t="n">
        <v>0</v>
      </c>
    </row>
    <row r="694" customFormat="false" ht="15" hidden="false" customHeight="false" outlineLevel="0" collapsed="false">
      <c r="A694" s="37" t="s">
        <v>831</v>
      </c>
      <c r="B694" s="42" t="n">
        <v>45937</v>
      </c>
      <c r="C694" s="37" t="s">
        <v>142</v>
      </c>
      <c r="D694" s="37" t="s">
        <v>47</v>
      </c>
      <c r="E694" s="37" t="s">
        <v>1148</v>
      </c>
      <c r="F694" s="37" t="s">
        <v>109</v>
      </c>
      <c r="G694" s="37" t="s">
        <v>90</v>
      </c>
      <c r="H694" s="37" t="n">
        <v>2</v>
      </c>
      <c r="I694" s="43" t="n">
        <v>3499</v>
      </c>
      <c r="J694" s="40" t="n">
        <v>0.1</v>
      </c>
    </row>
    <row r="695" customFormat="false" ht="15" hidden="false" customHeight="false" outlineLevel="0" collapsed="false">
      <c r="A695" s="37" t="s">
        <v>832</v>
      </c>
      <c r="B695" s="42" t="n">
        <v>45946</v>
      </c>
      <c r="C695" s="37" t="s">
        <v>136</v>
      </c>
      <c r="D695" s="37" t="s">
        <v>47</v>
      </c>
      <c r="E695" s="37" t="s">
        <v>96</v>
      </c>
      <c r="F695" s="37" t="s">
        <v>123</v>
      </c>
      <c r="G695" s="37" t="s">
        <v>93</v>
      </c>
      <c r="H695" s="37" t="n">
        <v>3</v>
      </c>
      <c r="I695" s="43" t="n">
        <v>1299</v>
      </c>
      <c r="J695" s="40" t="n">
        <v>0.2</v>
      </c>
    </row>
    <row r="696" customFormat="false" ht="15" hidden="false" customHeight="false" outlineLevel="0" collapsed="false">
      <c r="A696" s="37" t="s">
        <v>833</v>
      </c>
      <c r="B696" s="42" t="n">
        <v>45945</v>
      </c>
      <c r="C696" s="37" t="s">
        <v>146</v>
      </c>
      <c r="D696" s="37" t="s">
        <v>45</v>
      </c>
      <c r="E696" s="37" t="s">
        <v>96</v>
      </c>
      <c r="F696" s="37" t="s">
        <v>108</v>
      </c>
      <c r="G696" s="37" t="s">
        <v>90</v>
      </c>
      <c r="H696" s="37" t="n">
        <v>5</v>
      </c>
      <c r="I696" s="43" t="n">
        <v>1999</v>
      </c>
      <c r="J696" s="40" t="n">
        <v>0.15</v>
      </c>
    </row>
    <row r="697" customFormat="false" ht="15" hidden="false" customHeight="false" outlineLevel="0" collapsed="false">
      <c r="A697" s="37" t="s">
        <v>834</v>
      </c>
      <c r="B697" s="42" t="n">
        <v>45932</v>
      </c>
      <c r="C697" s="37" t="s">
        <v>142</v>
      </c>
      <c r="D697" s="37" t="s">
        <v>47</v>
      </c>
      <c r="E697" s="37" t="s">
        <v>96</v>
      </c>
      <c r="F697" s="37" t="s">
        <v>108</v>
      </c>
      <c r="G697" s="37" t="s">
        <v>90</v>
      </c>
      <c r="H697" s="37" t="n">
        <v>1</v>
      </c>
      <c r="I697" s="43" t="n">
        <v>1999</v>
      </c>
      <c r="J697" s="40" t="n">
        <v>0.05</v>
      </c>
    </row>
    <row r="698" customFormat="false" ht="15" hidden="false" customHeight="false" outlineLevel="0" collapsed="false">
      <c r="A698" s="37" t="s">
        <v>835</v>
      </c>
      <c r="B698" s="42" t="n">
        <v>45961</v>
      </c>
      <c r="C698" s="37" t="s">
        <v>136</v>
      </c>
      <c r="D698" s="37" t="s">
        <v>47</v>
      </c>
      <c r="E698" s="37" t="s">
        <v>97</v>
      </c>
      <c r="F698" s="37" t="s">
        <v>109</v>
      </c>
      <c r="G698" s="37" t="s">
        <v>90</v>
      </c>
      <c r="H698" s="37" t="n">
        <v>1</v>
      </c>
      <c r="I698" s="43" t="n">
        <v>3499</v>
      </c>
      <c r="J698" s="40" t="n">
        <v>0.25</v>
      </c>
    </row>
    <row r="699" customFormat="false" ht="15" hidden="false" customHeight="false" outlineLevel="0" collapsed="false">
      <c r="A699" s="37" t="s">
        <v>836</v>
      </c>
      <c r="B699" s="42" t="n">
        <v>45952</v>
      </c>
      <c r="C699" s="37" t="s">
        <v>142</v>
      </c>
      <c r="D699" s="37" t="s">
        <v>47</v>
      </c>
      <c r="E699" s="37" t="s">
        <v>96</v>
      </c>
      <c r="F699" s="37" t="s">
        <v>122</v>
      </c>
      <c r="G699" s="37" t="s">
        <v>93</v>
      </c>
      <c r="H699" s="37" t="n">
        <v>1</v>
      </c>
      <c r="I699" s="43" t="n">
        <v>1799</v>
      </c>
      <c r="J699" s="37" t="s">
        <v>1170</v>
      </c>
    </row>
    <row r="700" customFormat="false" ht="15" hidden="false" customHeight="false" outlineLevel="0" collapsed="false">
      <c r="A700" s="37" t="s">
        <v>837</v>
      </c>
      <c r="B700" s="42" t="n">
        <v>45949</v>
      </c>
      <c r="C700" s="37" t="s">
        <v>138</v>
      </c>
      <c r="D700" s="37" t="s">
        <v>46</v>
      </c>
      <c r="E700" s="37" t="s">
        <v>97</v>
      </c>
      <c r="F700" s="37" t="s">
        <v>108</v>
      </c>
      <c r="G700" s="37" t="s">
        <v>90</v>
      </c>
      <c r="H700" s="37" t="n">
        <v>3</v>
      </c>
      <c r="I700" s="43" t="n">
        <v>1999</v>
      </c>
      <c r="J700" s="40" t="n">
        <v>0.1</v>
      </c>
    </row>
    <row r="701" customFormat="false" ht="15" hidden="false" customHeight="false" outlineLevel="0" collapsed="false">
      <c r="A701" s="37" t="s">
        <v>838</v>
      </c>
      <c r="B701" s="42" t="n">
        <v>45958</v>
      </c>
      <c r="C701" s="37" t="s">
        <v>142</v>
      </c>
      <c r="D701" s="37" t="s">
        <v>47</v>
      </c>
      <c r="E701" s="37" t="s">
        <v>96</v>
      </c>
      <c r="F701" s="37" t="s">
        <v>109</v>
      </c>
      <c r="G701" s="37" t="s">
        <v>90</v>
      </c>
      <c r="H701" s="37" t="n">
        <v>1</v>
      </c>
      <c r="I701" s="43" t="n">
        <v>3499</v>
      </c>
      <c r="J701" s="40" t="n">
        <v>0.1</v>
      </c>
    </row>
    <row r="702" customFormat="false" ht="15" hidden="false" customHeight="false" outlineLevel="0" collapsed="false">
      <c r="A702" s="37" t="s">
        <v>839</v>
      </c>
      <c r="B702" s="42" t="n">
        <v>45952</v>
      </c>
      <c r="C702" s="37" t="s">
        <v>134</v>
      </c>
      <c r="D702" s="37" t="s">
        <v>45</v>
      </c>
      <c r="E702" s="37" t="s">
        <v>97</v>
      </c>
      <c r="F702" s="37" t="s">
        <v>108</v>
      </c>
      <c r="G702" s="37" t="s">
        <v>90</v>
      </c>
      <c r="H702" s="37" t="n">
        <v>4</v>
      </c>
      <c r="I702" s="43" t="n">
        <v>1999</v>
      </c>
      <c r="J702" s="40" t="n">
        <v>0.1</v>
      </c>
    </row>
    <row r="703" customFormat="false" ht="15" hidden="false" customHeight="false" outlineLevel="0" collapsed="false">
      <c r="A703" s="37" t="s">
        <v>840</v>
      </c>
      <c r="B703" s="42" t="n">
        <v>45932</v>
      </c>
      <c r="C703" s="37" t="s">
        <v>160</v>
      </c>
      <c r="D703" s="37" t="s">
        <v>46</v>
      </c>
      <c r="E703" s="37" t="s">
        <v>96</v>
      </c>
      <c r="F703" s="37" t="s">
        <v>116</v>
      </c>
      <c r="G703" s="37" t="s">
        <v>91</v>
      </c>
      <c r="H703" s="37" t="n">
        <v>3</v>
      </c>
      <c r="I703" s="43" t="n">
        <v>899</v>
      </c>
      <c r="J703" s="40" t="n">
        <v>0.25</v>
      </c>
    </row>
    <row r="704" customFormat="false" ht="15" hidden="false" customHeight="false" outlineLevel="0" collapsed="false">
      <c r="A704" s="37" t="s">
        <v>841</v>
      </c>
      <c r="B704" s="42" t="n">
        <v>45959</v>
      </c>
      <c r="C704" s="37" t="s">
        <v>166</v>
      </c>
      <c r="D704" s="37" t="s">
        <v>44</v>
      </c>
      <c r="E704" s="37" t="s">
        <v>97</v>
      </c>
      <c r="F704" s="37" t="s">
        <v>112</v>
      </c>
      <c r="G704" s="37" t="s">
        <v>92</v>
      </c>
      <c r="H704" s="37" t="n">
        <v>1</v>
      </c>
      <c r="I704" s="43" t="n">
        <v>3299</v>
      </c>
      <c r="J704" s="40" t="n">
        <v>0.15</v>
      </c>
    </row>
    <row r="705" customFormat="false" ht="15" hidden="false" customHeight="false" outlineLevel="0" collapsed="false">
      <c r="A705" s="37" t="s">
        <v>842</v>
      </c>
      <c r="B705" s="42" t="n">
        <v>45955</v>
      </c>
      <c r="C705" s="37" t="s">
        <v>136</v>
      </c>
      <c r="D705" s="37" t="s">
        <v>47</v>
      </c>
      <c r="E705" s="37" t="s">
        <v>1147</v>
      </c>
      <c r="F705" s="37" t="s">
        <v>117</v>
      </c>
      <c r="G705" s="37" t="s">
        <v>91</v>
      </c>
      <c r="H705" s="37" t="n">
        <v>1</v>
      </c>
      <c r="I705" s="43" t="n">
        <v>1499</v>
      </c>
      <c r="J705" s="40" t="n">
        <v>0.1</v>
      </c>
    </row>
    <row r="706" customFormat="false" ht="15" hidden="false" customHeight="false" outlineLevel="0" collapsed="false">
      <c r="A706" s="37" t="s">
        <v>843</v>
      </c>
      <c r="B706" s="42" t="n">
        <v>45953</v>
      </c>
      <c r="C706" s="37" t="s">
        <v>1155</v>
      </c>
      <c r="D706" s="37" t="s">
        <v>45</v>
      </c>
      <c r="E706" s="37" t="s">
        <v>96</v>
      </c>
      <c r="F706" s="37" t="s">
        <v>113</v>
      </c>
      <c r="G706" s="37" t="s">
        <v>92</v>
      </c>
      <c r="H706" s="37" t="n">
        <v>1</v>
      </c>
      <c r="I706" s="43" t="n">
        <v>2199</v>
      </c>
      <c r="J706" s="40" t="n">
        <v>0.1</v>
      </c>
    </row>
    <row r="707" customFormat="false" ht="15" hidden="false" customHeight="false" outlineLevel="0" collapsed="false">
      <c r="A707" s="37" t="s">
        <v>844</v>
      </c>
      <c r="B707" s="42" t="n">
        <v>45943</v>
      </c>
      <c r="C707" s="37" t="s">
        <v>172</v>
      </c>
      <c r="D707" s="37" t="s">
        <v>46</v>
      </c>
      <c r="E707" s="37" t="s">
        <v>97</v>
      </c>
      <c r="F707" s="37" t="s">
        <v>121</v>
      </c>
      <c r="G707" s="37" t="s">
        <v>93</v>
      </c>
      <c r="H707" s="37" t="n">
        <v>1</v>
      </c>
      <c r="I707" s="43" t="n">
        <v>999</v>
      </c>
      <c r="J707" s="40" t="n">
        <v>0.05</v>
      </c>
    </row>
    <row r="708" customFormat="false" ht="15" hidden="false" customHeight="false" outlineLevel="0" collapsed="false">
      <c r="A708" s="37" t="s">
        <v>845</v>
      </c>
      <c r="B708" s="42" t="n">
        <v>45939</v>
      </c>
      <c r="C708" s="37" t="s">
        <v>154</v>
      </c>
      <c r="D708" s="37" t="s">
        <v>47</v>
      </c>
      <c r="E708" s="37" t="s">
        <v>1152</v>
      </c>
      <c r="F708" s="37" t="s">
        <v>116</v>
      </c>
      <c r="G708" s="37" t="s">
        <v>91</v>
      </c>
      <c r="H708" s="37" t="n">
        <v>1</v>
      </c>
      <c r="I708" s="43" t="n">
        <v>899</v>
      </c>
      <c r="J708" s="40" t="n">
        <v>0.05</v>
      </c>
    </row>
    <row r="709" customFormat="false" ht="15" hidden="false" customHeight="false" outlineLevel="0" collapsed="false">
      <c r="A709" s="37" t="s">
        <v>846</v>
      </c>
      <c r="B709" s="42" t="n">
        <v>45958</v>
      </c>
      <c r="C709" s="37" t="s">
        <v>138</v>
      </c>
      <c r="D709" s="37" t="s">
        <v>46</v>
      </c>
      <c r="E709" s="37" t="s">
        <v>97</v>
      </c>
      <c r="F709" s="37" t="s">
        <v>109</v>
      </c>
      <c r="G709" s="37" t="s">
        <v>90</v>
      </c>
      <c r="H709" s="37" t="n">
        <v>2</v>
      </c>
      <c r="I709" s="43" t="n">
        <v>3499</v>
      </c>
      <c r="J709" s="40" t="n">
        <v>0.2</v>
      </c>
    </row>
    <row r="710" customFormat="false" ht="15" hidden="false" customHeight="false" outlineLevel="0" collapsed="false">
      <c r="A710" s="37" t="s">
        <v>847</v>
      </c>
      <c r="B710" s="42" t="n">
        <v>45961</v>
      </c>
      <c r="C710" s="37" t="s">
        <v>172</v>
      </c>
      <c r="D710" s="37" t="s">
        <v>46</v>
      </c>
      <c r="E710" s="37" t="s">
        <v>97</v>
      </c>
      <c r="F710" s="37" t="s">
        <v>109</v>
      </c>
      <c r="G710" s="37" t="s">
        <v>90</v>
      </c>
      <c r="H710" s="37" t="n">
        <v>1</v>
      </c>
      <c r="I710" s="43" t="n">
        <v>3499</v>
      </c>
      <c r="J710" s="40" t="n">
        <v>0</v>
      </c>
    </row>
    <row r="711" customFormat="false" ht="15" hidden="false" customHeight="false" outlineLevel="0" collapsed="false">
      <c r="A711" s="37" t="s">
        <v>848</v>
      </c>
      <c r="B711" s="42" t="n">
        <v>45942</v>
      </c>
      <c r="C711" s="37" t="s">
        <v>166</v>
      </c>
      <c r="D711" s="37" t="s">
        <v>44</v>
      </c>
      <c r="E711" s="37" t="s">
        <v>97</v>
      </c>
      <c r="F711" s="37" t="s">
        <v>121</v>
      </c>
      <c r="G711" s="37" t="s">
        <v>93</v>
      </c>
      <c r="H711" s="37" t="n">
        <v>1</v>
      </c>
      <c r="I711" s="43" t="n">
        <v>999</v>
      </c>
      <c r="J711" s="40" t="n">
        <v>0.05</v>
      </c>
    </row>
    <row r="712" customFormat="false" ht="15" hidden="false" customHeight="false" outlineLevel="0" collapsed="false">
      <c r="A712" s="37" t="s">
        <v>849</v>
      </c>
      <c r="B712" s="42" t="n">
        <v>45931</v>
      </c>
      <c r="C712" s="37" t="s">
        <v>144</v>
      </c>
      <c r="D712" s="37" t="s">
        <v>45</v>
      </c>
      <c r="E712" s="37" t="s">
        <v>97</v>
      </c>
      <c r="F712" s="37" t="s">
        <v>113</v>
      </c>
      <c r="G712" s="37" t="s">
        <v>92</v>
      </c>
      <c r="H712" s="37" t="n">
        <v>1</v>
      </c>
      <c r="I712" s="43" t="n">
        <v>2199</v>
      </c>
      <c r="J712" s="37" t="s">
        <v>1163</v>
      </c>
    </row>
    <row r="713" customFormat="false" ht="15" hidden="false" customHeight="false" outlineLevel="0" collapsed="false">
      <c r="A713" s="37" t="s">
        <v>850</v>
      </c>
      <c r="B713" s="42" t="n">
        <v>45953</v>
      </c>
      <c r="C713" s="37" t="s">
        <v>142</v>
      </c>
      <c r="D713" s="37" t="s">
        <v>47</v>
      </c>
      <c r="E713" s="37" t="s">
        <v>97</v>
      </c>
      <c r="F713" s="37" t="s">
        <v>116</v>
      </c>
      <c r="G713" s="37" t="s">
        <v>91</v>
      </c>
      <c r="H713" s="37" t="n">
        <v>1</v>
      </c>
      <c r="I713" s="43" t="n">
        <v>899</v>
      </c>
      <c r="J713" s="40" t="n">
        <v>0.25</v>
      </c>
    </row>
    <row r="714" customFormat="false" ht="15" hidden="false" customHeight="false" outlineLevel="0" collapsed="false">
      <c r="A714" s="37" t="s">
        <v>851</v>
      </c>
      <c r="B714" s="42" t="n">
        <v>45951</v>
      </c>
      <c r="C714" s="37" t="s">
        <v>154</v>
      </c>
      <c r="D714" s="37" t="s">
        <v>47</v>
      </c>
      <c r="E714" s="37" t="s">
        <v>96</v>
      </c>
      <c r="F714" s="37" t="s">
        <v>109</v>
      </c>
      <c r="G714" s="37" t="s">
        <v>90</v>
      </c>
      <c r="H714" s="37" t="n">
        <v>1</v>
      </c>
      <c r="I714" s="43" t="n">
        <v>3499</v>
      </c>
      <c r="J714" s="40" t="n">
        <v>0.3</v>
      </c>
    </row>
    <row r="715" customFormat="false" ht="15" hidden="false" customHeight="false" outlineLevel="0" collapsed="false">
      <c r="A715" s="37" t="s">
        <v>852</v>
      </c>
      <c r="B715" s="42" t="n">
        <v>45956</v>
      </c>
      <c r="C715" s="37" t="s">
        <v>134</v>
      </c>
      <c r="D715" s="37" t="s">
        <v>45</v>
      </c>
      <c r="E715" s="37" t="s">
        <v>96</v>
      </c>
      <c r="F715" s="37" t="s">
        <v>114</v>
      </c>
      <c r="G715" s="37" t="s">
        <v>92</v>
      </c>
      <c r="H715" s="37" t="n">
        <v>3</v>
      </c>
      <c r="I715" s="43" t="n">
        <v>1199</v>
      </c>
      <c r="J715" s="40" t="n">
        <v>0.1</v>
      </c>
    </row>
    <row r="716" customFormat="false" ht="15" hidden="false" customHeight="false" outlineLevel="0" collapsed="false">
      <c r="A716" s="37" t="s">
        <v>853</v>
      </c>
      <c r="B716" s="42" t="n">
        <v>45944</v>
      </c>
      <c r="C716" s="37" t="s">
        <v>142</v>
      </c>
      <c r="D716" s="37" t="s">
        <v>47</v>
      </c>
      <c r="E716" s="37" t="s">
        <v>96</v>
      </c>
      <c r="F716" s="37" t="s">
        <v>117</v>
      </c>
      <c r="G716" s="37" t="s">
        <v>91</v>
      </c>
      <c r="H716" s="37" t="n">
        <v>1</v>
      </c>
      <c r="I716" s="43" t="n">
        <v>1499</v>
      </c>
      <c r="J716" s="40" t="n">
        <v>0.25</v>
      </c>
    </row>
    <row r="717" customFormat="false" ht="15" hidden="false" customHeight="false" outlineLevel="0" collapsed="false">
      <c r="A717" s="37" t="s">
        <v>854</v>
      </c>
      <c r="B717" s="42" t="n">
        <v>45938</v>
      </c>
      <c r="C717" s="37" t="s">
        <v>169</v>
      </c>
      <c r="D717" s="37" t="s">
        <v>44</v>
      </c>
      <c r="E717" s="37" t="s">
        <v>97</v>
      </c>
      <c r="F717" s="37" t="s">
        <v>111</v>
      </c>
      <c r="G717" s="37" t="s">
        <v>90</v>
      </c>
      <c r="H717" s="37" t="n">
        <v>4</v>
      </c>
      <c r="I717" s="43" t="n">
        <v>2499</v>
      </c>
      <c r="J717" s="40" t="n">
        <v>0.15</v>
      </c>
    </row>
    <row r="718" customFormat="false" ht="15" hidden="false" customHeight="false" outlineLevel="0" collapsed="false">
      <c r="A718" s="37" t="s">
        <v>854</v>
      </c>
      <c r="B718" s="42" t="n">
        <v>45938</v>
      </c>
      <c r="C718" s="37" t="s">
        <v>169</v>
      </c>
      <c r="D718" s="37" t="s">
        <v>44</v>
      </c>
      <c r="E718" s="37" t="s">
        <v>97</v>
      </c>
      <c r="F718" s="37" t="s">
        <v>111</v>
      </c>
      <c r="G718" s="37" t="s">
        <v>90</v>
      </c>
      <c r="H718" s="37" t="n">
        <v>4</v>
      </c>
      <c r="I718" s="43" t="n">
        <v>2499</v>
      </c>
      <c r="J718" s="40" t="n">
        <v>0.15</v>
      </c>
    </row>
    <row r="719" customFormat="false" ht="15" hidden="false" customHeight="false" outlineLevel="0" collapsed="false">
      <c r="A719" s="37" t="s">
        <v>855</v>
      </c>
      <c r="B719" s="42" t="n">
        <v>45955</v>
      </c>
      <c r="C719" s="37" t="s">
        <v>134</v>
      </c>
      <c r="D719" s="37" t="s">
        <v>45</v>
      </c>
      <c r="E719" s="37" t="s">
        <v>96</v>
      </c>
      <c r="F719" s="37" t="s">
        <v>116</v>
      </c>
      <c r="G719" s="37" t="s">
        <v>91</v>
      </c>
      <c r="H719" s="37" t="n">
        <v>4</v>
      </c>
      <c r="I719" s="43" t="n">
        <v>899</v>
      </c>
      <c r="J719" s="40" t="n">
        <v>0.15</v>
      </c>
    </row>
    <row r="720" customFormat="false" ht="15" hidden="false" customHeight="false" outlineLevel="0" collapsed="false">
      <c r="A720" s="37" t="s">
        <v>856</v>
      </c>
      <c r="B720" s="42" t="n">
        <v>45952</v>
      </c>
      <c r="C720" s="37" t="s">
        <v>144</v>
      </c>
      <c r="D720" s="37" t="s">
        <v>45</v>
      </c>
      <c r="E720" s="37" t="s">
        <v>96</v>
      </c>
      <c r="F720" s="37" t="s">
        <v>123</v>
      </c>
      <c r="G720" s="37" t="s">
        <v>93</v>
      </c>
      <c r="H720" s="37" t="n">
        <v>1</v>
      </c>
      <c r="I720" s="43" t="n">
        <v>1299</v>
      </c>
      <c r="J720" s="40" t="n">
        <v>0.4</v>
      </c>
    </row>
    <row r="721" customFormat="false" ht="15" hidden="false" customHeight="false" outlineLevel="0" collapsed="false">
      <c r="A721" s="37" t="s">
        <v>857</v>
      </c>
      <c r="B721" s="42" t="n">
        <v>45935</v>
      </c>
      <c r="C721" s="37" t="s">
        <v>142</v>
      </c>
      <c r="D721" s="37" t="s">
        <v>47</v>
      </c>
      <c r="E721" s="37" t="s">
        <v>96</v>
      </c>
      <c r="F721" s="37" t="s">
        <v>116</v>
      </c>
      <c r="G721" s="37" t="s">
        <v>91</v>
      </c>
      <c r="H721" s="37" t="n">
        <v>2</v>
      </c>
      <c r="I721" s="43" t="n">
        <v>899</v>
      </c>
      <c r="J721" s="40" t="n">
        <v>0</v>
      </c>
    </row>
    <row r="722" customFormat="false" ht="15" hidden="false" customHeight="false" outlineLevel="0" collapsed="false">
      <c r="A722" s="37" t="s">
        <v>858</v>
      </c>
      <c r="B722" s="42" t="n">
        <v>45936</v>
      </c>
      <c r="C722" s="37" t="s">
        <v>172</v>
      </c>
      <c r="D722" s="37" t="s">
        <v>46</v>
      </c>
      <c r="E722" s="37" t="s">
        <v>96</v>
      </c>
      <c r="F722" s="37" t="s">
        <v>119</v>
      </c>
      <c r="G722" s="37" t="s">
        <v>91</v>
      </c>
      <c r="H722" s="37" t="n">
        <v>1</v>
      </c>
      <c r="I722" s="43" t="n">
        <v>1099</v>
      </c>
      <c r="J722" s="40" t="n">
        <v>0.25</v>
      </c>
    </row>
    <row r="723" customFormat="false" ht="15" hidden="false" customHeight="false" outlineLevel="0" collapsed="false">
      <c r="A723" s="37" t="s">
        <v>859</v>
      </c>
      <c r="B723" s="42" t="n">
        <v>45955</v>
      </c>
      <c r="C723" s="37" t="s">
        <v>134</v>
      </c>
      <c r="D723" s="37" t="s">
        <v>45</v>
      </c>
      <c r="E723" s="37" t="s">
        <v>97</v>
      </c>
      <c r="F723" s="37" t="s">
        <v>123</v>
      </c>
      <c r="G723" s="37" t="s">
        <v>93</v>
      </c>
      <c r="H723" s="37" t="n">
        <v>2</v>
      </c>
      <c r="I723" s="43" t="n">
        <v>1299</v>
      </c>
      <c r="J723" s="40" t="n">
        <v>0.15</v>
      </c>
    </row>
    <row r="724" customFormat="false" ht="15" hidden="false" customHeight="false" outlineLevel="0" collapsed="false">
      <c r="A724" s="37" t="s">
        <v>860</v>
      </c>
      <c r="B724" s="42" t="n">
        <v>45940</v>
      </c>
      <c r="C724" s="37" t="s">
        <v>136</v>
      </c>
      <c r="D724" s="37" t="s">
        <v>47</v>
      </c>
      <c r="E724" s="37" t="s">
        <v>96</v>
      </c>
      <c r="F724" s="37" t="s">
        <v>118</v>
      </c>
      <c r="G724" s="37" t="s">
        <v>91</v>
      </c>
      <c r="H724" s="37" t="n">
        <v>1</v>
      </c>
      <c r="I724" s="43" t="n">
        <v>2299</v>
      </c>
      <c r="J724" s="40" t="n">
        <v>0.1</v>
      </c>
    </row>
    <row r="725" customFormat="false" ht="15" hidden="false" customHeight="false" outlineLevel="0" collapsed="false">
      <c r="A725" s="37" t="s">
        <v>861</v>
      </c>
      <c r="B725" s="42" t="n">
        <v>45961</v>
      </c>
      <c r="C725" s="37" t="s">
        <v>154</v>
      </c>
      <c r="D725" s="37" t="s">
        <v>47</v>
      </c>
      <c r="E725" s="37" t="s">
        <v>97</v>
      </c>
      <c r="F725" s="37" t="s">
        <v>109</v>
      </c>
      <c r="G725" s="37" t="s">
        <v>90</v>
      </c>
      <c r="H725" s="37" t="n">
        <v>1</v>
      </c>
      <c r="I725" s="43" t="n">
        <v>3499</v>
      </c>
      <c r="J725" s="40" t="n">
        <v>0.15</v>
      </c>
    </row>
    <row r="726" customFormat="false" ht="15" hidden="false" customHeight="false" outlineLevel="0" collapsed="false">
      <c r="A726" s="37" t="s">
        <v>862</v>
      </c>
      <c r="B726" s="42" t="n">
        <v>45945</v>
      </c>
      <c r="C726" s="37" t="s">
        <v>166</v>
      </c>
      <c r="D726" s="37" t="s">
        <v>44</v>
      </c>
      <c r="E726" s="37" t="s">
        <v>97</v>
      </c>
      <c r="F726" s="37" t="s">
        <v>111</v>
      </c>
      <c r="G726" s="37" t="s">
        <v>90</v>
      </c>
      <c r="H726" s="37" t="n">
        <v>2</v>
      </c>
      <c r="I726" s="43" t="n">
        <v>2499</v>
      </c>
      <c r="J726" s="40" t="n">
        <v>0.2</v>
      </c>
    </row>
    <row r="727" customFormat="false" ht="15" hidden="false" customHeight="false" outlineLevel="0" collapsed="false">
      <c r="A727" s="37" t="s">
        <v>863</v>
      </c>
      <c r="B727" s="42" t="n">
        <v>45939</v>
      </c>
      <c r="C727" s="37" t="s">
        <v>134</v>
      </c>
      <c r="D727" s="37" t="s">
        <v>45</v>
      </c>
      <c r="E727" s="37" t="s">
        <v>97</v>
      </c>
      <c r="F727" s="37" t="s">
        <v>111</v>
      </c>
      <c r="G727" s="37" t="s">
        <v>90</v>
      </c>
      <c r="H727" s="37" t="n">
        <v>2</v>
      </c>
      <c r="I727" s="43" t="n">
        <v>2499</v>
      </c>
      <c r="J727" s="40" t="n">
        <v>0.2</v>
      </c>
    </row>
    <row r="728" customFormat="false" ht="15" hidden="false" customHeight="false" outlineLevel="0" collapsed="false">
      <c r="A728" s="37" t="s">
        <v>864</v>
      </c>
      <c r="B728" s="42" t="n">
        <v>45940</v>
      </c>
      <c r="C728" s="37" t="s">
        <v>166</v>
      </c>
      <c r="D728" s="37" t="s">
        <v>44</v>
      </c>
      <c r="E728" s="37" t="s">
        <v>96</v>
      </c>
      <c r="F728" s="37" t="s">
        <v>123</v>
      </c>
      <c r="G728" s="37" t="s">
        <v>93</v>
      </c>
      <c r="H728" s="37" t="n">
        <v>1</v>
      </c>
      <c r="I728" s="43" t="n">
        <v>1299</v>
      </c>
      <c r="J728" s="40" t="n">
        <v>0.25</v>
      </c>
    </row>
    <row r="729" customFormat="false" ht="15" hidden="false" customHeight="false" outlineLevel="0" collapsed="false">
      <c r="A729" s="37" t="s">
        <v>865</v>
      </c>
      <c r="B729" s="42" t="n">
        <v>45936</v>
      </c>
      <c r="C729" s="37" t="s">
        <v>140</v>
      </c>
      <c r="D729" s="37" t="s">
        <v>44</v>
      </c>
      <c r="E729" s="37" t="s">
        <v>97</v>
      </c>
      <c r="F729" s="37" t="s">
        <v>117</v>
      </c>
      <c r="G729" s="37" t="s">
        <v>91</v>
      </c>
      <c r="H729" s="37" t="n">
        <v>3</v>
      </c>
      <c r="I729" s="43" t="n">
        <v>1499</v>
      </c>
      <c r="J729" s="40" t="n">
        <v>0.1</v>
      </c>
    </row>
    <row r="730" customFormat="false" ht="15" hidden="false" customHeight="false" outlineLevel="0" collapsed="false">
      <c r="A730" s="37" t="s">
        <v>866</v>
      </c>
      <c r="B730" s="42" t="n">
        <v>45956</v>
      </c>
      <c r="C730" s="37" t="s">
        <v>136</v>
      </c>
      <c r="D730" s="37" t="s">
        <v>47</v>
      </c>
      <c r="E730" s="37" t="s">
        <v>97</v>
      </c>
      <c r="F730" s="37" t="s">
        <v>118</v>
      </c>
      <c r="G730" s="37" t="s">
        <v>91</v>
      </c>
      <c r="H730" s="37" t="n">
        <v>2</v>
      </c>
      <c r="I730" s="43" t="n">
        <v>2299</v>
      </c>
      <c r="J730" s="40" t="n">
        <v>0.1</v>
      </c>
    </row>
    <row r="731" customFormat="false" ht="15" hidden="false" customHeight="false" outlineLevel="0" collapsed="false">
      <c r="A731" s="37" t="s">
        <v>867</v>
      </c>
      <c r="B731" s="42" t="n">
        <v>45949</v>
      </c>
      <c r="C731" s="37" t="s">
        <v>140</v>
      </c>
      <c r="D731" s="37" t="s">
        <v>44</v>
      </c>
      <c r="E731" s="37" t="s">
        <v>96</v>
      </c>
      <c r="F731" s="37" t="s">
        <v>109</v>
      </c>
      <c r="G731" s="37" t="s">
        <v>90</v>
      </c>
      <c r="H731" s="37" t="n">
        <v>1</v>
      </c>
      <c r="I731" s="43" t="n">
        <v>3499</v>
      </c>
      <c r="J731" s="40" t="n">
        <v>0.15</v>
      </c>
    </row>
    <row r="732" customFormat="false" ht="15" hidden="false" customHeight="false" outlineLevel="0" collapsed="false">
      <c r="A732" s="37" t="s">
        <v>868</v>
      </c>
      <c r="B732" s="42" t="n">
        <v>45941</v>
      </c>
      <c r="C732" s="37" t="s">
        <v>160</v>
      </c>
      <c r="D732" s="37" t="s">
        <v>46</v>
      </c>
      <c r="E732" s="37" t="s">
        <v>96</v>
      </c>
      <c r="F732" s="37" t="s">
        <v>113</v>
      </c>
      <c r="G732" s="37"/>
      <c r="H732" s="37" t="n">
        <v>1</v>
      </c>
      <c r="I732" s="43" t="n">
        <v>2199</v>
      </c>
      <c r="J732" s="40" t="n">
        <v>0.05</v>
      </c>
    </row>
    <row r="733" customFormat="false" ht="15" hidden="false" customHeight="false" outlineLevel="0" collapsed="false">
      <c r="A733" s="37" t="s">
        <v>869</v>
      </c>
      <c r="B733" s="42" t="n">
        <v>45947</v>
      </c>
      <c r="C733" s="37" t="s">
        <v>1155</v>
      </c>
      <c r="D733" s="37" t="s">
        <v>45</v>
      </c>
      <c r="E733" s="37" t="s">
        <v>96</v>
      </c>
      <c r="F733" s="37" t="s">
        <v>111</v>
      </c>
      <c r="G733" s="37" t="s">
        <v>90</v>
      </c>
      <c r="H733" s="37" t="n">
        <v>2</v>
      </c>
      <c r="I733" s="43" t="n">
        <v>2499</v>
      </c>
      <c r="J733" s="40" t="n">
        <v>0.1</v>
      </c>
    </row>
    <row r="734" customFormat="false" ht="15" hidden="false" customHeight="false" outlineLevel="0" collapsed="false">
      <c r="A734" s="37" t="s">
        <v>870</v>
      </c>
      <c r="B734" s="42" t="n">
        <v>45947</v>
      </c>
      <c r="C734" s="37" t="s">
        <v>154</v>
      </c>
      <c r="D734" s="37" t="s">
        <v>47</v>
      </c>
      <c r="E734" s="37" t="s">
        <v>96</v>
      </c>
      <c r="F734" s="37" t="s">
        <v>108</v>
      </c>
      <c r="G734" s="37" t="s">
        <v>90</v>
      </c>
      <c r="H734" s="37" t="n">
        <v>2</v>
      </c>
      <c r="I734" s="43" t="n">
        <v>1999</v>
      </c>
      <c r="J734" s="40" t="n">
        <v>0.3</v>
      </c>
    </row>
    <row r="735" customFormat="false" ht="15" hidden="false" customHeight="false" outlineLevel="0" collapsed="false">
      <c r="A735" s="37" t="s">
        <v>871</v>
      </c>
      <c r="B735" s="42" t="n">
        <v>45943</v>
      </c>
      <c r="C735" s="37" t="s">
        <v>142</v>
      </c>
      <c r="D735" s="37" t="s">
        <v>47</v>
      </c>
      <c r="E735" s="37" t="s">
        <v>96</v>
      </c>
      <c r="F735" s="37" t="s">
        <v>119</v>
      </c>
      <c r="G735" s="37" t="s">
        <v>91</v>
      </c>
      <c r="H735" s="37" t="n">
        <v>1</v>
      </c>
      <c r="I735" s="43" t="n">
        <v>1099</v>
      </c>
      <c r="J735" s="40" t="n">
        <v>0.1</v>
      </c>
    </row>
    <row r="736" customFormat="false" ht="15" hidden="false" customHeight="false" outlineLevel="0" collapsed="false">
      <c r="A736" s="37" t="s">
        <v>872</v>
      </c>
      <c r="B736" s="42" t="n">
        <v>45936</v>
      </c>
      <c r="C736" s="37" t="s">
        <v>136</v>
      </c>
      <c r="D736" s="37" t="s">
        <v>47</v>
      </c>
      <c r="E736" s="37" t="s">
        <v>97</v>
      </c>
      <c r="F736" s="37" t="s">
        <v>117</v>
      </c>
      <c r="G736" s="37" t="s">
        <v>91</v>
      </c>
      <c r="H736" s="37" t="n">
        <v>2</v>
      </c>
      <c r="I736" s="43" t="n">
        <v>1499</v>
      </c>
      <c r="J736" s="40" t="n">
        <v>0.15</v>
      </c>
    </row>
    <row r="737" customFormat="false" ht="15" hidden="false" customHeight="false" outlineLevel="0" collapsed="false">
      <c r="A737" s="37" t="s">
        <v>873</v>
      </c>
      <c r="B737" s="42" t="n">
        <v>45931</v>
      </c>
      <c r="C737" s="37" t="s">
        <v>172</v>
      </c>
      <c r="D737" s="37" t="s">
        <v>46</v>
      </c>
      <c r="E737" s="37" t="s">
        <v>97</v>
      </c>
      <c r="F737" s="37" t="s">
        <v>108</v>
      </c>
      <c r="G737" s="37" t="s">
        <v>90</v>
      </c>
      <c r="H737" s="37" t="n">
        <v>1</v>
      </c>
      <c r="I737" s="43" t="n">
        <v>1999</v>
      </c>
      <c r="J737" s="40" t="n">
        <v>0.2</v>
      </c>
    </row>
    <row r="738" customFormat="false" ht="15" hidden="false" customHeight="false" outlineLevel="0" collapsed="false">
      <c r="A738" s="37" t="s">
        <v>874</v>
      </c>
      <c r="B738" s="42" t="n">
        <v>45940</v>
      </c>
      <c r="C738" s="37"/>
      <c r="D738" s="37" t="s">
        <v>45</v>
      </c>
      <c r="E738" s="37" t="s">
        <v>96</v>
      </c>
      <c r="F738" s="37" t="s">
        <v>111</v>
      </c>
      <c r="G738" s="37" t="s">
        <v>90</v>
      </c>
      <c r="H738" s="37" t="n">
        <v>1</v>
      </c>
      <c r="I738" s="43" t="n">
        <v>2499</v>
      </c>
      <c r="J738" s="40" t="n">
        <v>0.25</v>
      </c>
    </row>
    <row r="739" customFormat="false" ht="15" hidden="false" customHeight="false" outlineLevel="0" collapsed="false">
      <c r="A739" s="37" t="s">
        <v>875</v>
      </c>
      <c r="B739" s="42" t="n">
        <v>45951</v>
      </c>
      <c r="C739" s="37" t="s">
        <v>166</v>
      </c>
      <c r="D739" s="37" t="s">
        <v>44</v>
      </c>
      <c r="E739" s="37" t="s">
        <v>96</v>
      </c>
      <c r="F739" s="37" t="s">
        <v>109</v>
      </c>
      <c r="G739" s="37" t="s">
        <v>90</v>
      </c>
      <c r="H739" s="37" t="n">
        <v>1</v>
      </c>
      <c r="I739" s="43" t="n">
        <v>3499</v>
      </c>
      <c r="J739" s="40" t="n">
        <v>0.1</v>
      </c>
    </row>
    <row r="740" customFormat="false" ht="15" hidden="false" customHeight="false" outlineLevel="0" collapsed="false">
      <c r="A740" s="37" t="s">
        <v>876</v>
      </c>
      <c r="B740" s="42" t="n">
        <v>45955</v>
      </c>
      <c r="C740" s="37" t="s">
        <v>142</v>
      </c>
      <c r="D740" s="37" t="s">
        <v>47</v>
      </c>
      <c r="E740" s="37" t="s">
        <v>1153</v>
      </c>
      <c r="F740" s="37" t="s">
        <v>118</v>
      </c>
      <c r="G740" s="37" t="s">
        <v>91</v>
      </c>
      <c r="H740" s="37" t="n">
        <v>1</v>
      </c>
      <c r="I740" s="43" t="n">
        <v>2299</v>
      </c>
      <c r="J740" s="40" t="n">
        <v>0.15</v>
      </c>
    </row>
    <row r="741" customFormat="false" ht="15" hidden="false" customHeight="false" outlineLevel="0" collapsed="false">
      <c r="A741" s="37" t="s">
        <v>877</v>
      </c>
      <c r="B741" s="42" t="n">
        <v>45942</v>
      </c>
      <c r="C741" s="37" t="s">
        <v>154</v>
      </c>
      <c r="D741" s="37" t="s">
        <v>47</v>
      </c>
      <c r="E741" s="37" t="s">
        <v>96</v>
      </c>
      <c r="F741" s="37" t="s">
        <v>114</v>
      </c>
      <c r="G741" s="37" t="s">
        <v>92</v>
      </c>
      <c r="H741" s="37" t="n">
        <v>4</v>
      </c>
      <c r="I741" s="43" t="n">
        <v>1199</v>
      </c>
      <c r="J741" s="40" t="n">
        <v>0.15</v>
      </c>
    </row>
    <row r="742" customFormat="false" ht="15" hidden="false" customHeight="false" outlineLevel="0" collapsed="false">
      <c r="A742" s="37" t="s">
        <v>878</v>
      </c>
      <c r="B742" s="42" t="n">
        <v>45936</v>
      </c>
      <c r="C742" s="37" t="s">
        <v>134</v>
      </c>
      <c r="D742" s="37" t="s">
        <v>45</v>
      </c>
      <c r="E742" s="37" t="s">
        <v>96</v>
      </c>
      <c r="F742" s="37" t="s">
        <v>110</v>
      </c>
      <c r="G742" s="37" t="s">
        <v>90</v>
      </c>
      <c r="H742" s="37" t="n">
        <v>2</v>
      </c>
      <c r="I742" s="43" t="n">
        <v>1299</v>
      </c>
      <c r="J742" s="40" t="n">
        <v>0.15</v>
      </c>
    </row>
    <row r="743" customFormat="false" ht="15" hidden="false" customHeight="false" outlineLevel="0" collapsed="false">
      <c r="A743" s="37" t="s">
        <v>879</v>
      </c>
      <c r="B743" s="42" t="n">
        <v>45961</v>
      </c>
      <c r="C743" s="37" t="s">
        <v>138</v>
      </c>
      <c r="D743" s="37" t="s">
        <v>46</v>
      </c>
      <c r="E743" s="37" t="s">
        <v>97</v>
      </c>
      <c r="F743" s="37" t="s">
        <v>115</v>
      </c>
      <c r="G743" s="37" t="s">
        <v>92</v>
      </c>
      <c r="H743" s="37" t="n">
        <v>1</v>
      </c>
      <c r="I743" s="43" t="n">
        <v>1799</v>
      </c>
      <c r="J743" s="40" t="n">
        <v>0.05</v>
      </c>
    </row>
    <row r="744" customFormat="false" ht="15" hidden="false" customHeight="false" outlineLevel="0" collapsed="false">
      <c r="A744" s="37" t="s">
        <v>880</v>
      </c>
      <c r="B744" s="42" t="n">
        <v>45952</v>
      </c>
      <c r="C744" s="37" t="s">
        <v>144</v>
      </c>
      <c r="D744" s="37" t="s">
        <v>45</v>
      </c>
      <c r="E744" s="37" t="s">
        <v>97</v>
      </c>
      <c r="F744" s="37" t="s">
        <v>116</v>
      </c>
      <c r="G744" s="37" t="s">
        <v>91</v>
      </c>
      <c r="H744" s="37" t="n">
        <v>1</v>
      </c>
      <c r="I744" s="43" t="n">
        <v>899</v>
      </c>
      <c r="J744" s="40" t="n">
        <v>0.05</v>
      </c>
    </row>
    <row r="745" customFormat="false" ht="15" hidden="false" customHeight="false" outlineLevel="0" collapsed="false">
      <c r="A745" s="37" t="s">
        <v>881</v>
      </c>
      <c r="B745" s="42" t="n">
        <v>45947</v>
      </c>
      <c r="C745" s="37" t="s">
        <v>136</v>
      </c>
      <c r="D745" s="37" t="s">
        <v>47</v>
      </c>
      <c r="E745" s="37" t="s">
        <v>97</v>
      </c>
      <c r="F745" s="37" t="s">
        <v>111</v>
      </c>
      <c r="G745" s="37" t="s">
        <v>90</v>
      </c>
      <c r="H745" s="37" t="n">
        <v>1</v>
      </c>
      <c r="I745" s="43" t="n">
        <v>2499</v>
      </c>
      <c r="J745" s="40" t="n">
        <v>0.05</v>
      </c>
    </row>
    <row r="746" customFormat="false" ht="15" hidden="false" customHeight="false" outlineLevel="0" collapsed="false">
      <c r="A746" s="37" t="s">
        <v>882</v>
      </c>
      <c r="B746" s="42" t="n">
        <v>45946</v>
      </c>
      <c r="C746" s="37" t="s">
        <v>136</v>
      </c>
      <c r="D746" s="37" t="s">
        <v>47</v>
      </c>
      <c r="E746" s="37" t="s">
        <v>97</v>
      </c>
      <c r="F746" s="37" t="s">
        <v>118</v>
      </c>
      <c r="G746" s="37" t="s">
        <v>91</v>
      </c>
      <c r="H746" s="37" t="n">
        <v>2</v>
      </c>
      <c r="I746" s="43" t="n">
        <v>2299</v>
      </c>
      <c r="J746" s="40" t="n">
        <v>0.2</v>
      </c>
    </row>
    <row r="747" customFormat="false" ht="15" hidden="false" customHeight="false" outlineLevel="0" collapsed="false">
      <c r="A747" s="37" t="s">
        <v>883</v>
      </c>
      <c r="B747" s="42" t="n">
        <v>45950</v>
      </c>
      <c r="C747" s="37" t="s">
        <v>146</v>
      </c>
      <c r="D747" s="37" t="s">
        <v>45</v>
      </c>
      <c r="E747" s="37" t="s">
        <v>97</v>
      </c>
      <c r="F747" s="37" t="s">
        <v>119</v>
      </c>
      <c r="G747" s="37" t="s">
        <v>91</v>
      </c>
      <c r="H747" s="37" t="n">
        <v>1</v>
      </c>
      <c r="I747" s="43" t="n">
        <v>1099</v>
      </c>
      <c r="J747" s="40" t="n">
        <v>0.25</v>
      </c>
    </row>
    <row r="748" customFormat="false" ht="15" hidden="false" customHeight="false" outlineLevel="0" collapsed="false">
      <c r="A748" s="37" t="s">
        <v>884</v>
      </c>
      <c r="B748" s="42" t="n">
        <v>45959</v>
      </c>
      <c r="C748" s="37" t="s">
        <v>136</v>
      </c>
      <c r="D748" s="37" t="s">
        <v>47</v>
      </c>
      <c r="E748" s="37" t="s">
        <v>97</v>
      </c>
      <c r="F748" s="37" t="s">
        <v>121</v>
      </c>
      <c r="G748" s="37" t="s">
        <v>93</v>
      </c>
      <c r="H748" s="37" t="n">
        <v>1</v>
      </c>
      <c r="I748" s="43" t="n">
        <v>999</v>
      </c>
      <c r="J748" s="40" t="n">
        <v>0</v>
      </c>
    </row>
    <row r="749" customFormat="false" ht="15" hidden="false" customHeight="false" outlineLevel="0" collapsed="false">
      <c r="A749" s="37" t="s">
        <v>885</v>
      </c>
      <c r="B749" s="42" t="n">
        <v>45946</v>
      </c>
      <c r="C749" s="37" t="s">
        <v>142</v>
      </c>
      <c r="D749" s="37" t="s">
        <v>47</v>
      </c>
      <c r="E749" s="37" t="s">
        <v>96</v>
      </c>
      <c r="F749" s="37" t="s">
        <v>123</v>
      </c>
      <c r="G749" s="37" t="s">
        <v>93</v>
      </c>
      <c r="H749" s="37" t="n">
        <v>4</v>
      </c>
      <c r="I749" s="43" t="n">
        <v>1299</v>
      </c>
      <c r="J749" s="40" t="n">
        <v>0.1</v>
      </c>
    </row>
    <row r="750" customFormat="false" ht="15" hidden="false" customHeight="false" outlineLevel="0" collapsed="false">
      <c r="A750" s="37" t="s">
        <v>886</v>
      </c>
      <c r="B750" s="42" t="n">
        <v>45960</v>
      </c>
      <c r="C750" s="37" t="s">
        <v>140</v>
      </c>
      <c r="D750" s="37" t="s">
        <v>44</v>
      </c>
      <c r="E750" s="37" t="s">
        <v>96</v>
      </c>
      <c r="F750" s="37" t="s">
        <v>123</v>
      </c>
      <c r="G750" s="37" t="s">
        <v>93</v>
      </c>
      <c r="H750" s="37" t="n">
        <v>1</v>
      </c>
      <c r="I750" s="43" t="n">
        <v>1299</v>
      </c>
      <c r="J750" s="40" t="n">
        <v>0.3</v>
      </c>
    </row>
    <row r="751" customFormat="false" ht="15" hidden="false" customHeight="false" outlineLevel="0" collapsed="false">
      <c r="A751" s="37" t="s">
        <v>887</v>
      </c>
      <c r="B751" s="42" t="n">
        <v>45943</v>
      </c>
      <c r="C751" s="37" t="s">
        <v>136</v>
      </c>
      <c r="D751" s="37" t="s">
        <v>47</v>
      </c>
      <c r="E751" s="37" t="s">
        <v>96</v>
      </c>
      <c r="F751" s="37" t="s">
        <v>112</v>
      </c>
      <c r="G751" s="37" t="s">
        <v>92</v>
      </c>
      <c r="H751" s="37" t="n">
        <v>1</v>
      </c>
      <c r="I751" s="43" t="n">
        <v>3299</v>
      </c>
      <c r="J751" s="40" t="n">
        <v>0.25</v>
      </c>
    </row>
    <row r="752" customFormat="false" ht="15" hidden="false" customHeight="false" outlineLevel="0" collapsed="false">
      <c r="A752" s="37" t="s">
        <v>888</v>
      </c>
      <c r="B752" s="42" t="n">
        <v>45931</v>
      </c>
      <c r="C752" s="37" t="s">
        <v>1187</v>
      </c>
      <c r="D752" s="37" t="s">
        <v>44</v>
      </c>
      <c r="E752" s="37" t="s">
        <v>96</v>
      </c>
      <c r="F752" s="37" t="s">
        <v>118</v>
      </c>
      <c r="G752" s="37" t="s">
        <v>91</v>
      </c>
      <c r="H752" s="37" t="n">
        <v>1</v>
      </c>
      <c r="I752" s="43" t="n">
        <v>2299</v>
      </c>
      <c r="J752" s="40" t="n">
        <v>0.3</v>
      </c>
    </row>
    <row r="753" customFormat="false" ht="15" hidden="false" customHeight="false" outlineLevel="0" collapsed="false">
      <c r="A753" s="37" t="s">
        <v>889</v>
      </c>
      <c r="B753" s="42" t="n">
        <v>45959</v>
      </c>
      <c r="C753" s="37" t="s">
        <v>1155</v>
      </c>
      <c r="D753" s="37" t="s">
        <v>45</v>
      </c>
      <c r="E753" s="37" t="s">
        <v>96</v>
      </c>
      <c r="F753" s="37" t="s">
        <v>118</v>
      </c>
      <c r="G753" s="37" t="s">
        <v>91</v>
      </c>
      <c r="H753" s="37" t="n">
        <v>1</v>
      </c>
      <c r="I753" s="43" t="n">
        <v>2299</v>
      </c>
      <c r="J753" s="40" t="n">
        <v>0.3</v>
      </c>
    </row>
    <row r="754" customFormat="false" ht="15" hidden="false" customHeight="false" outlineLevel="0" collapsed="false">
      <c r="A754" s="37" t="s">
        <v>890</v>
      </c>
      <c r="B754" s="42" t="n">
        <v>45950</v>
      </c>
      <c r="C754" s="37" t="s">
        <v>144</v>
      </c>
      <c r="D754" s="37" t="s">
        <v>45</v>
      </c>
      <c r="E754" s="37" t="s">
        <v>97</v>
      </c>
      <c r="F754" s="37" t="s">
        <v>119</v>
      </c>
      <c r="G754" s="37" t="s">
        <v>91</v>
      </c>
      <c r="H754" s="37" t="n">
        <v>1</v>
      </c>
      <c r="I754" s="43" t="n">
        <v>1099</v>
      </c>
      <c r="J754" s="40" t="n">
        <v>0.05</v>
      </c>
    </row>
    <row r="755" customFormat="false" ht="15" hidden="false" customHeight="false" outlineLevel="0" collapsed="false">
      <c r="A755" s="37" t="s">
        <v>891</v>
      </c>
      <c r="B755" s="42" t="n">
        <v>45960</v>
      </c>
      <c r="C755" s="37" t="s">
        <v>169</v>
      </c>
      <c r="D755" s="37" t="s">
        <v>44</v>
      </c>
      <c r="E755" s="37" t="s">
        <v>96</v>
      </c>
      <c r="F755" s="37" t="s">
        <v>117</v>
      </c>
      <c r="G755" s="37" t="s">
        <v>91</v>
      </c>
      <c r="H755" s="37" t="n">
        <v>1</v>
      </c>
      <c r="I755" s="43" t="n">
        <v>1499</v>
      </c>
      <c r="J755" s="40" t="n">
        <v>0.05</v>
      </c>
    </row>
    <row r="756" customFormat="false" ht="15" hidden="false" customHeight="false" outlineLevel="0" collapsed="false">
      <c r="A756" s="37" t="s">
        <v>892</v>
      </c>
      <c r="B756" s="42" t="n">
        <v>45947</v>
      </c>
      <c r="C756" s="37" t="s">
        <v>136</v>
      </c>
      <c r="D756" s="37" t="s">
        <v>47</v>
      </c>
      <c r="E756" s="37" t="s">
        <v>97</v>
      </c>
      <c r="F756" s="37" t="s">
        <v>122</v>
      </c>
      <c r="G756" s="37" t="s">
        <v>93</v>
      </c>
      <c r="H756" s="37" t="n">
        <v>1</v>
      </c>
      <c r="I756" s="43" t="n">
        <v>1799</v>
      </c>
      <c r="J756" s="40" t="n">
        <v>0.1</v>
      </c>
    </row>
    <row r="757" customFormat="false" ht="15" hidden="false" customHeight="false" outlineLevel="0" collapsed="false">
      <c r="A757" s="37" t="s">
        <v>893</v>
      </c>
      <c r="B757" s="42" t="n">
        <v>45956</v>
      </c>
      <c r="C757" s="37" t="s">
        <v>140</v>
      </c>
      <c r="D757" s="37" t="s">
        <v>44</v>
      </c>
      <c r="E757" s="37" t="s">
        <v>97</v>
      </c>
      <c r="F757" s="37" t="s">
        <v>123</v>
      </c>
      <c r="G757" s="37" t="s">
        <v>93</v>
      </c>
      <c r="H757" s="37" t="n">
        <v>1</v>
      </c>
      <c r="I757" s="43" t="n">
        <v>1299</v>
      </c>
      <c r="J757" s="40" t="n">
        <v>0</v>
      </c>
    </row>
    <row r="758" customFormat="false" ht="15" hidden="false" customHeight="false" outlineLevel="0" collapsed="false">
      <c r="A758" s="37" t="s">
        <v>894</v>
      </c>
      <c r="B758" s="42" t="n">
        <v>45943</v>
      </c>
      <c r="C758" s="37" t="s">
        <v>134</v>
      </c>
      <c r="D758" s="37" t="s">
        <v>45</v>
      </c>
      <c r="E758" s="37" t="s">
        <v>1156</v>
      </c>
      <c r="F758" s="37" t="s">
        <v>115</v>
      </c>
      <c r="G758" s="37" t="s">
        <v>92</v>
      </c>
      <c r="H758" s="37" t="n">
        <v>2</v>
      </c>
      <c r="I758" s="43" t="n">
        <v>1799</v>
      </c>
      <c r="J758" s="40" t="n">
        <v>0.4</v>
      </c>
    </row>
    <row r="759" customFormat="false" ht="15" hidden="false" customHeight="false" outlineLevel="0" collapsed="false">
      <c r="A759" s="37" t="s">
        <v>895</v>
      </c>
      <c r="B759" s="42" t="n">
        <v>45951</v>
      </c>
      <c r="C759" s="37" t="s">
        <v>166</v>
      </c>
      <c r="D759" s="37" t="s">
        <v>44</v>
      </c>
      <c r="E759" s="37" t="s">
        <v>1152</v>
      </c>
      <c r="F759" s="37" t="s">
        <v>117</v>
      </c>
      <c r="G759" s="37" t="s">
        <v>91</v>
      </c>
      <c r="H759" s="37" t="n">
        <v>1</v>
      </c>
      <c r="I759" s="43" t="n">
        <v>1499</v>
      </c>
      <c r="J759" s="40" t="n">
        <v>0.1</v>
      </c>
    </row>
    <row r="760" customFormat="false" ht="15" hidden="false" customHeight="false" outlineLevel="0" collapsed="false">
      <c r="A760" s="37" t="s">
        <v>896</v>
      </c>
      <c r="B760" s="42" t="n">
        <v>45940</v>
      </c>
      <c r="C760" s="37" t="s">
        <v>134</v>
      </c>
      <c r="D760" s="37" t="s">
        <v>45</v>
      </c>
      <c r="E760" s="37" t="s">
        <v>97</v>
      </c>
      <c r="F760" s="37" t="s">
        <v>115</v>
      </c>
      <c r="G760" s="37" t="s">
        <v>92</v>
      </c>
      <c r="H760" s="37" t="n">
        <v>1</v>
      </c>
      <c r="I760" s="43" t="n">
        <v>1799</v>
      </c>
      <c r="J760" s="40" t="n">
        <v>0</v>
      </c>
    </row>
    <row r="761" customFormat="false" ht="15" hidden="false" customHeight="false" outlineLevel="0" collapsed="false">
      <c r="A761" s="37" t="s">
        <v>897</v>
      </c>
      <c r="B761" s="42" t="n">
        <v>45935</v>
      </c>
      <c r="C761" s="37" t="s">
        <v>138</v>
      </c>
      <c r="D761" s="37" t="s">
        <v>46</v>
      </c>
      <c r="E761" s="37" t="s">
        <v>97</v>
      </c>
      <c r="F761" s="37" t="s">
        <v>110</v>
      </c>
      <c r="G761" s="37" t="s">
        <v>90</v>
      </c>
      <c r="H761" s="37" t="n">
        <v>2</v>
      </c>
      <c r="I761" s="43" t="n">
        <v>1299</v>
      </c>
      <c r="J761" s="40" t="n">
        <v>0.15</v>
      </c>
    </row>
    <row r="762" customFormat="false" ht="15" hidden="false" customHeight="false" outlineLevel="0" collapsed="false">
      <c r="A762" s="37" t="s">
        <v>898</v>
      </c>
      <c r="B762" s="42" t="n">
        <v>45944</v>
      </c>
      <c r="C762" s="37" t="s">
        <v>146</v>
      </c>
      <c r="D762" s="37" t="s">
        <v>45</v>
      </c>
      <c r="E762" s="37" t="s">
        <v>96</v>
      </c>
      <c r="F762" s="37" t="s">
        <v>116</v>
      </c>
      <c r="G762" s="37" t="s">
        <v>91</v>
      </c>
      <c r="H762" s="37" t="n">
        <v>4</v>
      </c>
      <c r="I762" s="43" t="n">
        <v>899</v>
      </c>
      <c r="J762" s="40" t="n">
        <v>0.4</v>
      </c>
    </row>
    <row r="763" customFormat="false" ht="15" hidden="false" customHeight="false" outlineLevel="0" collapsed="false">
      <c r="A763" s="37" t="s">
        <v>899</v>
      </c>
      <c r="B763" s="37" t="s">
        <v>1188</v>
      </c>
      <c r="C763" s="37" t="s">
        <v>134</v>
      </c>
      <c r="D763" s="37" t="s">
        <v>45</v>
      </c>
      <c r="E763" s="37" t="s">
        <v>97</v>
      </c>
      <c r="F763" s="37" t="s">
        <v>118</v>
      </c>
      <c r="G763" s="37" t="s">
        <v>91</v>
      </c>
      <c r="H763" s="37" t="n">
        <v>1</v>
      </c>
      <c r="I763" s="43" t="n">
        <v>2299</v>
      </c>
      <c r="J763" s="40" t="n">
        <v>0.05</v>
      </c>
    </row>
    <row r="764" customFormat="false" ht="15" hidden="false" customHeight="false" outlineLevel="0" collapsed="false">
      <c r="A764" s="37" t="s">
        <v>900</v>
      </c>
      <c r="B764" s="42" t="n">
        <v>45936</v>
      </c>
      <c r="C764" s="37" t="s">
        <v>154</v>
      </c>
      <c r="D764" s="37" t="s">
        <v>47</v>
      </c>
      <c r="E764" s="37" t="s">
        <v>97</v>
      </c>
      <c r="F764" s="37" t="s">
        <v>108</v>
      </c>
      <c r="G764" s="37" t="s">
        <v>90</v>
      </c>
      <c r="H764" s="37" t="n">
        <v>1</v>
      </c>
      <c r="I764" s="43" t="n">
        <v>1999</v>
      </c>
      <c r="J764" s="40" t="n">
        <v>0.1</v>
      </c>
    </row>
    <row r="765" customFormat="false" ht="15" hidden="false" customHeight="false" outlineLevel="0" collapsed="false">
      <c r="A765" s="37" t="s">
        <v>901</v>
      </c>
      <c r="B765" s="42" t="n">
        <v>45953</v>
      </c>
      <c r="C765" s="37" t="s">
        <v>154</v>
      </c>
      <c r="D765" s="37" t="s">
        <v>47</v>
      </c>
      <c r="E765" s="37" t="s">
        <v>97</v>
      </c>
      <c r="F765" s="37" t="s">
        <v>108</v>
      </c>
      <c r="G765" s="37" t="s">
        <v>90</v>
      </c>
      <c r="H765" s="37" t="n">
        <v>1</v>
      </c>
      <c r="I765" s="43" t="n">
        <v>1999</v>
      </c>
      <c r="J765" s="40" t="n">
        <v>0.1</v>
      </c>
    </row>
    <row r="766" customFormat="false" ht="15" hidden="false" customHeight="false" outlineLevel="0" collapsed="false">
      <c r="A766" s="37" t="s">
        <v>902</v>
      </c>
      <c r="B766" s="42" t="n">
        <v>45949</v>
      </c>
      <c r="C766" s="37" t="s">
        <v>142</v>
      </c>
      <c r="D766" s="37" t="s">
        <v>47</v>
      </c>
      <c r="E766" s="37" t="s">
        <v>96</v>
      </c>
      <c r="F766" s="37" t="s">
        <v>108</v>
      </c>
      <c r="G766" s="37" t="s">
        <v>90</v>
      </c>
      <c r="H766" s="37" t="n">
        <v>1</v>
      </c>
      <c r="I766" s="43" t="n">
        <v>1999</v>
      </c>
      <c r="J766" s="40" t="n">
        <v>0.05</v>
      </c>
    </row>
    <row r="767" customFormat="false" ht="15" hidden="false" customHeight="false" outlineLevel="0" collapsed="false">
      <c r="A767" s="37" t="s">
        <v>903</v>
      </c>
      <c r="B767" s="42" t="n">
        <v>45951</v>
      </c>
      <c r="C767" s="37" t="s">
        <v>160</v>
      </c>
      <c r="D767" s="37" t="s">
        <v>46</v>
      </c>
      <c r="E767" s="37" t="s">
        <v>96</v>
      </c>
      <c r="F767" s="37" t="s">
        <v>122</v>
      </c>
      <c r="G767" s="37" t="s">
        <v>93</v>
      </c>
      <c r="H767" s="37" t="n">
        <v>3</v>
      </c>
      <c r="I767" s="43" t="n">
        <v>1799</v>
      </c>
      <c r="J767" s="40" t="n">
        <v>0.25</v>
      </c>
    </row>
    <row r="768" customFormat="false" ht="15" hidden="false" customHeight="false" outlineLevel="0" collapsed="false">
      <c r="A768" s="37" t="s">
        <v>904</v>
      </c>
      <c r="B768" s="42" t="n">
        <v>45949</v>
      </c>
      <c r="C768" s="37" t="s">
        <v>134</v>
      </c>
      <c r="D768" s="37" t="s">
        <v>45</v>
      </c>
      <c r="E768" s="37" t="s">
        <v>97</v>
      </c>
      <c r="F768" s="37" t="s">
        <v>123</v>
      </c>
      <c r="G768" s="37" t="s">
        <v>93</v>
      </c>
      <c r="H768" s="37" t="n">
        <v>3</v>
      </c>
      <c r="I768" s="43" t="n">
        <v>1299</v>
      </c>
      <c r="J768" s="40" t="n">
        <v>0.15</v>
      </c>
    </row>
    <row r="769" customFormat="false" ht="15" hidden="false" customHeight="false" outlineLevel="0" collapsed="false">
      <c r="A769" s="37" t="s">
        <v>905</v>
      </c>
      <c r="B769" s="42" t="n">
        <v>45933</v>
      </c>
      <c r="C769" s="37" t="s">
        <v>169</v>
      </c>
      <c r="D769" s="37" t="s">
        <v>44</v>
      </c>
      <c r="E769" s="37" t="s">
        <v>97</v>
      </c>
      <c r="F769" s="37" t="s">
        <v>116</v>
      </c>
      <c r="G769" s="37" t="s">
        <v>91</v>
      </c>
      <c r="H769" s="37" t="n">
        <v>1</v>
      </c>
      <c r="I769" s="43" t="n">
        <v>899</v>
      </c>
      <c r="J769" s="40" t="n">
        <v>0.05</v>
      </c>
    </row>
    <row r="770" customFormat="false" ht="15" hidden="false" customHeight="false" outlineLevel="0" collapsed="false">
      <c r="A770" s="37" t="s">
        <v>906</v>
      </c>
      <c r="B770" s="42" t="n">
        <v>45961</v>
      </c>
      <c r="C770" s="37" t="s">
        <v>146</v>
      </c>
      <c r="D770" s="37" t="s">
        <v>45</v>
      </c>
      <c r="E770" s="37" t="s">
        <v>96</v>
      </c>
      <c r="F770" s="37" t="s">
        <v>116</v>
      </c>
      <c r="G770" s="37" t="s">
        <v>91</v>
      </c>
      <c r="H770" s="37" t="n">
        <v>1</v>
      </c>
      <c r="I770" s="43" t="n">
        <v>899</v>
      </c>
      <c r="J770" s="40" t="n">
        <v>0.1</v>
      </c>
    </row>
    <row r="771" customFormat="false" ht="15" hidden="false" customHeight="false" outlineLevel="0" collapsed="false">
      <c r="A771" s="37" t="s">
        <v>907</v>
      </c>
      <c r="B771" s="42" t="n">
        <v>45943</v>
      </c>
      <c r="C771" s="37" t="s">
        <v>140</v>
      </c>
      <c r="D771" s="37" t="s">
        <v>44</v>
      </c>
      <c r="E771" s="37" t="s">
        <v>97</v>
      </c>
      <c r="F771" s="37" t="s">
        <v>118</v>
      </c>
      <c r="G771" s="37" t="s">
        <v>91</v>
      </c>
      <c r="H771" s="37" t="n">
        <v>1</v>
      </c>
      <c r="I771" s="43" t="n">
        <v>2299</v>
      </c>
      <c r="J771" s="40" t="n">
        <v>0.15</v>
      </c>
    </row>
    <row r="772" customFormat="false" ht="15" hidden="false" customHeight="false" outlineLevel="0" collapsed="false">
      <c r="A772" s="37" t="s">
        <v>908</v>
      </c>
      <c r="B772" s="42" t="n">
        <v>45958</v>
      </c>
      <c r="C772" s="37" t="s">
        <v>136</v>
      </c>
      <c r="D772" s="37" t="s">
        <v>47</v>
      </c>
      <c r="E772" s="37" t="s">
        <v>97</v>
      </c>
      <c r="F772" s="37" t="s">
        <v>111</v>
      </c>
      <c r="G772" s="37" t="s">
        <v>90</v>
      </c>
      <c r="H772" s="37" t="n">
        <v>2</v>
      </c>
      <c r="I772" s="43" t="n">
        <v>2499</v>
      </c>
      <c r="J772" s="40" t="n">
        <v>0.1</v>
      </c>
    </row>
    <row r="773" customFormat="false" ht="15" hidden="false" customHeight="false" outlineLevel="0" collapsed="false">
      <c r="A773" s="37" t="s">
        <v>909</v>
      </c>
      <c r="B773" s="42" t="n">
        <v>45932</v>
      </c>
      <c r="C773" s="37" t="s">
        <v>134</v>
      </c>
      <c r="D773" s="37" t="s">
        <v>45</v>
      </c>
      <c r="E773" s="37" t="s">
        <v>97</v>
      </c>
      <c r="F773" s="37" t="s">
        <v>111</v>
      </c>
      <c r="G773" s="37" t="s">
        <v>90</v>
      </c>
      <c r="H773" s="37" t="n">
        <v>3</v>
      </c>
      <c r="I773" s="43" t="n">
        <v>2499</v>
      </c>
      <c r="J773" s="40" t="n">
        <v>0</v>
      </c>
    </row>
    <row r="774" customFormat="false" ht="15" hidden="false" customHeight="false" outlineLevel="0" collapsed="false">
      <c r="A774" s="37" t="s">
        <v>910</v>
      </c>
      <c r="B774" s="42" t="n">
        <v>45942</v>
      </c>
      <c r="C774" s="37" t="s">
        <v>146</v>
      </c>
      <c r="D774" s="37" t="s">
        <v>45</v>
      </c>
      <c r="E774" s="37" t="s">
        <v>96</v>
      </c>
      <c r="F774" s="37" t="s">
        <v>123</v>
      </c>
      <c r="G774" s="37" t="s">
        <v>93</v>
      </c>
      <c r="H774" s="37" t="n">
        <v>1</v>
      </c>
      <c r="I774" s="43" t="n">
        <v>1299</v>
      </c>
      <c r="J774" s="40" t="n">
        <v>0.2</v>
      </c>
    </row>
    <row r="775" customFormat="false" ht="15" hidden="false" customHeight="false" outlineLevel="0" collapsed="false">
      <c r="A775" s="37" t="s">
        <v>911</v>
      </c>
      <c r="B775" s="42" t="n">
        <v>45947</v>
      </c>
      <c r="C775" s="37" t="s">
        <v>138</v>
      </c>
      <c r="D775" s="37" t="s">
        <v>46</v>
      </c>
      <c r="E775" s="37" t="s">
        <v>96</v>
      </c>
      <c r="F775" s="37" t="s">
        <v>108</v>
      </c>
      <c r="G775" s="37" t="s">
        <v>90</v>
      </c>
      <c r="H775" s="37" t="n">
        <v>1</v>
      </c>
      <c r="I775" s="43" t="n">
        <v>1999</v>
      </c>
      <c r="J775" s="40" t="n">
        <v>0.4</v>
      </c>
    </row>
    <row r="776" customFormat="false" ht="15" hidden="false" customHeight="false" outlineLevel="0" collapsed="false">
      <c r="A776" s="37" t="s">
        <v>912</v>
      </c>
      <c r="B776" s="42" t="n">
        <v>45951</v>
      </c>
      <c r="C776" s="37" t="s">
        <v>1155</v>
      </c>
      <c r="D776" s="37" t="s">
        <v>45</v>
      </c>
      <c r="E776" s="37" t="s">
        <v>96</v>
      </c>
      <c r="F776" s="37" t="s">
        <v>121</v>
      </c>
      <c r="G776" s="37" t="s">
        <v>93</v>
      </c>
      <c r="H776" s="37" t="n">
        <v>3</v>
      </c>
      <c r="I776" s="43" t="n">
        <v>999</v>
      </c>
      <c r="J776" s="37" t="s">
        <v>1181</v>
      </c>
    </row>
    <row r="777" customFormat="false" ht="15" hidden="false" customHeight="false" outlineLevel="0" collapsed="false">
      <c r="A777" s="37" t="s">
        <v>913</v>
      </c>
      <c r="B777" s="42" t="n">
        <v>45954</v>
      </c>
      <c r="C777" s="37" t="s">
        <v>169</v>
      </c>
      <c r="D777" s="37" t="s">
        <v>44</v>
      </c>
      <c r="E777" s="37" t="s">
        <v>96</v>
      </c>
      <c r="F777" s="37" t="s">
        <v>115</v>
      </c>
      <c r="G777" s="37" t="s">
        <v>92</v>
      </c>
      <c r="H777" s="37" t="n">
        <v>2</v>
      </c>
      <c r="I777" s="43" t="n">
        <v>1799</v>
      </c>
      <c r="J777" s="40" t="n">
        <v>0.3</v>
      </c>
    </row>
    <row r="778" customFormat="false" ht="15" hidden="false" customHeight="false" outlineLevel="0" collapsed="false">
      <c r="A778" s="37" t="s">
        <v>914</v>
      </c>
      <c r="B778" s="42" t="n">
        <v>45945</v>
      </c>
      <c r="C778" s="37" t="s">
        <v>142</v>
      </c>
      <c r="D778" s="37" t="s">
        <v>47</v>
      </c>
      <c r="E778" s="37" t="s">
        <v>97</v>
      </c>
      <c r="F778" s="37" t="s">
        <v>108</v>
      </c>
      <c r="G778" s="37" t="s">
        <v>90</v>
      </c>
      <c r="H778" s="37" t="n">
        <v>1</v>
      </c>
      <c r="I778" s="43" t="n">
        <v>1999</v>
      </c>
      <c r="J778" s="40" t="n">
        <v>0.05</v>
      </c>
    </row>
    <row r="779" customFormat="false" ht="15" hidden="false" customHeight="false" outlineLevel="0" collapsed="false">
      <c r="A779" s="37" t="s">
        <v>915</v>
      </c>
      <c r="B779" s="42" t="n">
        <v>45939</v>
      </c>
      <c r="C779" s="37" t="s">
        <v>146</v>
      </c>
      <c r="D779" s="37" t="s">
        <v>45</v>
      </c>
      <c r="E779" s="37" t="s">
        <v>97</v>
      </c>
      <c r="F779" s="37" t="s">
        <v>108</v>
      </c>
      <c r="G779" s="37" t="s">
        <v>90</v>
      </c>
      <c r="H779" s="37" t="n">
        <v>1</v>
      </c>
      <c r="I779" s="43" t="n">
        <v>1999</v>
      </c>
      <c r="J779" s="40" t="n">
        <v>0.05</v>
      </c>
    </row>
    <row r="780" customFormat="false" ht="15" hidden="false" customHeight="false" outlineLevel="0" collapsed="false">
      <c r="A780" s="37" t="s">
        <v>915</v>
      </c>
      <c r="B780" s="42" t="n">
        <v>45939</v>
      </c>
      <c r="C780" s="37" t="s">
        <v>146</v>
      </c>
      <c r="D780" s="37" t="s">
        <v>45</v>
      </c>
      <c r="E780" s="37" t="s">
        <v>97</v>
      </c>
      <c r="F780" s="37" t="s">
        <v>108</v>
      </c>
      <c r="G780" s="37" t="s">
        <v>90</v>
      </c>
      <c r="H780" s="37" t="n">
        <v>1</v>
      </c>
      <c r="I780" s="43" t="n">
        <v>1999</v>
      </c>
      <c r="J780" s="40" t="n">
        <v>0.05</v>
      </c>
    </row>
    <row r="781" customFormat="false" ht="15" hidden="false" customHeight="false" outlineLevel="0" collapsed="false">
      <c r="A781" s="37" t="s">
        <v>916</v>
      </c>
      <c r="B781" s="42" t="n">
        <v>45954</v>
      </c>
      <c r="C781" s="37" t="s">
        <v>142</v>
      </c>
      <c r="D781" s="37" t="s">
        <v>47</v>
      </c>
      <c r="E781" s="37" t="s">
        <v>96</v>
      </c>
      <c r="F781" s="37" t="s">
        <v>110</v>
      </c>
      <c r="G781" s="37" t="s">
        <v>90</v>
      </c>
      <c r="H781" s="37" t="n">
        <v>1</v>
      </c>
      <c r="I781" s="43" t="n">
        <v>1299</v>
      </c>
      <c r="J781" s="40" t="n">
        <v>0.4</v>
      </c>
    </row>
    <row r="782" customFormat="false" ht="15" hidden="false" customHeight="false" outlineLevel="0" collapsed="false">
      <c r="A782" s="37" t="s">
        <v>917</v>
      </c>
      <c r="B782" s="42" t="n">
        <v>45954</v>
      </c>
      <c r="C782" s="37" t="s">
        <v>146</v>
      </c>
      <c r="D782" s="37" t="s">
        <v>45</v>
      </c>
      <c r="E782" s="37" t="s">
        <v>97</v>
      </c>
      <c r="F782" s="37" t="s">
        <v>111</v>
      </c>
      <c r="G782" s="37" t="s">
        <v>90</v>
      </c>
      <c r="H782" s="37" t="n">
        <v>2</v>
      </c>
      <c r="I782" s="43" t="n">
        <v>2499</v>
      </c>
      <c r="J782" s="40" t="n">
        <v>0.1</v>
      </c>
    </row>
    <row r="783" customFormat="false" ht="15" hidden="false" customHeight="false" outlineLevel="0" collapsed="false">
      <c r="A783" s="37" t="s">
        <v>918</v>
      </c>
      <c r="B783" s="42" t="n">
        <v>45940</v>
      </c>
      <c r="C783" s="37" t="s">
        <v>1189</v>
      </c>
      <c r="D783" s="37" t="s">
        <v>46</v>
      </c>
      <c r="E783" s="37" t="s">
        <v>96</v>
      </c>
      <c r="F783" s="37" t="s">
        <v>109</v>
      </c>
      <c r="G783" s="37" t="s">
        <v>90</v>
      </c>
      <c r="H783" s="37" t="n">
        <v>1</v>
      </c>
      <c r="I783" s="43" t="n">
        <v>3499</v>
      </c>
      <c r="J783" s="40" t="n">
        <v>0.25</v>
      </c>
    </row>
    <row r="784" customFormat="false" ht="15" hidden="false" customHeight="false" outlineLevel="0" collapsed="false">
      <c r="A784" s="37" t="s">
        <v>919</v>
      </c>
      <c r="B784" s="42" t="n">
        <v>45957</v>
      </c>
      <c r="C784" s="37" t="s">
        <v>1155</v>
      </c>
      <c r="D784" s="37" t="s">
        <v>45</v>
      </c>
      <c r="E784" s="37" t="s">
        <v>97</v>
      </c>
      <c r="F784" s="37" t="s">
        <v>111</v>
      </c>
      <c r="G784" s="37" t="s">
        <v>90</v>
      </c>
      <c r="H784" s="37" t="n">
        <v>1</v>
      </c>
      <c r="I784" s="43" t="n">
        <v>2499</v>
      </c>
      <c r="J784" s="40" t="n">
        <v>0.25</v>
      </c>
    </row>
    <row r="785" customFormat="false" ht="15" hidden="false" customHeight="false" outlineLevel="0" collapsed="false">
      <c r="A785" s="37" t="s">
        <v>920</v>
      </c>
      <c r="B785" s="42" t="n">
        <v>45950</v>
      </c>
      <c r="C785" s="37" t="s">
        <v>134</v>
      </c>
      <c r="D785" s="37" t="s">
        <v>45</v>
      </c>
      <c r="E785" s="37" t="s">
        <v>97</v>
      </c>
      <c r="F785" s="37" t="s">
        <v>110</v>
      </c>
      <c r="G785" s="37" t="s">
        <v>90</v>
      </c>
      <c r="H785" s="37" t="n">
        <v>1</v>
      </c>
      <c r="I785" s="43" t="n">
        <v>1299</v>
      </c>
      <c r="J785" s="40" t="n">
        <v>0</v>
      </c>
    </row>
    <row r="786" customFormat="false" ht="15" hidden="false" customHeight="false" outlineLevel="0" collapsed="false">
      <c r="A786" s="37" t="s">
        <v>921</v>
      </c>
      <c r="B786" s="42" t="n">
        <v>45941</v>
      </c>
      <c r="C786" s="37" t="s">
        <v>144</v>
      </c>
      <c r="D786" s="37" t="s">
        <v>45</v>
      </c>
      <c r="E786" s="37" t="s">
        <v>96</v>
      </c>
      <c r="F786" s="37" t="s">
        <v>122</v>
      </c>
      <c r="G786" s="37" t="s">
        <v>93</v>
      </c>
      <c r="H786" s="37" t="n">
        <v>1</v>
      </c>
      <c r="I786" s="43" t="n">
        <v>1799</v>
      </c>
      <c r="J786" s="40" t="n">
        <v>0.2</v>
      </c>
    </row>
    <row r="787" customFormat="false" ht="15" hidden="false" customHeight="false" outlineLevel="0" collapsed="false">
      <c r="A787" s="37" t="s">
        <v>922</v>
      </c>
      <c r="B787" s="42" t="n">
        <v>45946</v>
      </c>
      <c r="C787" s="37" t="s">
        <v>138</v>
      </c>
      <c r="D787" s="37" t="s">
        <v>46</v>
      </c>
      <c r="E787" s="37" t="s">
        <v>97</v>
      </c>
      <c r="F787" s="37" t="s">
        <v>119</v>
      </c>
      <c r="G787" s="37" t="s">
        <v>91</v>
      </c>
      <c r="H787" s="37" t="n">
        <v>1</v>
      </c>
      <c r="I787" s="43" t="n">
        <v>1099</v>
      </c>
      <c r="J787" s="40" t="n">
        <v>0.25</v>
      </c>
    </row>
    <row r="788" customFormat="false" ht="15" hidden="false" customHeight="false" outlineLevel="0" collapsed="false">
      <c r="A788" s="37" t="s">
        <v>923</v>
      </c>
      <c r="B788" s="42" t="n">
        <v>45939</v>
      </c>
      <c r="C788" s="37" t="s">
        <v>134</v>
      </c>
      <c r="D788" s="37" t="s">
        <v>45</v>
      </c>
      <c r="E788" s="37" t="s">
        <v>96</v>
      </c>
      <c r="F788" s="37" t="s">
        <v>121</v>
      </c>
      <c r="G788" s="37" t="s">
        <v>93</v>
      </c>
      <c r="H788" s="37" t="n">
        <v>3</v>
      </c>
      <c r="I788" s="43" t="n">
        <v>999</v>
      </c>
      <c r="J788" s="40" t="n">
        <v>0.3</v>
      </c>
    </row>
    <row r="789" customFormat="false" ht="15" hidden="false" customHeight="false" outlineLevel="0" collapsed="false">
      <c r="A789" s="37" t="s">
        <v>924</v>
      </c>
      <c r="B789" s="42" t="n">
        <v>45947</v>
      </c>
      <c r="C789" s="37" t="s">
        <v>1155</v>
      </c>
      <c r="D789" s="37" t="s">
        <v>45</v>
      </c>
      <c r="E789" s="37" t="s">
        <v>96</v>
      </c>
      <c r="F789" s="37" t="s">
        <v>116</v>
      </c>
      <c r="G789" s="37" t="s">
        <v>91</v>
      </c>
      <c r="H789" s="37" t="n">
        <v>1</v>
      </c>
      <c r="I789" s="43" t="n">
        <v>899</v>
      </c>
      <c r="J789" s="40" t="n">
        <v>0.15</v>
      </c>
    </row>
    <row r="790" customFormat="false" ht="15" hidden="false" customHeight="false" outlineLevel="0" collapsed="false">
      <c r="A790" s="37" t="s">
        <v>925</v>
      </c>
      <c r="B790" s="42" t="n">
        <v>45941</v>
      </c>
      <c r="C790" s="37" t="s">
        <v>134</v>
      </c>
      <c r="D790" s="37" t="s">
        <v>45</v>
      </c>
      <c r="E790" s="37" t="s">
        <v>96</v>
      </c>
      <c r="F790" s="37" t="s">
        <v>109</v>
      </c>
      <c r="G790" s="37" t="s">
        <v>90</v>
      </c>
      <c r="H790" s="37" t="n">
        <v>1</v>
      </c>
      <c r="I790" s="43" t="n">
        <v>3499</v>
      </c>
      <c r="J790" s="40" t="n">
        <v>0.3</v>
      </c>
    </row>
    <row r="791" customFormat="false" ht="15" hidden="false" customHeight="false" outlineLevel="0" collapsed="false">
      <c r="A791" s="37" t="s">
        <v>926</v>
      </c>
      <c r="B791" s="42" t="n">
        <v>45956</v>
      </c>
      <c r="C791" s="37" t="s">
        <v>169</v>
      </c>
      <c r="D791" s="37" t="s">
        <v>44</v>
      </c>
      <c r="E791" s="37" t="s">
        <v>97</v>
      </c>
      <c r="F791" s="37" t="s">
        <v>120</v>
      </c>
      <c r="G791" s="37" t="s">
        <v>93</v>
      </c>
      <c r="H791" s="37" t="n">
        <v>2</v>
      </c>
      <c r="I791" s="43" t="n">
        <v>449</v>
      </c>
      <c r="J791" s="40" t="n">
        <v>0.1</v>
      </c>
    </row>
    <row r="792" customFormat="false" ht="15" hidden="false" customHeight="false" outlineLevel="0" collapsed="false">
      <c r="A792" s="37" t="s">
        <v>927</v>
      </c>
      <c r="B792" s="42" t="n">
        <v>45952</v>
      </c>
      <c r="C792" s="37" t="s">
        <v>134</v>
      </c>
      <c r="D792" s="37" t="s">
        <v>45</v>
      </c>
      <c r="E792" s="37" t="s">
        <v>97</v>
      </c>
      <c r="F792" s="37" t="s">
        <v>109</v>
      </c>
      <c r="G792" s="37" t="s">
        <v>90</v>
      </c>
      <c r="H792" s="37" t="n">
        <v>1</v>
      </c>
      <c r="I792" s="43" t="n">
        <v>3499</v>
      </c>
      <c r="J792" s="40" t="n">
        <v>0.2</v>
      </c>
    </row>
    <row r="793" customFormat="false" ht="15" hidden="false" customHeight="false" outlineLevel="0" collapsed="false">
      <c r="A793" s="37" t="s">
        <v>928</v>
      </c>
      <c r="B793" s="42" t="n">
        <v>45960</v>
      </c>
      <c r="C793" s="37" t="s">
        <v>136</v>
      </c>
      <c r="D793" s="37" t="s">
        <v>47</v>
      </c>
      <c r="E793" s="37" t="s">
        <v>97</v>
      </c>
      <c r="F793" s="37" t="s">
        <v>116</v>
      </c>
      <c r="G793" s="37" t="s">
        <v>91</v>
      </c>
      <c r="H793" s="37" t="n">
        <v>1</v>
      </c>
      <c r="I793" s="43" t="n">
        <v>899</v>
      </c>
      <c r="J793" s="40" t="n">
        <v>0.1</v>
      </c>
    </row>
    <row r="794" customFormat="false" ht="15" hidden="false" customHeight="false" outlineLevel="0" collapsed="false">
      <c r="A794" s="37" t="s">
        <v>929</v>
      </c>
      <c r="B794" s="42" t="n">
        <v>45945</v>
      </c>
      <c r="C794" s="37" t="s">
        <v>166</v>
      </c>
      <c r="D794" s="37" t="s">
        <v>44</v>
      </c>
      <c r="E794" s="37" t="s">
        <v>96</v>
      </c>
      <c r="F794" s="37" t="s">
        <v>123</v>
      </c>
      <c r="G794" s="37" t="s">
        <v>93</v>
      </c>
      <c r="H794" s="37" t="n">
        <v>1</v>
      </c>
      <c r="I794" s="43" t="n">
        <v>1299</v>
      </c>
      <c r="J794" s="40" t="n">
        <v>0</v>
      </c>
    </row>
    <row r="795" customFormat="false" ht="15" hidden="false" customHeight="false" outlineLevel="0" collapsed="false">
      <c r="A795" s="37" t="s">
        <v>930</v>
      </c>
      <c r="B795" s="42" t="n">
        <v>45960</v>
      </c>
      <c r="C795" s="37" t="s">
        <v>172</v>
      </c>
      <c r="D795" s="37" t="s">
        <v>46</v>
      </c>
      <c r="E795" s="37" t="s">
        <v>96</v>
      </c>
      <c r="F795" s="37" t="s">
        <v>110</v>
      </c>
      <c r="G795" s="37" t="s">
        <v>90</v>
      </c>
      <c r="H795" s="37" t="n">
        <v>2</v>
      </c>
      <c r="I795" s="43" t="n">
        <v>1299</v>
      </c>
      <c r="J795" s="40" t="n">
        <v>0.1</v>
      </c>
    </row>
    <row r="796" customFormat="false" ht="15" hidden="false" customHeight="false" outlineLevel="0" collapsed="false">
      <c r="A796" s="37" t="s">
        <v>931</v>
      </c>
      <c r="B796" s="42" t="n">
        <v>45939</v>
      </c>
      <c r="C796" s="37" t="s">
        <v>172</v>
      </c>
      <c r="D796" s="37" t="s">
        <v>46</v>
      </c>
      <c r="E796" s="37" t="s">
        <v>97</v>
      </c>
      <c r="F796" s="37" t="s">
        <v>121</v>
      </c>
      <c r="G796" s="37" t="s">
        <v>93</v>
      </c>
      <c r="H796" s="37" t="n">
        <v>1</v>
      </c>
      <c r="I796" s="43" t="n">
        <v>999</v>
      </c>
      <c r="J796" s="40" t="n">
        <v>0.2</v>
      </c>
    </row>
    <row r="797" customFormat="false" ht="15" hidden="false" customHeight="false" outlineLevel="0" collapsed="false">
      <c r="A797" s="37" t="s">
        <v>932</v>
      </c>
      <c r="B797" s="42" t="n">
        <v>45943</v>
      </c>
      <c r="C797" s="37" t="s">
        <v>146</v>
      </c>
      <c r="D797" s="37" t="s">
        <v>45</v>
      </c>
      <c r="E797" s="37" t="s">
        <v>1153</v>
      </c>
      <c r="F797" s="37" t="s">
        <v>121</v>
      </c>
      <c r="G797" s="37" t="s">
        <v>93</v>
      </c>
      <c r="H797" s="37" t="n">
        <v>1</v>
      </c>
      <c r="I797" s="43" t="n">
        <v>999</v>
      </c>
      <c r="J797" s="40" t="n">
        <v>0.05</v>
      </c>
    </row>
    <row r="798" customFormat="false" ht="15" hidden="false" customHeight="false" outlineLevel="0" collapsed="false">
      <c r="A798" s="37" t="s">
        <v>933</v>
      </c>
      <c r="B798" s="42" t="n">
        <v>45949</v>
      </c>
      <c r="C798" s="37" t="s">
        <v>154</v>
      </c>
      <c r="D798" s="37" t="s">
        <v>47</v>
      </c>
      <c r="E798" s="37" t="s">
        <v>97</v>
      </c>
      <c r="F798" s="37" t="s">
        <v>120</v>
      </c>
      <c r="G798" s="37" t="s">
        <v>93</v>
      </c>
      <c r="H798" s="37" t="n">
        <v>1</v>
      </c>
      <c r="I798" s="43" t="n">
        <v>449</v>
      </c>
      <c r="J798" s="40" t="n">
        <v>0.1</v>
      </c>
    </row>
    <row r="799" customFormat="false" ht="15" hidden="false" customHeight="false" outlineLevel="0" collapsed="false">
      <c r="A799" s="37" t="s">
        <v>934</v>
      </c>
      <c r="B799" s="42" t="n">
        <v>45932</v>
      </c>
      <c r="C799" s="37" t="s">
        <v>138</v>
      </c>
      <c r="D799" s="37" t="s">
        <v>46</v>
      </c>
      <c r="E799" s="37" t="s">
        <v>96</v>
      </c>
      <c r="F799" s="37" t="s">
        <v>120</v>
      </c>
      <c r="G799" s="37" t="s">
        <v>93</v>
      </c>
      <c r="H799" s="37" t="n">
        <v>1</v>
      </c>
      <c r="I799" s="43" t="n">
        <v>449</v>
      </c>
      <c r="J799" s="40" t="n">
        <v>0.3</v>
      </c>
    </row>
    <row r="800" customFormat="false" ht="15" hidden="false" customHeight="false" outlineLevel="0" collapsed="false">
      <c r="A800" s="37" t="s">
        <v>935</v>
      </c>
      <c r="B800" s="42" t="n">
        <v>45940</v>
      </c>
      <c r="C800" s="37" t="s">
        <v>169</v>
      </c>
      <c r="D800" s="37" t="s">
        <v>44</v>
      </c>
      <c r="E800" s="37" t="s">
        <v>97</v>
      </c>
      <c r="F800" s="37" t="s">
        <v>110</v>
      </c>
      <c r="G800" s="37" t="s">
        <v>90</v>
      </c>
      <c r="H800" s="37" t="n">
        <v>2</v>
      </c>
      <c r="I800" s="43" t="n">
        <v>1299</v>
      </c>
      <c r="J800" s="40" t="n">
        <v>0.2</v>
      </c>
    </row>
    <row r="801" customFormat="false" ht="15" hidden="false" customHeight="false" outlineLevel="0" collapsed="false">
      <c r="A801" s="37" t="s">
        <v>936</v>
      </c>
      <c r="B801" s="42" t="n">
        <v>45938</v>
      </c>
      <c r="C801" s="37" t="s">
        <v>134</v>
      </c>
      <c r="D801" s="37" t="s">
        <v>45</v>
      </c>
      <c r="E801" s="37" t="s">
        <v>96</v>
      </c>
      <c r="F801" s="37" t="s">
        <v>118</v>
      </c>
      <c r="G801" s="37" t="s">
        <v>91</v>
      </c>
      <c r="H801" s="37" t="n">
        <v>2</v>
      </c>
      <c r="I801" s="43" t="n">
        <v>2299</v>
      </c>
      <c r="J801" s="40" t="n">
        <v>0.4</v>
      </c>
    </row>
    <row r="802" customFormat="false" ht="15" hidden="false" customHeight="false" outlineLevel="0" collapsed="false">
      <c r="A802" s="37" t="s">
        <v>937</v>
      </c>
      <c r="B802" s="42" t="n">
        <v>45938</v>
      </c>
      <c r="C802" s="37" t="s">
        <v>134</v>
      </c>
      <c r="D802" s="37" t="s">
        <v>45</v>
      </c>
      <c r="E802" s="37" t="s">
        <v>97</v>
      </c>
      <c r="F802" s="37" t="s">
        <v>108</v>
      </c>
      <c r="G802" s="37" t="s">
        <v>90</v>
      </c>
      <c r="H802" s="37" t="n">
        <v>1</v>
      </c>
      <c r="I802" s="43" t="n">
        <v>1999</v>
      </c>
      <c r="J802" s="40" t="n">
        <v>0.1</v>
      </c>
    </row>
    <row r="803" customFormat="false" ht="15" hidden="false" customHeight="false" outlineLevel="0" collapsed="false">
      <c r="A803" s="37" t="s">
        <v>938</v>
      </c>
      <c r="B803" s="42" t="n">
        <v>45947</v>
      </c>
      <c r="C803" s="37" t="s">
        <v>138</v>
      </c>
      <c r="D803" s="37" t="s">
        <v>46</v>
      </c>
      <c r="E803" s="37" t="s">
        <v>1156</v>
      </c>
      <c r="F803" s="37" t="s">
        <v>111</v>
      </c>
      <c r="G803" s="37" t="s">
        <v>90</v>
      </c>
      <c r="H803" s="37" t="n">
        <v>1</v>
      </c>
      <c r="I803" s="43" t="n">
        <v>2499</v>
      </c>
      <c r="J803" s="40" t="n">
        <v>0.25</v>
      </c>
    </row>
    <row r="804" customFormat="false" ht="15" hidden="false" customHeight="false" outlineLevel="0" collapsed="false">
      <c r="A804" s="37" t="s">
        <v>939</v>
      </c>
      <c r="B804" s="42" t="n">
        <v>45947</v>
      </c>
      <c r="C804" s="37" t="s">
        <v>172</v>
      </c>
      <c r="D804" s="37" t="s">
        <v>46</v>
      </c>
      <c r="E804" s="37" t="s">
        <v>97</v>
      </c>
      <c r="F804" s="37" t="s">
        <v>111</v>
      </c>
      <c r="G804" s="37" t="s">
        <v>90</v>
      </c>
      <c r="H804" s="37" t="n">
        <v>2</v>
      </c>
      <c r="I804" s="43" t="n">
        <v>2499</v>
      </c>
      <c r="J804" s="40" t="n">
        <v>0.05</v>
      </c>
    </row>
    <row r="805" customFormat="false" ht="15" hidden="false" customHeight="false" outlineLevel="0" collapsed="false">
      <c r="A805" s="37" t="s">
        <v>940</v>
      </c>
      <c r="B805" s="42" t="n">
        <v>45959</v>
      </c>
      <c r="C805" s="37" t="s">
        <v>136</v>
      </c>
      <c r="D805" s="37" t="s">
        <v>47</v>
      </c>
      <c r="E805" s="37" t="s">
        <v>96</v>
      </c>
      <c r="F805" s="37" t="s">
        <v>115</v>
      </c>
      <c r="G805" s="37" t="s">
        <v>92</v>
      </c>
      <c r="H805" s="37" t="n">
        <v>2</v>
      </c>
      <c r="I805" s="43" t="n">
        <v>1799</v>
      </c>
      <c r="J805" s="40" t="n">
        <v>0.3</v>
      </c>
    </row>
    <row r="806" customFormat="false" ht="15" hidden="false" customHeight="false" outlineLevel="0" collapsed="false">
      <c r="A806" s="37" t="s">
        <v>941</v>
      </c>
      <c r="B806" s="42" t="n">
        <v>45957</v>
      </c>
      <c r="C806" s="37" t="s">
        <v>154</v>
      </c>
      <c r="D806" s="37" t="s">
        <v>47</v>
      </c>
      <c r="E806" s="37" t="s">
        <v>97</v>
      </c>
      <c r="F806" s="37" t="s">
        <v>109</v>
      </c>
      <c r="G806" s="37" t="s">
        <v>90</v>
      </c>
      <c r="H806" s="37" t="n">
        <v>2</v>
      </c>
      <c r="I806" s="43" t="n">
        <v>3499</v>
      </c>
      <c r="J806" s="40" t="n">
        <v>0.05</v>
      </c>
    </row>
    <row r="807" customFormat="false" ht="15" hidden="false" customHeight="false" outlineLevel="0" collapsed="false">
      <c r="A807" s="37" t="s">
        <v>942</v>
      </c>
      <c r="B807" s="42" t="n">
        <v>45940</v>
      </c>
      <c r="C807" s="37" t="s">
        <v>146</v>
      </c>
      <c r="D807" s="37" t="s">
        <v>45</v>
      </c>
      <c r="E807" s="37" t="s">
        <v>1153</v>
      </c>
      <c r="F807" s="37" t="s">
        <v>109</v>
      </c>
      <c r="G807" s="37" t="s">
        <v>90</v>
      </c>
      <c r="H807" s="37" t="n">
        <v>2</v>
      </c>
      <c r="I807" s="43" t="n">
        <v>3499</v>
      </c>
      <c r="J807" s="40" t="n">
        <v>0.25</v>
      </c>
    </row>
    <row r="808" customFormat="false" ht="15" hidden="false" customHeight="false" outlineLevel="0" collapsed="false">
      <c r="A808" s="37" t="s">
        <v>943</v>
      </c>
      <c r="B808" s="42" t="n">
        <v>45966</v>
      </c>
      <c r="C808" s="37" t="s">
        <v>140</v>
      </c>
      <c r="D808" s="37" t="s">
        <v>44</v>
      </c>
      <c r="E808" s="37" t="s">
        <v>97</v>
      </c>
      <c r="F808" s="37" t="s">
        <v>120</v>
      </c>
      <c r="G808" s="37" t="s">
        <v>93</v>
      </c>
      <c r="H808" s="37" t="n">
        <v>2</v>
      </c>
      <c r="I808" s="43" t="n">
        <v>449</v>
      </c>
      <c r="J808" s="40" t="n">
        <v>0.1</v>
      </c>
    </row>
    <row r="809" customFormat="false" ht="15" hidden="false" customHeight="false" outlineLevel="0" collapsed="false">
      <c r="A809" s="37" t="s">
        <v>944</v>
      </c>
      <c r="B809" s="42" t="n">
        <v>45987</v>
      </c>
      <c r="C809" s="37" t="s">
        <v>154</v>
      </c>
      <c r="D809" s="37" t="s">
        <v>47</v>
      </c>
      <c r="E809" s="37" t="s">
        <v>97</v>
      </c>
      <c r="F809" s="37" t="s">
        <v>110</v>
      </c>
      <c r="G809" s="37" t="s">
        <v>90</v>
      </c>
      <c r="H809" s="37" t="n">
        <v>1</v>
      </c>
      <c r="I809" s="43" t="n">
        <v>1299</v>
      </c>
      <c r="J809" s="40" t="n">
        <v>0.1</v>
      </c>
    </row>
    <row r="810" customFormat="false" ht="15" hidden="false" customHeight="false" outlineLevel="0" collapsed="false">
      <c r="A810" s="37" t="s">
        <v>945</v>
      </c>
      <c r="B810" s="42" t="n">
        <v>45984</v>
      </c>
      <c r="C810" s="37" t="s">
        <v>154</v>
      </c>
      <c r="D810" s="37" t="s">
        <v>47</v>
      </c>
      <c r="E810" s="37" t="s">
        <v>96</v>
      </c>
      <c r="F810" s="37" t="s">
        <v>113</v>
      </c>
      <c r="G810" s="37" t="s">
        <v>92</v>
      </c>
      <c r="H810" s="37" t="n">
        <v>3</v>
      </c>
      <c r="I810" s="43" t="n">
        <v>2199</v>
      </c>
      <c r="J810" s="40" t="n">
        <v>0.1</v>
      </c>
    </row>
    <row r="811" customFormat="false" ht="15" hidden="false" customHeight="false" outlineLevel="0" collapsed="false">
      <c r="A811" s="37" t="s">
        <v>946</v>
      </c>
      <c r="B811" s="42" t="n">
        <v>45986</v>
      </c>
      <c r="C811" s="37" t="s">
        <v>146</v>
      </c>
      <c r="D811" s="37" t="s">
        <v>45</v>
      </c>
      <c r="E811" s="37" t="s">
        <v>96</v>
      </c>
      <c r="F811" s="37" t="s">
        <v>115</v>
      </c>
      <c r="G811" s="37" t="s">
        <v>92</v>
      </c>
      <c r="H811" s="37" t="n">
        <v>1</v>
      </c>
      <c r="I811" s="43" t="n">
        <v>1799</v>
      </c>
      <c r="J811" s="40" t="n">
        <v>0.1</v>
      </c>
    </row>
    <row r="812" customFormat="false" ht="15" hidden="false" customHeight="false" outlineLevel="0" collapsed="false">
      <c r="A812" s="37" t="s">
        <v>947</v>
      </c>
      <c r="B812" s="42" t="n">
        <v>45991</v>
      </c>
      <c r="C812" s="37" t="s">
        <v>172</v>
      </c>
      <c r="D812" s="37" t="s">
        <v>46</v>
      </c>
      <c r="E812" s="37" t="s">
        <v>96</v>
      </c>
      <c r="F812" s="37" t="s">
        <v>114</v>
      </c>
      <c r="G812" s="37" t="s">
        <v>92</v>
      </c>
      <c r="H812" s="37" t="n">
        <v>2</v>
      </c>
      <c r="I812" s="43" t="n">
        <v>1199</v>
      </c>
      <c r="J812" s="40" t="n">
        <v>0.25</v>
      </c>
    </row>
    <row r="813" customFormat="false" ht="15" hidden="false" customHeight="false" outlineLevel="0" collapsed="false">
      <c r="A813" s="37" t="s">
        <v>948</v>
      </c>
      <c r="B813" s="42" t="n">
        <v>45981</v>
      </c>
      <c r="C813" s="37" t="s">
        <v>142</v>
      </c>
      <c r="D813" s="37" t="s">
        <v>47</v>
      </c>
      <c r="E813" s="37" t="s">
        <v>96</v>
      </c>
      <c r="F813" s="37" t="s">
        <v>110</v>
      </c>
      <c r="G813" s="37" t="s">
        <v>90</v>
      </c>
      <c r="H813" s="37" t="n">
        <v>4</v>
      </c>
      <c r="I813" s="43" t="n">
        <v>1299</v>
      </c>
      <c r="J813" s="40" t="n">
        <v>0.25</v>
      </c>
    </row>
    <row r="814" customFormat="false" ht="15" hidden="false" customHeight="false" outlineLevel="0" collapsed="false">
      <c r="A814" s="37" t="s">
        <v>949</v>
      </c>
      <c r="B814" s="42" t="n">
        <v>45964</v>
      </c>
      <c r="C814" s="37" t="s">
        <v>154</v>
      </c>
      <c r="D814" s="37" t="s">
        <v>47</v>
      </c>
      <c r="E814" s="37" t="s">
        <v>96</v>
      </c>
      <c r="F814" s="37" t="s">
        <v>111</v>
      </c>
      <c r="G814" s="37" t="s">
        <v>90</v>
      </c>
      <c r="H814" s="37" t="n">
        <v>2</v>
      </c>
      <c r="I814" s="43" t="n">
        <v>2499</v>
      </c>
      <c r="J814" s="40" t="n">
        <v>0.2</v>
      </c>
    </row>
    <row r="815" customFormat="false" ht="15" hidden="false" customHeight="false" outlineLevel="0" collapsed="false">
      <c r="A815" s="37" t="s">
        <v>950</v>
      </c>
      <c r="B815" s="42" t="n">
        <v>45978</v>
      </c>
      <c r="C815" s="37" t="s">
        <v>166</v>
      </c>
      <c r="D815" s="37" t="s">
        <v>44</v>
      </c>
      <c r="E815" s="37" t="s">
        <v>1148</v>
      </c>
      <c r="F815" s="37" t="s">
        <v>123</v>
      </c>
      <c r="G815" s="37" t="s">
        <v>93</v>
      </c>
      <c r="H815" s="37" t="n">
        <v>1</v>
      </c>
      <c r="I815" s="43" t="n">
        <v>1299</v>
      </c>
      <c r="J815" s="40" t="n">
        <v>0.15</v>
      </c>
    </row>
    <row r="816" customFormat="false" ht="15" hidden="false" customHeight="false" outlineLevel="0" collapsed="false">
      <c r="A816" s="37" t="s">
        <v>951</v>
      </c>
      <c r="B816" s="42" t="n">
        <v>45986</v>
      </c>
      <c r="C816" s="37" t="s">
        <v>160</v>
      </c>
      <c r="D816" s="37" t="s">
        <v>46</v>
      </c>
      <c r="E816" s="37" t="s">
        <v>1158</v>
      </c>
      <c r="F816" s="37" t="s">
        <v>113</v>
      </c>
      <c r="G816" s="37" t="s">
        <v>92</v>
      </c>
      <c r="H816" s="37" t="n">
        <v>1</v>
      </c>
      <c r="I816" s="43" t="n">
        <v>2199</v>
      </c>
      <c r="J816" s="40" t="n">
        <v>0.15</v>
      </c>
    </row>
    <row r="817" customFormat="false" ht="15" hidden="false" customHeight="false" outlineLevel="0" collapsed="false">
      <c r="A817" s="37" t="s">
        <v>952</v>
      </c>
      <c r="B817" s="42" t="n">
        <v>45978</v>
      </c>
      <c r="C817" s="37" t="s">
        <v>134</v>
      </c>
      <c r="D817" s="37" t="s">
        <v>45</v>
      </c>
      <c r="E817" s="37" t="s">
        <v>96</v>
      </c>
      <c r="F817" s="37" t="s">
        <v>122</v>
      </c>
      <c r="G817" s="37" t="s">
        <v>93</v>
      </c>
      <c r="H817" s="37" t="n">
        <v>1</v>
      </c>
      <c r="I817" s="43" t="n">
        <v>1799</v>
      </c>
      <c r="J817" s="40" t="n">
        <v>0.05</v>
      </c>
    </row>
    <row r="818" customFormat="false" ht="15" hidden="false" customHeight="false" outlineLevel="0" collapsed="false">
      <c r="A818" s="37" t="s">
        <v>952</v>
      </c>
      <c r="B818" s="42" t="n">
        <v>45978</v>
      </c>
      <c r="C818" s="37" t="s">
        <v>134</v>
      </c>
      <c r="D818" s="37" t="s">
        <v>45</v>
      </c>
      <c r="E818" s="37" t="s">
        <v>96</v>
      </c>
      <c r="F818" s="37" t="s">
        <v>122</v>
      </c>
      <c r="G818" s="37" t="s">
        <v>93</v>
      </c>
      <c r="H818" s="37" t="n">
        <v>1</v>
      </c>
      <c r="I818" s="43" t="n">
        <v>1799</v>
      </c>
      <c r="J818" s="40" t="n">
        <v>0.05</v>
      </c>
    </row>
    <row r="819" customFormat="false" ht="15" hidden="false" customHeight="false" outlineLevel="0" collapsed="false">
      <c r="A819" s="37" t="s">
        <v>953</v>
      </c>
      <c r="B819" s="42" t="n">
        <v>45978</v>
      </c>
      <c r="C819" s="37" t="s">
        <v>142</v>
      </c>
      <c r="D819" s="37" t="s">
        <v>47</v>
      </c>
      <c r="E819" s="37" t="s">
        <v>97</v>
      </c>
      <c r="F819" s="37" t="s">
        <v>120</v>
      </c>
      <c r="G819" s="37" t="s">
        <v>93</v>
      </c>
      <c r="H819" s="37" t="n">
        <v>1</v>
      </c>
      <c r="I819" s="43" t="n">
        <v>449</v>
      </c>
      <c r="J819" s="40" t="n">
        <v>0</v>
      </c>
    </row>
    <row r="820" customFormat="false" ht="15" hidden="false" customHeight="false" outlineLevel="0" collapsed="false">
      <c r="A820" s="37" t="s">
        <v>953</v>
      </c>
      <c r="B820" s="42" t="n">
        <v>45978</v>
      </c>
      <c r="C820" s="37" t="s">
        <v>142</v>
      </c>
      <c r="D820" s="37" t="s">
        <v>47</v>
      </c>
      <c r="E820" s="37" t="s">
        <v>97</v>
      </c>
      <c r="F820" s="37" t="s">
        <v>120</v>
      </c>
      <c r="G820" s="37" t="s">
        <v>93</v>
      </c>
      <c r="H820" s="37" t="n">
        <v>1</v>
      </c>
      <c r="I820" s="43" t="n">
        <v>449</v>
      </c>
      <c r="J820" s="40" t="n">
        <v>0</v>
      </c>
    </row>
    <row r="821" customFormat="false" ht="15" hidden="false" customHeight="false" outlineLevel="0" collapsed="false">
      <c r="A821" s="37" t="s">
        <v>954</v>
      </c>
      <c r="B821" s="42" t="n">
        <v>45975</v>
      </c>
      <c r="C821" s="37" t="s">
        <v>169</v>
      </c>
      <c r="D821" s="37" t="s">
        <v>44</v>
      </c>
      <c r="E821" s="37" t="s">
        <v>97</v>
      </c>
      <c r="F821" s="37" t="s">
        <v>111</v>
      </c>
      <c r="G821" s="37" t="s">
        <v>90</v>
      </c>
      <c r="H821" s="37" t="n">
        <v>1</v>
      </c>
      <c r="I821" s="43" t="n">
        <v>2499</v>
      </c>
      <c r="J821" s="40" t="n">
        <v>0.25</v>
      </c>
    </row>
    <row r="822" customFormat="false" ht="15" hidden="false" customHeight="false" outlineLevel="0" collapsed="false">
      <c r="A822" s="37" t="s">
        <v>955</v>
      </c>
      <c r="B822" s="42" t="n">
        <v>45981</v>
      </c>
      <c r="C822" s="37" t="s">
        <v>169</v>
      </c>
      <c r="D822" s="37" t="s">
        <v>44</v>
      </c>
      <c r="E822" s="37" t="s">
        <v>96</v>
      </c>
      <c r="F822" s="37" t="s">
        <v>109</v>
      </c>
      <c r="G822" s="37" t="s">
        <v>90</v>
      </c>
      <c r="H822" s="37" t="n">
        <v>2</v>
      </c>
      <c r="I822" s="43" t="n">
        <v>3499</v>
      </c>
      <c r="J822" s="40" t="n">
        <v>0.15</v>
      </c>
    </row>
    <row r="823" customFormat="false" ht="15" hidden="false" customHeight="false" outlineLevel="0" collapsed="false">
      <c r="A823" s="37" t="s">
        <v>956</v>
      </c>
      <c r="B823" s="42" t="n">
        <v>45980</v>
      </c>
      <c r="C823" s="37" t="s">
        <v>169</v>
      </c>
      <c r="D823" s="37" t="s">
        <v>44</v>
      </c>
      <c r="E823" s="37" t="s">
        <v>97</v>
      </c>
      <c r="F823" s="37" t="s">
        <v>117</v>
      </c>
      <c r="G823" s="37" t="s">
        <v>91</v>
      </c>
      <c r="H823" s="37" t="n">
        <v>2</v>
      </c>
      <c r="I823" s="43" t="n">
        <v>1499</v>
      </c>
      <c r="J823" s="40" t="n">
        <v>0.1</v>
      </c>
    </row>
    <row r="824" customFormat="false" ht="15" hidden="false" customHeight="false" outlineLevel="0" collapsed="false">
      <c r="A824" s="37" t="s">
        <v>957</v>
      </c>
      <c r="B824" s="42" t="n">
        <v>45967</v>
      </c>
      <c r="C824" s="37" t="s">
        <v>134</v>
      </c>
      <c r="D824" s="37" t="s">
        <v>45</v>
      </c>
      <c r="E824" s="37" t="s">
        <v>96</v>
      </c>
      <c r="F824" s="37" t="s">
        <v>116</v>
      </c>
      <c r="G824" s="37" t="s">
        <v>91</v>
      </c>
      <c r="H824" s="37" t="n">
        <v>2</v>
      </c>
      <c r="I824" s="43" t="n">
        <v>899</v>
      </c>
      <c r="J824" s="40" t="n">
        <v>0.05</v>
      </c>
    </row>
    <row r="825" customFormat="false" ht="15" hidden="false" customHeight="false" outlineLevel="0" collapsed="false">
      <c r="A825" s="37" t="s">
        <v>958</v>
      </c>
      <c r="B825" s="42" t="n">
        <v>45986</v>
      </c>
      <c r="C825" s="37" t="s">
        <v>154</v>
      </c>
      <c r="D825" s="37" t="s">
        <v>47</v>
      </c>
      <c r="E825" s="37" t="s">
        <v>96</v>
      </c>
      <c r="F825" s="37" t="s">
        <v>111</v>
      </c>
      <c r="G825" s="37" t="s">
        <v>90</v>
      </c>
      <c r="H825" s="37" t="n">
        <v>2</v>
      </c>
      <c r="I825" s="43" t="n">
        <v>2499</v>
      </c>
      <c r="J825" s="40" t="n">
        <v>0.3</v>
      </c>
    </row>
    <row r="826" customFormat="false" ht="15" hidden="false" customHeight="false" outlineLevel="0" collapsed="false">
      <c r="A826" s="37" t="s">
        <v>959</v>
      </c>
      <c r="B826" s="42" t="n">
        <v>45986</v>
      </c>
      <c r="C826" s="37" t="s">
        <v>166</v>
      </c>
      <c r="D826" s="37" t="s">
        <v>44</v>
      </c>
      <c r="E826" s="37" t="s">
        <v>96</v>
      </c>
      <c r="F826" s="37" t="s">
        <v>116</v>
      </c>
      <c r="G826" s="37" t="s">
        <v>91</v>
      </c>
      <c r="H826" s="37" t="n">
        <v>1</v>
      </c>
      <c r="I826" s="43" t="n">
        <v>899</v>
      </c>
      <c r="J826" s="40" t="n">
        <v>0.1</v>
      </c>
    </row>
    <row r="827" customFormat="false" ht="15" hidden="false" customHeight="false" outlineLevel="0" collapsed="false">
      <c r="A827" s="37" t="s">
        <v>960</v>
      </c>
      <c r="B827" s="42" t="n">
        <v>45980</v>
      </c>
      <c r="C827" s="37" t="s">
        <v>146</v>
      </c>
      <c r="D827" s="37" t="s">
        <v>45</v>
      </c>
      <c r="E827" s="37" t="s">
        <v>96</v>
      </c>
      <c r="F827" s="37" t="s">
        <v>123</v>
      </c>
      <c r="G827" s="37" t="s">
        <v>93</v>
      </c>
      <c r="H827" s="37" t="n">
        <v>1</v>
      </c>
      <c r="I827" s="43" t="n">
        <v>1299</v>
      </c>
      <c r="J827" s="40" t="n">
        <v>0.3</v>
      </c>
    </row>
    <row r="828" customFormat="false" ht="15" hidden="false" customHeight="false" outlineLevel="0" collapsed="false">
      <c r="A828" s="37" t="s">
        <v>961</v>
      </c>
      <c r="B828" s="42" t="n">
        <v>45971</v>
      </c>
      <c r="C828" s="37" t="s">
        <v>1190</v>
      </c>
      <c r="D828" s="37" t="s">
        <v>47</v>
      </c>
      <c r="E828" s="37" t="s">
        <v>97</v>
      </c>
      <c r="F828" s="37" t="s">
        <v>111</v>
      </c>
      <c r="G828" s="37" t="s">
        <v>90</v>
      </c>
      <c r="H828" s="37" t="n">
        <v>1</v>
      </c>
      <c r="I828" s="43" t="n">
        <v>2499</v>
      </c>
      <c r="J828" s="40" t="n">
        <v>0.05</v>
      </c>
    </row>
    <row r="829" customFormat="false" ht="15" hidden="false" customHeight="false" outlineLevel="0" collapsed="false">
      <c r="A829" s="37" t="s">
        <v>962</v>
      </c>
      <c r="B829" s="42" t="n">
        <v>45990</v>
      </c>
      <c r="C829" s="37" t="s">
        <v>154</v>
      </c>
      <c r="D829" s="37" t="s">
        <v>47</v>
      </c>
      <c r="E829" s="37" t="s">
        <v>97</v>
      </c>
      <c r="F829" s="37" t="s">
        <v>111</v>
      </c>
      <c r="G829" s="37" t="s">
        <v>90</v>
      </c>
      <c r="H829" s="37" t="n">
        <v>2</v>
      </c>
      <c r="I829" s="43" t="n">
        <v>2499</v>
      </c>
      <c r="J829" s="40" t="n">
        <v>0.1</v>
      </c>
    </row>
    <row r="830" customFormat="false" ht="15" hidden="false" customHeight="false" outlineLevel="0" collapsed="false">
      <c r="A830" s="37" t="s">
        <v>963</v>
      </c>
      <c r="B830" s="42" t="n">
        <v>45972</v>
      </c>
      <c r="C830" s="37" t="s">
        <v>142</v>
      </c>
      <c r="D830" s="37" t="s">
        <v>47</v>
      </c>
      <c r="E830" s="37" t="s">
        <v>97</v>
      </c>
      <c r="F830" s="37" t="s">
        <v>109</v>
      </c>
      <c r="G830" s="37" t="s">
        <v>90</v>
      </c>
      <c r="H830" s="37" t="n">
        <v>1</v>
      </c>
      <c r="I830" s="43" t="n">
        <v>3499</v>
      </c>
      <c r="J830" s="40" t="n">
        <v>0.15</v>
      </c>
    </row>
    <row r="831" customFormat="false" ht="15" hidden="false" customHeight="false" outlineLevel="0" collapsed="false">
      <c r="A831" s="37" t="s">
        <v>964</v>
      </c>
      <c r="B831" s="42" t="n">
        <v>45973</v>
      </c>
      <c r="C831" s="37" t="s">
        <v>142</v>
      </c>
      <c r="D831" s="37" t="s">
        <v>47</v>
      </c>
      <c r="E831" s="37" t="s">
        <v>96</v>
      </c>
      <c r="F831" s="37" t="s">
        <v>122</v>
      </c>
      <c r="G831" s="37" t="s">
        <v>93</v>
      </c>
      <c r="H831" s="37" t="n">
        <v>1</v>
      </c>
      <c r="I831" s="43" t="n">
        <v>1799</v>
      </c>
      <c r="J831" s="40" t="n">
        <v>0.1</v>
      </c>
    </row>
    <row r="832" customFormat="false" ht="15" hidden="false" customHeight="false" outlineLevel="0" collapsed="false">
      <c r="A832" s="37" t="s">
        <v>965</v>
      </c>
      <c r="B832" s="42" t="n">
        <v>45967</v>
      </c>
      <c r="C832" s="37" t="s">
        <v>140</v>
      </c>
      <c r="D832" s="37" t="s">
        <v>44</v>
      </c>
      <c r="E832" s="37" t="s">
        <v>96</v>
      </c>
      <c r="F832" s="37" t="s">
        <v>110</v>
      </c>
      <c r="G832" s="37" t="s">
        <v>90</v>
      </c>
      <c r="H832" s="37" t="n">
        <v>2</v>
      </c>
      <c r="I832" s="43" t="n">
        <v>1299</v>
      </c>
      <c r="J832" s="40" t="n">
        <v>0.15</v>
      </c>
    </row>
    <row r="833" customFormat="false" ht="15" hidden="false" customHeight="false" outlineLevel="0" collapsed="false">
      <c r="A833" s="37" t="s">
        <v>966</v>
      </c>
      <c r="B833" s="42" t="n">
        <v>45971</v>
      </c>
      <c r="C833" s="37" t="s">
        <v>144</v>
      </c>
      <c r="D833" s="37" t="s">
        <v>45</v>
      </c>
      <c r="E833" s="37" t="s">
        <v>96</v>
      </c>
      <c r="F833" s="37" t="s">
        <v>112</v>
      </c>
      <c r="G833" s="37" t="s">
        <v>92</v>
      </c>
      <c r="H833" s="37" t="n">
        <v>1</v>
      </c>
      <c r="I833" s="43" t="n">
        <v>3299</v>
      </c>
      <c r="J833" s="40" t="n">
        <v>0.2</v>
      </c>
    </row>
    <row r="834" customFormat="false" ht="15" hidden="false" customHeight="false" outlineLevel="0" collapsed="false">
      <c r="A834" s="37" t="s">
        <v>967</v>
      </c>
      <c r="B834" s="42" t="n">
        <v>45990</v>
      </c>
      <c r="C834" s="37" t="s">
        <v>142</v>
      </c>
      <c r="D834" s="37" t="s">
        <v>47</v>
      </c>
      <c r="E834" s="37" t="s">
        <v>1152</v>
      </c>
      <c r="F834" s="37" t="s">
        <v>108</v>
      </c>
      <c r="G834" s="37" t="s">
        <v>90</v>
      </c>
      <c r="H834" s="37" t="n">
        <v>3</v>
      </c>
      <c r="I834" s="43" t="n">
        <v>1999</v>
      </c>
      <c r="J834" s="40" t="n">
        <v>0.15</v>
      </c>
    </row>
    <row r="835" customFormat="false" ht="15" hidden="false" customHeight="false" outlineLevel="0" collapsed="false">
      <c r="A835" s="37" t="s">
        <v>968</v>
      </c>
      <c r="B835" s="42" t="n">
        <v>45991</v>
      </c>
      <c r="C835" s="37" t="s">
        <v>144</v>
      </c>
      <c r="D835" s="37" t="s">
        <v>45</v>
      </c>
      <c r="E835" s="37" t="s">
        <v>97</v>
      </c>
      <c r="F835" s="37" t="s">
        <v>109</v>
      </c>
      <c r="G835" s="37" t="s">
        <v>90</v>
      </c>
      <c r="H835" s="37" t="n">
        <v>1</v>
      </c>
      <c r="I835" s="43" t="n">
        <v>3499</v>
      </c>
      <c r="J835" s="40" t="n">
        <v>0</v>
      </c>
    </row>
    <row r="836" customFormat="false" ht="15" hidden="false" customHeight="false" outlineLevel="0" collapsed="false">
      <c r="A836" s="37" t="s">
        <v>969</v>
      </c>
      <c r="B836" s="42" t="n">
        <v>45983</v>
      </c>
      <c r="C836" s="37" t="s">
        <v>166</v>
      </c>
      <c r="D836" s="37" t="s">
        <v>44</v>
      </c>
      <c r="E836" s="37" t="s">
        <v>96</v>
      </c>
      <c r="F836" s="37" t="s">
        <v>109</v>
      </c>
      <c r="G836" s="37" t="s">
        <v>90</v>
      </c>
      <c r="H836" s="37" t="n">
        <v>1</v>
      </c>
      <c r="I836" s="43" t="n">
        <v>3499</v>
      </c>
      <c r="J836" s="40" t="n">
        <v>0.2</v>
      </c>
    </row>
    <row r="837" customFormat="false" ht="15" hidden="false" customHeight="false" outlineLevel="0" collapsed="false">
      <c r="A837" s="37" t="s">
        <v>970</v>
      </c>
      <c r="B837" s="42" t="n">
        <v>45967</v>
      </c>
      <c r="C837" s="37" t="s">
        <v>136</v>
      </c>
      <c r="D837" s="37" t="s">
        <v>47</v>
      </c>
      <c r="E837" s="37" t="s">
        <v>97</v>
      </c>
      <c r="F837" s="37" t="s">
        <v>123</v>
      </c>
      <c r="G837" s="37" t="s">
        <v>93</v>
      </c>
      <c r="H837" s="37" t="n">
        <v>1</v>
      </c>
      <c r="I837" s="43" t="n">
        <v>1299</v>
      </c>
      <c r="J837" s="40" t="n">
        <v>0</v>
      </c>
    </row>
    <row r="838" customFormat="false" ht="15" hidden="false" customHeight="false" outlineLevel="0" collapsed="false">
      <c r="A838" s="37" t="s">
        <v>971</v>
      </c>
      <c r="B838" s="42" t="n">
        <v>45964</v>
      </c>
      <c r="C838" s="37" t="s">
        <v>166</v>
      </c>
      <c r="D838" s="37" t="s">
        <v>44</v>
      </c>
      <c r="E838" s="37" t="s">
        <v>96</v>
      </c>
      <c r="F838" s="37" t="s">
        <v>111</v>
      </c>
      <c r="G838" s="37" t="s">
        <v>90</v>
      </c>
      <c r="H838" s="37" t="n">
        <v>1</v>
      </c>
      <c r="I838" s="43" t="n">
        <v>2499</v>
      </c>
      <c r="J838" s="40" t="n">
        <v>0.15</v>
      </c>
    </row>
    <row r="839" customFormat="false" ht="15" hidden="false" customHeight="false" outlineLevel="0" collapsed="false">
      <c r="A839" s="37" t="s">
        <v>972</v>
      </c>
      <c r="B839" s="42" t="n">
        <v>45985</v>
      </c>
      <c r="C839" s="37" t="s">
        <v>154</v>
      </c>
      <c r="D839" s="37" t="s">
        <v>47</v>
      </c>
      <c r="E839" s="37" t="s">
        <v>96</v>
      </c>
      <c r="F839" s="37" t="s">
        <v>120</v>
      </c>
      <c r="G839" s="37" t="s">
        <v>93</v>
      </c>
      <c r="H839" s="37" t="n">
        <v>1</v>
      </c>
      <c r="I839" s="43" t="n">
        <v>449</v>
      </c>
      <c r="J839" s="40" t="n">
        <v>0.3</v>
      </c>
    </row>
    <row r="840" customFormat="false" ht="15" hidden="false" customHeight="false" outlineLevel="0" collapsed="false">
      <c r="A840" s="37" t="s">
        <v>973</v>
      </c>
      <c r="B840" s="42" t="n">
        <v>45989</v>
      </c>
      <c r="C840" s="37" t="s">
        <v>146</v>
      </c>
      <c r="D840" s="37" t="s">
        <v>45</v>
      </c>
      <c r="E840" s="37" t="s">
        <v>1158</v>
      </c>
      <c r="F840" s="37" t="s">
        <v>122</v>
      </c>
      <c r="G840" s="37" t="s">
        <v>93</v>
      </c>
      <c r="H840" s="37" t="n">
        <v>1</v>
      </c>
      <c r="I840" s="43" t="n">
        <v>1799</v>
      </c>
      <c r="J840" s="40" t="n">
        <v>0.1</v>
      </c>
    </row>
    <row r="841" customFormat="false" ht="15" hidden="false" customHeight="false" outlineLevel="0" collapsed="false">
      <c r="A841" s="37" t="s">
        <v>974</v>
      </c>
      <c r="B841" s="42" t="n">
        <v>45986</v>
      </c>
      <c r="C841" s="37" t="s">
        <v>160</v>
      </c>
      <c r="D841" s="37" t="s">
        <v>46</v>
      </c>
      <c r="E841" s="37" t="s">
        <v>96</v>
      </c>
      <c r="F841" s="37" t="s">
        <v>108</v>
      </c>
      <c r="G841" s="37" t="s">
        <v>90</v>
      </c>
      <c r="H841" s="37" t="n">
        <v>1</v>
      </c>
      <c r="I841" s="43" t="n">
        <v>1999</v>
      </c>
      <c r="J841" s="40" t="n">
        <v>0.15</v>
      </c>
    </row>
    <row r="842" customFormat="false" ht="15" hidden="false" customHeight="false" outlineLevel="0" collapsed="false">
      <c r="A842" s="37" t="s">
        <v>975</v>
      </c>
      <c r="B842" s="42" t="n">
        <v>45983</v>
      </c>
      <c r="C842" s="37" t="s">
        <v>140</v>
      </c>
      <c r="D842" s="37" t="s">
        <v>44</v>
      </c>
      <c r="E842" s="37" t="s">
        <v>96</v>
      </c>
      <c r="F842" s="37" t="s">
        <v>121</v>
      </c>
      <c r="G842" s="37" t="s">
        <v>93</v>
      </c>
      <c r="H842" s="37" t="n">
        <v>1</v>
      </c>
      <c r="I842" s="43" t="n">
        <v>999</v>
      </c>
      <c r="J842" s="37" t="s">
        <v>1163</v>
      </c>
    </row>
    <row r="843" customFormat="false" ht="15" hidden="false" customHeight="false" outlineLevel="0" collapsed="false">
      <c r="A843" s="37" t="s">
        <v>976</v>
      </c>
      <c r="B843" s="42" t="n">
        <v>45962</v>
      </c>
      <c r="C843" s="37" t="s">
        <v>146</v>
      </c>
      <c r="D843" s="37" t="s">
        <v>45</v>
      </c>
      <c r="E843" s="37" t="s">
        <v>96</v>
      </c>
      <c r="F843" s="37" t="s">
        <v>117</v>
      </c>
      <c r="G843" s="37" t="s">
        <v>91</v>
      </c>
      <c r="H843" s="37" t="n">
        <v>2</v>
      </c>
      <c r="I843" s="43" t="n">
        <v>1499</v>
      </c>
      <c r="J843" s="40" t="n">
        <v>0.1</v>
      </c>
    </row>
    <row r="844" customFormat="false" ht="15" hidden="false" customHeight="false" outlineLevel="0" collapsed="false">
      <c r="A844" s="37" t="s">
        <v>977</v>
      </c>
      <c r="B844" s="42" t="n">
        <v>45974</v>
      </c>
      <c r="C844" s="37" t="s">
        <v>146</v>
      </c>
      <c r="D844" s="37" t="s">
        <v>45</v>
      </c>
      <c r="E844" s="37" t="s">
        <v>97</v>
      </c>
      <c r="F844" s="37" t="s">
        <v>108</v>
      </c>
      <c r="G844" s="37" t="s">
        <v>90</v>
      </c>
      <c r="H844" s="37" t="n">
        <v>2</v>
      </c>
      <c r="I844" s="43" t="n">
        <v>1999</v>
      </c>
      <c r="J844" s="40" t="n">
        <v>0.05</v>
      </c>
    </row>
    <row r="845" customFormat="false" ht="15" hidden="false" customHeight="false" outlineLevel="0" collapsed="false">
      <c r="A845" s="37" t="s">
        <v>978</v>
      </c>
      <c r="B845" s="42" t="n">
        <v>45965</v>
      </c>
      <c r="C845" s="37" t="s">
        <v>136</v>
      </c>
      <c r="D845" s="37" t="s">
        <v>47</v>
      </c>
      <c r="E845" s="37" t="s">
        <v>96</v>
      </c>
      <c r="F845" s="37" t="s">
        <v>122</v>
      </c>
      <c r="G845" s="37" t="s">
        <v>93</v>
      </c>
      <c r="H845" s="37" t="n">
        <v>2</v>
      </c>
      <c r="I845" s="43" t="n">
        <v>1799</v>
      </c>
      <c r="J845" s="40" t="n">
        <v>0.15</v>
      </c>
    </row>
    <row r="846" customFormat="false" ht="15" hidden="false" customHeight="false" outlineLevel="0" collapsed="false">
      <c r="A846" s="37" t="s">
        <v>979</v>
      </c>
      <c r="B846" s="42" t="n">
        <v>45971</v>
      </c>
      <c r="C846" s="37" t="s">
        <v>136</v>
      </c>
      <c r="D846" s="37" t="s">
        <v>47</v>
      </c>
      <c r="E846" s="37" t="s">
        <v>96</v>
      </c>
      <c r="F846" s="37" t="s">
        <v>111</v>
      </c>
      <c r="G846" s="37" t="s">
        <v>90</v>
      </c>
      <c r="H846" s="37" t="n">
        <v>1</v>
      </c>
      <c r="I846" s="43" t="n">
        <v>2499</v>
      </c>
      <c r="J846" s="40" t="n">
        <v>0.25</v>
      </c>
    </row>
    <row r="847" customFormat="false" ht="15" hidden="false" customHeight="false" outlineLevel="0" collapsed="false">
      <c r="A847" s="37" t="s">
        <v>980</v>
      </c>
      <c r="B847" s="42" t="n">
        <v>45973</v>
      </c>
      <c r="C847" s="37" t="s">
        <v>146</v>
      </c>
      <c r="D847" s="37" t="s">
        <v>45</v>
      </c>
      <c r="E847" s="37" t="s">
        <v>97</v>
      </c>
      <c r="F847" s="37" t="s">
        <v>112</v>
      </c>
      <c r="G847" s="37" t="s">
        <v>92</v>
      </c>
      <c r="H847" s="37" t="n">
        <v>1</v>
      </c>
      <c r="I847" s="43" t="n">
        <v>3299</v>
      </c>
      <c r="J847" s="40" t="n">
        <v>0.05</v>
      </c>
    </row>
    <row r="848" customFormat="false" ht="15" hidden="false" customHeight="false" outlineLevel="0" collapsed="false">
      <c r="A848" s="37" t="s">
        <v>981</v>
      </c>
      <c r="B848" s="42" t="n">
        <v>45977</v>
      </c>
      <c r="C848" s="37" t="s">
        <v>1155</v>
      </c>
      <c r="D848" s="37" t="s">
        <v>45</v>
      </c>
      <c r="E848" s="37" t="s">
        <v>96</v>
      </c>
      <c r="F848" s="37" t="s">
        <v>122</v>
      </c>
      <c r="G848" s="37" t="s">
        <v>93</v>
      </c>
      <c r="H848" s="37" t="n">
        <v>3</v>
      </c>
      <c r="I848" s="43" t="n">
        <v>1799</v>
      </c>
      <c r="J848" s="40" t="n">
        <v>0.2</v>
      </c>
    </row>
    <row r="849" customFormat="false" ht="15" hidden="false" customHeight="false" outlineLevel="0" collapsed="false">
      <c r="A849" s="37" t="s">
        <v>982</v>
      </c>
      <c r="B849" s="42" t="n">
        <v>45962</v>
      </c>
      <c r="C849" s="37" t="s">
        <v>169</v>
      </c>
      <c r="D849" s="37" t="s">
        <v>44</v>
      </c>
      <c r="E849" s="37" t="s">
        <v>96</v>
      </c>
      <c r="F849" s="37" t="s">
        <v>108</v>
      </c>
      <c r="G849" s="37" t="s">
        <v>90</v>
      </c>
      <c r="H849" s="37" t="n">
        <v>1</v>
      </c>
      <c r="I849" s="43" t="n">
        <v>1999</v>
      </c>
      <c r="J849" s="40" t="n">
        <v>0.2</v>
      </c>
    </row>
    <row r="850" customFormat="false" ht="15" hidden="false" customHeight="false" outlineLevel="0" collapsed="false">
      <c r="A850" s="37" t="s">
        <v>983</v>
      </c>
      <c r="B850" s="42" t="n">
        <v>45981</v>
      </c>
      <c r="C850" s="37" t="s">
        <v>169</v>
      </c>
      <c r="D850" s="37" t="s">
        <v>44</v>
      </c>
      <c r="E850" s="37" t="s">
        <v>97</v>
      </c>
      <c r="F850" s="37" t="s">
        <v>111</v>
      </c>
      <c r="G850" s="37" t="s">
        <v>90</v>
      </c>
      <c r="H850" s="37" t="n">
        <v>1</v>
      </c>
      <c r="I850" s="43" t="n">
        <v>2499</v>
      </c>
      <c r="J850" s="40" t="n">
        <v>0.25</v>
      </c>
    </row>
    <row r="851" customFormat="false" ht="15" hidden="false" customHeight="false" outlineLevel="0" collapsed="false">
      <c r="A851" s="37" t="s">
        <v>984</v>
      </c>
      <c r="B851" s="42" t="n">
        <v>45970</v>
      </c>
      <c r="C851" s="37" t="s">
        <v>169</v>
      </c>
      <c r="D851" s="37" t="s">
        <v>44</v>
      </c>
      <c r="E851" s="37" t="s">
        <v>96</v>
      </c>
      <c r="F851" s="37" t="s">
        <v>112</v>
      </c>
      <c r="G851" s="37" t="s">
        <v>92</v>
      </c>
      <c r="H851" s="37" t="n">
        <v>1</v>
      </c>
      <c r="I851" s="43" t="n">
        <v>3299</v>
      </c>
      <c r="J851" s="40" t="n">
        <v>0.1</v>
      </c>
    </row>
    <row r="852" customFormat="false" ht="15" hidden="false" customHeight="false" outlineLevel="0" collapsed="false">
      <c r="A852" s="37" t="s">
        <v>985</v>
      </c>
      <c r="B852" s="42" t="n">
        <v>45979</v>
      </c>
      <c r="C852" s="37" t="s">
        <v>146</v>
      </c>
      <c r="D852" s="37" t="s">
        <v>45</v>
      </c>
      <c r="E852" s="37" t="s">
        <v>97</v>
      </c>
      <c r="F852" s="37" t="s">
        <v>122</v>
      </c>
      <c r="G852" s="37" t="s">
        <v>93</v>
      </c>
      <c r="H852" s="37" t="n">
        <v>1</v>
      </c>
      <c r="I852" s="43" t="n">
        <v>1799</v>
      </c>
      <c r="J852" s="40" t="n">
        <v>0.05</v>
      </c>
    </row>
    <row r="853" customFormat="false" ht="15" hidden="false" customHeight="false" outlineLevel="0" collapsed="false">
      <c r="A853" s="37" t="s">
        <v>986</v>
      </c>
      <c r="B853" s="42" t="n">
        <v>45989</v>
      </c>
      <c r="C853" s="37" t="s">
        <v>140</v>
      </c>
      <c r="D853" s="37" t="s">
        <v>44</v>
      </c>
      <c r="E853" s="37" t="s">
        <v>1153</v>
      </c>
      <c r="F853" s="37" t="s">
        <v>122</v>
      </c>
      <c r="G853" s="37" t="s">
        <v>93</v>
      </c>
      <c r="H853" s="37" t="n">
        <v>1</v>
      </c>
      <c r="I853" s="43" t="n">
        <v>1799</v>
      </c>
      <c r="J853" s="40" t="n">
        <v>0.25</v>
      </c>
    </row>
    <row r="854" customFormat="false" ht="15" hidden="false" customHeight="false" outlineLevel="0" collapsed="false">
      <c r="A854" s="37" t="s">
        <v>987</v>
      </c>
      <c r="B854" s="42" t="n">
        <v>45972</v>
      </c>
      <c r="C854" s="37" t="s">
        <v>136</v>
      </c>
      <c r="D854" s="37" t="s">
        <v>47</v>
      </c>
      <c r="E854" s="37" t="s">
        <v>96</v>
      </c>
      <c r="F854" s="37" t="s">
        <v>110</v>
      </c>
      <c r="G854" s="37" t="s">
        <v>90</v>
      </c>
      <c r="H854" s="37" t="n">
        <v>1</v>
      </c>
      <c r="I854" s="43" t="n">
        <v>1299</v>
      </c>
      <c r="J854" s="40" t="n">
        <v>0.2</v>
      </c>
    </row>
    <row r="855" customFormat="false" ht="15" hidden="false" customHeight="false" outlineLevel="0" collapsed="false">
      <c r="A855" s="37" t="s">
        <v>988</v>
      </c>
      <c r="B855" s="42" t="n">
        <v>45973</v>
      </c>
      <c r="C855" s="37" t="s">
        <v>169</v>
      </c>
      <c r="D855" s="37" t="s">
        <v>44</v>
      </c>
      <c r="E855" s="37" t="s">
        <v>96</v>
      </c>
      <c r="F855" s="37" t="s">
        <v>122</v>
      </c>
      <c r="G855" s="37" t="s">
        <v>93</v>
      </c>
      <c r="H855" s="37" t="n">
        <v>1</v>
      </c>
      <c r="I855" s="43" t="n">
        <v>1799</v>
      </c>
      <c r="J855" s="40" t="n">
        <v>0.1</v>
      </c>
    </row>
    <row r="856" customFormat="false" ht="15" hidden="false" customHeight="false" outlineLevel="0" collapsed="false">
      <c r="A856" s="37" t="s">
        <v>989</v>
      </c>
      <c r="B856" s="42" t="n">
        <v>45970</v>
      </c>
      <c r="C856" s="37" t="s">
        <v>146</v>
      </c>
      <c r="D856" s="37" t="s">
        <v>45</v>
      </c>
      <c r="E856" s="37" t="s">
        <v>97</v>
      </c>
      <c r="F856" s="37" t="s">
        <v>113</v>
      </c>
      <c r="G856" s="37" t="s">
        <v>92</v>
      </c>
      <c r="H856" s="37" t="n">
        <v>1</v>
      </c>
      <c r="I856" s="43" t="n">
        <v>2199</v>
      </c>
      <c r="J856" s="40" t="n">
        <v>0.1</v>
      </c>
    </row>
    <row r="857" customFormat="false" ht="15" hidden="false" customHeight="false" outlineLevel="0" collapsed="false">
      <c r="A857" s="37" t="s">
        <v>990</v>
      </c>
      <c r="B857" s="42" t="n">
        <v>45972</v>
      </c>
      <c r="C857" s="37" t="s">
        <v>134</v>
      </c>
      <c r="D857" s="37" t="s">
        <v>45</v>
      </c>
      <c r="E857" s="37" t="s">
        <v>96</v>
      </c>
      <c r="F857" s="37" t="s">
        <v>109</v>
      </c>
      <c r="G857" s="37" t="s">
        <v>90</v>
      </c>
      <c r="H857" s="37" t="n">
        <v>1</v>
      </c>
      <c r="I857" s="43" t="n">
        <v>3499</v>
      </c>
      <c r="J857" s="40" t="n">
        <v>0.4</v>
      </c>
    </row>
    <row r="858" customFormat="false" ht="15" hidden="false" customHeight="false" outlineLevel="0" collapsed="false">
      <c r="A858" s="37" t="s">
        <v>991</v>
      </c>
      <c r="B858" s="42" t="n">
        <v>45963</v>
      </c>
      <c r="C858" s="37" t="s">
        <v>169</v>
      </c>
      <c r="D858" s="37" t="s">
        <v>44</v>
      </c>
      <c r="E858" s="37" t="s">
        <v>97</v>
      </c>
      <c r="F858" s="37" t="s">
        <v>109</v>
      </c>
      <c r="G858" s="37" t="s">
        <v>90</v>
      </c>
      <c r="H858" s="37" t="n">
        <v>1</v>
      </c>
      <c r="I858" s="43" t="n">
        <v>3499</v>
      </c>
      <c r="J858" s="40" t="n">
        <v>0.25</v>
      </c>
    </row>
    <row r="859" customFormat="false" ht="15" hidden="false" customHeight="false" outlineLevel="0" collapsed="false">
      <c r="A859" s="37" t="s">
        <v>992</v>
      </c>
      <c r="B859" s="42" t="n">
        <v>45969</v>
      </c>
      <c r="C859" s="37" t="s">
        <v>134</v>
      </c>
      <c r="D859" s="37" t="s">
        <v>45</v>
      </c>
      <c r="E859" s="37" t="s">
        <v>96</v>
      </c>
      <c r="F859" s="37" t="s">
        <v>117</v>
      </c>
      <c r="G859" s="37" t="s">
        <v>91</v>
      </c>
      <c r="H859" s="37" t="n">
        <v>3</v>
      </c>
      <c r="I859" s="43" t="n">
        <v>1499</v>
      </c>
      <c r="J859" s="40" t="n">
        <v>0.2</v>
      </c>
    </row>
    <row r="860" customFormat="false" ht="15" hidden="false" customHeight="false" outlineLevel="0" collapsed="false">
      <c r="A860" s="37" t="s">
        <v>993</v>
      </c>
      <c r="B860" s="42" t="n">
        <v>45974</v>
      </c>
      <c r="C860" s="37" t="s">
        <v>166</v>
      </c>
      <c r="D860" s="37" t="s">
        <v>44</v>
      </c>
      <c r="E860" s="37" t="s">
        <v>96</v>
      </c>
      <c r="F860" s="37" t="s">
        <v>117</v>
      </c>
      <c r="G860" s="37" t="s">
        <v>91</v>
      </c>
      <c r="H860" s="37" t="n">
        <v>4</v>
      </c>
      <c r="I860" s="43" t="n">
        <v>1499</v>
      </c>
      <c r="J860" s="40" t="n">
        <v>0.1</v>
      </c>
    </row>
    <row r="861" customFormat="false" ht="15" hidden="false" customHeight="false" outlineLevel="0" collapsed="false">
      <c r="A861" s="37" t="s">
        <v>994</v>
      </c>
      <c r="B861" s="42" t="n">
        <v>45976</v>
      </c>
      <c r="C861" s="37" t="s">
        <v>166</v>
      </c>
      <c r="D861" s="37" t="s">
        <v>44</v>
      </c>
      <c r="E861" s="37" t="s">
        <v>96</v>
      </c>
      <c r="F861" s="37" t="s">
        <v>111</v>
      </c>
      <c r="G861" s="37" t="s">
        <v>90</v>
      </c>
      <c r="H861" s="37" t="n">
        <v>1</v>
      </c>
      <c r="I861" s="43" t="n">
        <v>2499</v>
      </c>
      <c r="J861" s="40" t="n">
        <v>0.3</v>
      </c>
    </row>
    <row r="862" customFormat="false" ht="15" hidden="false" customHeight="false" outlineLevel="0" collapsed="false">
      <c r="A862" s="37" t="s">
        <v>995</v>
      </c>
      <c r="B862" s="42" t="n">
        <v>45970</v>
      </c>
      <c r="C862" s="37" t="s">
        <v>146</v>
      </c>
      <c r="D862" s="37" t="s">
        <v>45</v>
      </c>
      <c r="E862" s="37" t="s">
        <v>96</v>
      </c>
      <c r="F862" s="37" t="s">
        <v>111</v>
      </c>
      <c r="G862" s="37" t="s">
        <v>90</v>
      </c>
      <c r="H862" s="37" t="n">
        <v>1</v>
      </c>
      <c r="I862" s="43" t="n">
        <v>2499</v>
      </c>
      <c r="J862" s="40" t="n">
        <v>0.25</v>
      </c>
    </row>
    <row r="863" customFormat="false" ht="15" hidden="false" customHeight="false" outlineLevel="0" collapsed="false">
      <c r="A863" s="37" t="s">
        <v>996</v>
      </c>
      <c r="B863" s="42" t="n">
        <v>45967</v>
      </c>
      <c r="C863" s="37" t="s">
        <v>142</v>
      </c>
      <c r="D863" s="37" t="s">
        <v>47</v>
      </c>
      <c r="E863" s="37" t="s">
        <v>96</v>
      </c>
      <c r="F863" s="37" t="s">
        <v>117</v>
      </c>
      <c r="G863" s="37" t="s">
        <v>91</v>
      </c>
      <c r="H863" s="37" t="n">
        <v>2</v>
      </c>
      <c r="I863" s="43" t="n">
        <v>1499</v>
      </c>
      <c r="J863" s="40" t="n">
        <v>0.15</v>
      </c>
    </row>
    <row r="864" customFormat="false" ht="15" hidden="false" customHeight="false" outlineLevel="0" collapsed="false">
      <c r="A864" s="37" t="s">
        <v>997</v>
      </c>
      <c r="B864" s="42" t="n">
        <v>45962</v>
      </c>
      <c r="C864" s="37" t="s">
        <v>154</v>
      </c>
      <c r="D864" s="37" t="s">
        <v>47</v>
      </c>
      <c r="E864" s="37" t="s">
        <v>96</v>
      </c>
      <c r="F864" s="37" t="s">
        <v>115</v>
      </c>
      <c r="G864" s="37" t="s">
        <v>92</v>
      </c>
      <c r="H864" s="37" t="n">
        <v>1</v>
      </c>
      <c r="I864" s="43" t="n">
        <v>1799</v>
      </c>
      <c r="J864" s="40" t="n">
        <v>0.25</v>
      </c>
    </row>
    <row r="865" customFormat="false" ht="15" hidden="false" customHeight="false" outlineLevel="0" collapsed="false">
      <c r="A865" s="37" t="s">
        <v>998</v>
      </c>
      <c r="B865" s="42" t="n">
        <v>45975</v>
      </c>
      <c r="C865" s="37" t="s">
        <v>1191</v>
      </c>
      <c r="D865" s="37" t="s">
        <v>46</v>
      </c>
      <c r="E865" s="37" t="s">
        <v>96</v>
      </c>
      <c r="F865" s="37" t="s">
        <v>120</v>
      </c>
      <c r="G865" s="37" t="s">
        <v>93</v>
      </c>
      <c r="H865" s="37" t="n">
        <v>2</v>
      </c>
      <c r="I865" s="43" t="n">
        <v>449</v>
      </c>
      <c r="J865" s="40" t="n">
        <v>0.25</v>
      </c>
    </row>
    <row r="866" customFormat="false" ht="15" hidden="false" customHeight="false" outlineLevel="0" collapsed="false">
      <c r="A866" s="37" t="s">
        <v>999</v>
      </c>
      <c r="B866" s="42" t="n">
        <v>45963</v>
      </c>
      <c r="C866" s="37" t="s">
        <v>166</v>
      </c>
      <c r="D866" s="37" t="s">
        <v>44</v>
      </c>
      <c r="E866" s="37" t="s">
        <v>97</v>
      </c>
      <c r="F866" s="37" t="s">
        <v>109</v>
      </c>
      <c r="G866" s="37" t="s">
        <v>90</v>
      </c>
      <c r="H866" s="37" t="n">
        <v>1</v>
      </c>
      <c r="I866" s="43" t="n">
        <v>3499</v>
      </c>
      <c r="J866" s="40" t="n">
        <v>0.1</v>
      </c>
    </row>
    <row r="867" customFormat="false" ht="15" hidden="false" customHeight="false" outlineLevel="0" collapsed="false">
      <c r="A867" s="37" t="s">
        <v>1000</v>
      </c>
      <c r="B867" s="42" t="n">
        <v>45978</v>
      </c>
      <c r="C867" s="37" t="s">
        <v>140</v>
      </c>
      <c r="D867" s="37" t="s">
        <v>44</v>
      </c>
      <c r="E867" s="37" t="s">
        <v>97</v>
      </c>
      <c r="F867" s="37" t="s">
        <v>122</v>
      </c>
      <c r="G867" s="37" t="s">
        <v>93</v>
      </c>
      <c r="H867" s="37" t="n">
        <v>1</v>
      </c>
      <c r="I867" s="43" t="n">
        <v>1799</v>
      </c>
      <c r="J867" s="40" t="n">
        <v>0.05</v>
      </c>
    </row>
    <row r="868" customFormat="false" ht="15" hidden="false" customHeight="false" outlineLevel="0" collapsed="false">
      <c r="A868" s="37" t="s">
        <v>1001</v>
      </c>
      <c r="B868" s="42" t="n">
        <v>45988</v>
      </c>
      <c r="C868" s="37" t="s">
        <v>136</v>
      </c>
      <c r="D868" s="37" t="s">
        <v>47</v>
      </c>
      <c r="E868" s="37" t="s">
        <v>97</v>
      </c>
      <c r="F868" s="37" t="s">
        <v>120</v>
      </c>
      <c r="G868" s="37" t="s">
        <v>93</v>
      </c>
      <c r="H868" s="37" t="n">
        <v>1</v>
      </c>
      <c r="I868" s="43" t="n">
        <v>449</v>
      </c>
      <c r="J868" s="40" t="n">
        <v>0.2</v>
      </c>
    </row>
    <row r="869" customFormat="false" ht="15" hidden="false" customHeight="false" outlineLevel="0" collapsed="false">
      <c r="A869" s="37" t="s">
        <v>1002</v>
      </c>
      <c r="B869" s="42" t="n">
        <v>45982</v>
      </c>
      <c r="C869" s="37" t="s">
        <v>146</v>
      </c>
      <c r="D869" s="37" t="s">
        <v>45</v>
      </c>
      <c r="E869" s="37" t="s">
        <v>97</v>
      </c>
      <c r="F869" s="37" t="s">
        <v>117</v>
      </c>
      <c r="G869" s="37" t="s">
        <v>91</v>
      </c>
      <c r="H869" s="37" t="n">
        <v>3</v>
      </c>
      <c r="I869" s="43" t="n">
        <v>1499</v>
      </c>
      <c r="J869" s="40" t="n">
        <v>0.15</v>
      </c>
    </row>
    <row r="870" customFormat="false" ht="15" hidden="false" customHeight="false" outlineLevel="0" collapsed="false">
      <c r="A870" s="37" t="s">
        <v>1003</v>
      </c>
      <c r="B870" s="42" t="n">
        <v>45987</v>
      </c>
      <c r="C870" s="37" t="s">
        <v>134</v>
      </c>
      <c r="D870" s="37" t="s">
        <v>45</v>
      </c>
      <c r="E870" s="37" t="s">
        <v>96</v>
      </c>
      <c r="F870" s="37" t="s">
        <v>120</v>
      </c>
      <c r="G870" s="37" t="s">
        <v>93</v>
      </c>
      <c r="H870" s="37" t="n">
        <v>1</v>
      </c>
      <c r="I870" s="43" t="n">
        <v>449</v>
      </c>
      <c r="J870" s="40" t="n">
        <v>0.15</v>
      </c>
    </row>
    <row r="871" customFormat="false" ht="15" hidden="false" customHeight="false" outlineLevel="0" collapsed="false">
      <c r="A871" s="37" t="s">
        <v>1004</v>
      </c>
      <c r="B871" s="42" t="n">
        <v>45963</v>
      </c>
      <c r="C871" s="37" t="s">
        <v>1155</v>
      </c>
      <c r="D871" s="37" t="s">
        <v>45</v>
      </c>
      <c r="E871" s="37" t="s">
        <v>97</v>
      </c>
      <c r="F871" s="37" t="s">
        <v>115</v>
      </c>
      <c r="G871" s="37" t="s">
        <v>92</v>
      </c>
      <c r="H871" s="37" t="n">
        <v>2</v>
      </c>
      <c r="I871" s="43" t="n">
        <v>1799</v>
      </c>
      <c r="J871" s="40" t="n">
        <v>0.1</v>
      </c>
    </row>
    <row r="872" customFormat="false" ht="15" hidden="false" customHeight="false" outlineLevel="0" collapsed="false">
      <c r="A872" s="37" t="s">
        <v>1005</v>
      </c>
      <c r="B872" s="42" t="n">
        <v>45969</v>
      </c>
      <c r="C872" s="37" t="s">
        <v>142</v>
      </c>
      <c r="D872" s="37" t="s">
        <v>47</v>
      </c>
      <c r="E872" s="37" t="s">
        <v>97</v>
      </c>
      <c r="F872" s="37" t="s">
        <v>110</v>
      </c>
      <c r="G872" s="37" t="s">
        <v>90</v>
      </c>
      <c r="H872" s="37" t="n">
        <v>2</v>
      </c>
      <c r="I872" s="43" t="n">
        <v>1299</v>
      </c>
      <c r="J872" s="40" t="n">
        <v>0.25</v>
      </c>
    </row>
    <row r="873" customFormat="false" ht="15" hidden="false" customHeight="false" outlineLevel="0" collapsed="false">
      <c r="A873" s="37" t="s">
        <v>1006</v>
      </c>
      <c r="B873" s="37" t="s">
        <v>1192</v>
      </c>
      <c r="C873" s="37" t="s">
        <v>136</v>
      </c>
      <c r="D873" s="37" t="s">
        <v>47</v>
      </c>
      <c r="E873" s="37" t="s">
        <v>97</v>
      </c>
      <c r="F873" s="37" t="s">
        <v>111</v>
      </c>
      <c r="G873" s="37" t="s">
        <v>90</v>
      </c>
      <c r="H873" s="37" t="n">
        <v>1</v>
      </c>
      <c r="I873" s="43" t="n">
        <v>2499</v>
      </c>
      <c r="J873" s="40" t="n">
        <v>0.1</v>
      </c>
    </row>
    <row r="874" customFormat="false" ht="15" hidden="false" customHeight="false" outlineLevel="0" collapsed="false">
      <c r="A874" s="37" t="s">
        <v>1007</v>
      </c>
      <c r="B874" s="42" t="n">
        <v>45980</v>
      </c>
      <c r="C874" s="37" t="s">
        <v>138</v>
      </c>
      <c r="D874" s="37" t="s">
        <v>46</v>
      </c>
      <c r="E874" s="37" t="s">
        <v>97</v>
      </c>
      <c r="F874" s="37" t="s">
        <v>118</v>
      </c>
      <c r="G874" s="37" t="s">
        <v>91</v>
      </c>
      <c r="H874" s="37" t="n">
        <v>1</v>
      </c>
      <c r="I874" s="43" t="n">
        <v>2299</v>
      </c>
      <c r="J874" s="40" t="n">
        <v>0.1</v>
      </c>
    </row>
    <row r="875" customFormat="false" ht="15" hidden="false" customHeight="false" outlineLevel="0" collapsed="false">
      <c r="A875" s="37" t="s">
        <v>1008</v>
      </c>
      <c r="B875" s="42" t="n">
        <v>45985</v>
      </c>
      <c r="C875" s="37" t="s">
        <v>160</v>
      </c>
      <c r="D875" s="37" t="s">
        <v>46</v>
      </c>
      <c r="E875" s="37" t="s">
        <v>97</v>
      </c>
      <c r="F875" s="37" t="s">
        <v>113</v>
      </c>
      <c r="G875" s="37" t="s">
        <v>92</v>
      </c>
      <c r="H875" s="37" t="n">
        <v>1</v>
      </c>
      <c r="I875" s="43" t="n">
        <v>2199</v>
      </c>
      <c r="J875" s="40" t="n">
        <v>0.1</v>
      </c>
    </row>
    <row r="876" customFormat="false" ht="15" hidden="false" customHeight="false" outlineLevel="0" collapsed="false">
      <c r="A876" s="37" t="s">
        <v>1009</v>
      </c>
      <c r="B876" s="42" t="n">
        <v>45976</v>
      </c>
      <c r="C876" s="37" t="s">
        <v>138</v>
      </c>
      <c r="D876" s="37" t="s">
        <v>46</v>
      </c>
      <c r="E876" s="37" t="s">
        <v>97</v>
      </c>
      <c r="F876" s="37" t="s">
        <v>109</v>
      </c>
      <c r="G876" s="37" t="s">
        <v>90</v>
      </c>
      <c r="H876" s="37" t="n">
        <v>1</v>
      </c>
      <c r="I876" s="43" t="n">
        <v>3499</v>
      </c>
      <c r="J876" s="40" t="n">
        <v>0</v>
      </c>
    </row>
    <row r="877" customFormat="false" ht="15" hidden="false" customHeight="false" outlineLevel="0" collapsed="false">
      <c r="A877" s="37" t="s">
        <v>1010</v>
      </c>
      <c r="B877" s="42" t="n">
        <v>45985</v>
      </c>
      <c r="C877" s="37" t="s">
        <v>154</v>
      </c>
      <c r="D877" s="37" t="s">
        <v>47</v>
      </c>
      <c r="E877" s="37" t="s">
        <v>96</v>
      </c>
      <c r="F877" s="37" t="s">
        <v>109</v>
      </c>
      <c r="G877" s="37" t="s">
        <v>90</v>
      </c>
      <c r="H877" s="37" t="n">
        <v>2</v>
      </c>
      <c r="I877" s="43" t="n">
        <v>3499</v>
      </c>
      <c r="J877" s="40" t="n">
        <v>0.25</v>
      </c>
    </row>
    <row r="878" customFormat="false" ht="15" hidden="false" customHeight="false" outlineLevel="0" collapsed="false">
      <c r="A878" s="37" t="s">
        <v>1011</v>
      </c>
      <c r="B878" s="42" t="n">
        <v>45982</v>
      </c>
      <c r="C878" s="37" t="s">
        <v>138</v>
      </c>
      <c r="D878" s="37" t="s">
        <v>46</v>
      </c>
      <c r="E878" s="37" t="s">
        <v>96</v>
      </c>
      <c r="F878" s="37" t="s">
        <v>113</v>
      </c>
      <c r="G878" s="37" t="s">
        <v>92</v>
      </c>
      <c r="H878" s="37" t="n">
        <v>1</v>
      </c>
      <c r="I878" s="43" t="n">
        <v>2199</v>
      </c>
      <c r="J878" s="40" t="n">
        <v>0.05</v>
      </c>
    </row>
    <row r="879" customFormat="false" ht="15" hidden="false" customHeight="false" outlineLevel="0" collapsed="false">
      <c r="A879" s="37" t="s">
        <v>1012</v>
      </c>
      <c r="B879" s="42" t="n">
        <v>45968</v>
      </c>
      <c r="C879" s="37" t="s">
        <v>166</v>
      </c>
      <c r="D879" s="37" t="s">
        <v>44</v>
      </c>
      <c r="E879" s="37" t="s">
        <v>97</v>
      </c>
      <c r="F879" s="37" t="s">
        <v>118</v>
      </c>
      <c r="G879" s="37" t="s">
        <v>91</v>
      </c>
      <c r="H879" s="37" t="n">
        <v>1</v>
      </c>
      <c r="I879" s="43" t="n">
        <v>2299</v>
      </c>
      <c r="J879" s="40" t="n">
        <v>0.1</v>
      </c>
    </row>
    <row r="880" customFormat="false" ht="15" hidden="false" customHeight="false" outlineLevel="0" collapsed="false">
      <c r="A880" s="37" t="s">
        <v>1013</v>
      </c>
      <c r="B880" s="42" t="n">
        <v>45973</v>
      </c>
      <c r="C880" s="37" t="s">
        <v>134</v>
      </c>
      <c r="D880" s="37" t="s">
        <v>45</v>
      </c>
      <c r="E880" s="37" t="s">
        <v>96</v>
      </c>
      <c r="F880" s="37" t="s">
        <v>108</v>
      </c>
      <c r="G880" s="37" t="s">
        <v>90</v>
      </c>
      <c r="H880" s="37" t="n">
        <v>1</v>
      </c>
      <c r="I880" s="43" t="n">
        <v>1999</v>
      </c>
      <c r="J880" s="40" t="n">
        <v>0.3</v>
      </c>
    </row>
    <row r="881" customFormat="false" ht="15" hidden="false" customHeight="false" outlineLevel="0" collapsed="false">
      <c r="A881" s="37" t="s">
        <v>1014</v>
      </c>
      <c r="B881" s="42" t="n">
        <v>45984</v>
      </c>
      <c r="C881" s="37" t="s">
        <v>146</v>
      </c>
      <c r="D881" s="37" t="s">
        <v>45</v>
      </c>
      <c r="E881" s="37" t="s">
        <v>97</v>
      </c>
      <c r="F881" s="37" t="s">
        <v>112</v>
      </c>
      <c r="G881" s="37" t="s">
        <v>92</v>
      </c>
      <c r="H881" s="37" t="n">
        <v>2</v>
      </c>
      <c r="I881" s="43" t="n">
        <v>3299</v>
      </c>
      <c r="J881" s="40" t="n">
        <v>0.2</v>
      </c>
    </row>
    <row r="882" customFormat="false" ht="15" hidden="false" customHeight="false" outlineLevel="0" collapsed="false">
      <c r="A882" s="37" t="s">
        <v>1015</v>
      </c>
      <c r="B882" s="42" t="n">
        <v>45963</v>
      </c>
      <c r="C882" s="37" t="s">
        <v>136</v>
      </c>
      <c r="D882" s="37" t="s">
        <v>47</v>
      </c>
      <c r="E882" s="37" t="s">
        <v>97</v>
      </c>
      <c r="F882" s="37" t="s">
        <v>116</v>
      </c>
      <c r="G882" s="37" t="s">
        <v>91</v>
      </c>
      <c r="H882" s="37" t="n">
        <v>1</v>
      </c>
      <c r="I882" s="43" t="n">
        <v>899</v>
      </c>
      <c r="J882" s="40" t="n">
        <v>0</v>
      </c>
    </row>
    <row r="883" customFormat="false" ht="15" hidden="false" customHeight="false" outlineLevel="0" collapsed="false">
      <c r="A883" s="37" t="s">
        <v>1016</v>
      </c>
      <c r="B883" s="42" t="n">
        <v>45983</v>
      </c>
      <c r="C883" s="37" t="s">
        <v>138</v>
      </c>
      <c r="D883" s="37" t="s">
        <v>46</v>
      </c>
      <c r="E883" s="37" t="s">
        <v>96</v>
      </c>
      <c r="F883" s="37" t="s">
        <v>117</v>
      </c>
      <c r="G883" s="37"/>
      <c r="H883" s="37" t="n">
        <v>3</v>
      </c>
      <c r="I883" s="43" t="n">
        <v>1499</v>
      </c>
      <c r="J883" s="40" t="n">
        <v>0</v>
      </c>
    </row>
    <row r="884" customFormat="false" ht="15" hidden="false" customHeight="false" outlineLevel="0" collapsed="false">
      <c r="A884" s="37" t="s">
        <v>1017</v>
      </c>
      <c r="B884" s="42" t="n">
        <v>45970</v>
      </c>
      <c r="C884" s="37" t="s">
        <v>172</v>
      </c>
      <c r="D884" s="37" t="s">
        <v>46</v>
      </c>
      <c r="E884" s="37" t="s">
        <v>96</v>
      </c>
      <c r="F884" s="37" t="s">
        <v>122</v>
      </c>
      <c r="G884" s="37" t="s">
        <v>93</v>
      </c>
      <c r="H884" s="37" t="n">
        <v>1</v>
      </c>
      <c r="I884" s="43" t="n">
        <v>1799</v>
      </c>
      <c r="J884" s="40" t="n">
        <v>0.1</v>
      </c>
    </row>
    <row r="885" customFormat="false" ht="15" hidden="false" customHeight="false" outlineLevel="0" collapsed="false">
      <c r="A885" s="37" t="s">
        <v>1018</v>
      </c>
      <c r="B885" s="42" t="n">
        <v>45978</v>
      </c>
      <c r="C885" s="37" t="s">
        <v>172</v>
      </c>
      <c r="D885" s="37" t="s">
        <v>46</v>
      </c>
      <c r="E885" s="37" t="s">
        <v>1158</v>
      </c>
      <c r="F885" s="37" t="s">
        <v>119</v>
      </c>
      <c r="G885" s="37" t="s">
        <v>91</v>
      </c>
      <c r="H885" s="37" t="n">
        <v>1</v>
      </c>
      <c r="I885" s="43" t="n">
        <v>1099</v>
      </c>
      <c r="J885" s="40" t="n">
        <v>0.15</v>
      </c>
    </row>
    <row r="886" customFormat="false" ht="15" hidden="false" customHeight="false" outlineLevel="0" collapsed="false">
      <c r="A886" s="37" t="s">
        <v>1019</v>
      </c>
      <c r="B886" s="42" t="n">
        <v>45990</v>
      </c>
      <c r="C886" s="37" t="s">
        <v>144</v>
      </c>
      <c r="D886" s="37" t="s">
        <v>45</v>
      </c>
      <c r="E886" s="37" t="s">
        <v>97</v>
      </c>
      <c r="F886" s="37" t="s">
        <v>112</v>
      </c>
      <c r="G886" s="37" t="s">
        <v>92</v>
      </c>
      <c r="H886" s="37" t="n">
        <v>5</v>
      </c>
      <c r="I886" s="43" t="n">
        <v>3299</v>
      </c>
      <c r="J886" s="40" t="n">
        <v>0</v>
      </c>
    </row>
    <row r="887" customFormat="false" ht="15" hidden="false" customHeight="false" outlineLevel="0" collapsed="false">
      <c r="A887" s="37" t="s">
        <v>1020</v>
      </c>
      <c r="B887" s="42" t="n">
        <v>45986</v>
      </c>
      <c r="C887" s="37" t="s">
        <v>146</v>
      </c>
      <c r="D887" s="37" t="s">
        <v>45</v>
      </c>
      <c r="E887" s="37" t="s">
        <v>96</v>
      </c>
      <c r="F887" s="37" t="s">
        <v>116</v>
      </c>
      <c r="G887" s="37" t="s">
        <v>91</v>
      </c>
      <c r="H887" s="37" t="n">
        <v>1</v>
      </c>
      <c r="I887" s="43" t="n">
        <v>899</v>
      </c>
      <c r="J887" s="40" t="n">
        <v>0.25</v>
      </c>
    </row>
    <row r="888" customFormat="false" ht="15" hidden="false" customHeight="false" outlineLevel="0" collapsed="false">
      <c r="A888" s="37" t="s">
        <v>1021</v>
      </c>
      <c r="B888" s="42" t="n">
        <v>45968</v>
      </c>
      <c r="C888" s="37" t="s">
        <v>1155</v>
      </c>
      <c r="D888" s="37" t="s">
        <v>45</v>
      </c>
      <c r="E888" s="37" t="s">
        <v>96</v>
      </c>
      <c r="F888" s="37" t="s">
        <v>108</v>
      </c>
      <c r="G888" s="37" t="s">
        <v>90</v>
      </c>
      <c r="H888" s="37" t="n">
        <v>1</v>
      </c>
      <c r="I888" s="43" t="n">
        <v>1999</v>
      </c>
      <c r="J888" s="40" t="n">
        <v>0.3</v>
      </c>
    </row>
    <row r="889" customFormat="false" ht="15" hidden="false" customHeight="false" outlineLevel="0" collapsed="false">
      <c r="A889" s="37" t="s">
        <v>1022</v>
      </c>
      <c r="B889" s="42" t="n">
        <v>45967</v>
      </c>
      <c r="C889" s="37" t="s">
        <v>142</v>
      </c>
      <c r="D889" s="37" t="s">
        <v>47</v>
      </c>
      <c r="E889" s="37" t="s">
        <v>97</v>
      </c>
      <c r="F889" s="37" t="s">
        <v>108</v>
      </c>
      <c r="G889" s="37" t="s">
        <v>90</v>
      </c>
      <c r="H889" s="37" t="n">
        <v>3</v>
      </c>
      <c r="I889" s="43" t="n">
        <v>1999</v>
      </c>
      <c r="J889" s="40" t="n">
        <v>0</v>
      </c>
    </row>
    <row r="890" customFormat="false" ht="15" hidden="false" customHeight="false" outlineLevel="0" collapsed="false">
      <c r="A890" s="37" t="s">
        <v>1023</v>
      </c>
      <c r="B890" s="42" t="n">
        <v>45977</v>
      </c>
      <c r="C890" s="37" t="s">
        <v>160</v>
      </c>
      <c r="D890" s="37" t="s">
        <v>46</v>
      </c>
      <c r="E890" s="37" t="s">
        <v>97</v>
      </c>
      <c r="F890" s="37" t="s">
        <v>114</v>
      </c>
      <c r="G890" s="37" t="s">
        <v>92</v>
      </c>
      <c r="H890" s="37" t="n">
        <v>1</v>
      </c>
      <c r="I890" s="43" t="n">
        <v>1199</v>
      </c>
      <c r="J890" s="40" t="n">
        <v>0.25</v>
      </c>
    </row>
    <row r="891" customFormat="false" ht="15" hidden="false" customHeight="false" outlineLevel="0" collapsed="false">
      <c r="A891" s="37" t="s">
        <v>1024</v>
      </c>
      <c r="B891" s="42" t="n">
        <v>45985</v>
      </c>
      <c r="C891" s="37" t="s">
        <v>160</v>
      </c>
      <c r="D891" s="37" t="s">
        <v>46</v>
      </c>
      <c r="E891" s="37" t="s">
        <v>96</v>
      </c>
      <c r="F891" s="37" t="s">
        <v>111</v>
      </c>
      <c r="G891" s="37" t="s">
        <v>90</v>
      </c>
      <c r="H891" s="37" t="n">
        <v>4</v>
      </c>
      <c r="I891" s="43" t="n">
        <v>2499</v>
      </c>
      <c r="J891" s="40" t="n">
        <v>0.25</v>
      </c>
    </row>
    <row r="892" customFormat="false" ht="15" hidden="false" customHeight="false" outlineLevel="0" collapsed="false">
      <c r="A892" s="37" t="s">
        <v>1025</v>
      </c>
      <c r="B892" s="42" t="n">
        <v>45969</v>
      </c>
      <c r="C892" s="37" t="s">
        <v>146</v>
      </c>
      <c r="D892" s="37" t="s">
        <v>45</v>
      </c>
      <c r="E892" s="37" t="s">
        <v>96</v>
      </c>
      <c r="F892" s="37" t="s">
        <v>113</v>
      </c>
      <c r="G892" s="37" t="s">
        <v>92</v>
      </c>
      <c r="H892" s="37" t="n">
        <v>1</v>
      </c>
      <c r="I892" s="43" t="n">
        <v>2199</v>
      </c>
      <c r="J892" s="40" t="n">
        <v>0.15</v>
      </c>
    </row>
    <row r="893" customFormat="false" ht="15" hidden="false" customHeight="false" outlineLevel="0" collapsed="false">
      <c r="A893" s="37" t="s">
        <v>1026</v>
      </c>
      <c r="B893" s="42" t="n">
        <v>45985</v>
      </c>
      <c r="C893" s="37" t="s">
        <v>134</v>
      </c>
      <c r="D893" s="37" t="s">
        <v>45</v>
      </c>
      <c r="E893" s="37" t="s">
        <v>97</v>
      </c>
      <c r="F893" s="37" t="s">
        <v>119</v>
      </c>
      <c r="G893" s="37" t="s">
        <v>91</v>
      </c>
      <c r="H893" s="37" t="n">
        <v>2</v>
      </c>
      <c r="I893" s="43" t="n">
        <v>1099</v>
      </c>
      <c r="J893" s="40" t="n">
        <v>0.1</v>
      </c>
    </row>
    <row r="894" customFormat="false" ht="15" hidden="false" customHeight="false" outlineLevel="0" collapsed="false">
      <c r="A894" s="37" t="s">
        <v>1027</v>
      </c>
      <c r="B894" s="42" t="n">
        <v>45984</v>
      </c>
      <c r="C894" s="37"/>
      <c r="D894" s="37" t="s">
        <v>45</v>
      </c>
      <c r="E894" s="37" t="s">
        <v>96</v>
      </c>
      <c r="F894" s="37" t="s">
        <v>118</v>
      </c>
      <c r="G894" s="37" t="s">
        <v>91</v>
      </c>
      <c r="H894" s="37" t="n">
        <v>1</v>
      </c>
      <c r="I894" s="43" t="n">
        <v>2299</v>
      </c>
      <c r="J894" s="40" t="n">
        <v>0.1</v>
      </c>
    </row>
    <row r="895" customFormat="false" ht="15" hidden="false" customHeight="false" outlineLevel="0" collapsed="false">
      <c r="A895" s="37" t="s">
        <v>1028</v>
      </c>
      <c r="B895" s="42" t="n">
        <v>45977</v>
      </c>
      <c r="C895" s="37" t="s">
        <v>160</v>
      </c>
      <c r="D895" s="37" t="s">
        <v>46</v>
      </c>
      <c r="E895" s="37" t="s">
        <v>97</v>
      </c>
      <c r="F895" s="37" t="s">
        <v>108</v>
      </c>
      <c r="G895" s="37" t="s">
        <v>90</v>
      </c>
      <c r="H895" s="37" t="n">
        <v>1</v>
      </c>
      <c r="I895" s="43" t="n">
        <v>1999</v>
      </c>
      <c r="J895" s="40" t="n">
        <v>0.05</v>
      </c>
    </row>
    <row r="896" customFormat="false" ht="15" hidden="false" customHeight="false" outlineLevel="0" collapsed="false">
      <c r="A896" s="37" t="s">
        <v>1029</v>
      </c>
      <c r="B896" s="42" t="n">
        <v>45981</v>
      </c>
      <c r="C896" s="37" t="s">
        <v>146</v>
      </c>
      <c r="D896" s="37" t="s">
        <v>45</v>
      </c>
      <c r="E896" s="37" t="s">
        <v>96</v>
      </c>
      <c r="F896" s="37" t="s">
        <v>119</v>
      </c>
      <c r="G896" s="37" t="s">
        <v>91</v>
      </c>
      <c r="H896" s="37" t="n">
        <v>2</v>
      </c>
      <c r="I896" s="43" t="n">
        <v>1099</v>
      </c>
      <c r="J896" s="40" t="n">
        <v>0.1</v>
      </c>
    </row>
    <row r="897" customFormat="false" ht="15" hidden="false" customHeight="false" outlineLevel="0" collapsed="false">
      <c r="A897" s="37" t="s">
        <v>1030</v>
      </c>
      <c r="B897" s="42" t="n">
        <v>45987</v>
      </c>
      <c r="C897" s="37" t="s">
        <v>136</v>
      </c>
      <c r="D897" s="37" t="s">
        <v>47</v>
      </c>
      <c r="E897" s="37" t="s">
        <v>97</v>
      </c>
      <c r="F897" s="37" t="s">
        <v>114</v>
      </c>
      <c r="G897" s="37" t="s">
        <v>92</v>
      </c>
      <c r="H897" s="37" t="n">
        <v>2</v>
      </c>
      <c r="I897" s="43" t="n">
        <v>1199</v>
      </c>
      <c r="J897" s="40" t="n">
        <v>0.25</v>
      </c>
    </row>
    <row r="898" customFormat="false" ht="15" hidden="false" customHeight="false" outlineLevel="0" collapsed="false">
      <c r="A898" s="37" t="s">
        <v>1031</v>
      </c>
      <c r="B898" s="42" t="n">
        <v>45970</v>
      </c>
      <c r="C898" s="37" t="s">
        <v>144</v>
      </c>
      <c r="D898" s="37" t="s">
        <v>45</v>
      </c>
      <c r="E898" s="37" t="s">
        <v>97</v>
      </c>
      <c r="F898" s="37" t="s">
        <v>110</v>
      </c>
      <c r="G898" s="37" t="s">
        <v>90</v>
      </c>
      <c r="H898" s="37" t="n">
        <v>4</v>
      </c>
      <c r="I898" s="43" t="n">
        <v>1299</v>
      </c>
      <c r="J898" s="40" t="n">
        <v>0.1</v>
      </c>
    </row>
    <row r="899" customFormat="false" ht="15" hidden="false" customHeight="false" outlineLevel="0" collapsed="false">
      <c r="A899" s="37" t="s">
        <v>1032</v>
      </c>
      <c r="B899" s="42" t="n">
        <v>45979</v>
      </c>
      <c r="C899" s="37" t="s">
        <v>136</v>
      </c>
      <c r="D899" s="37" t="s">
        <v>47</v>
      </c>
      <c r="E899" s="37" t="s">
        <v>97</v>
      </c>
      <c r="F899" s="37" t="s">
        <v>117</v>
      </c>
      <c r="G899" s="37" t="s">
        <v>91</v>
      </c>
      <c r="H899" s="37" t="n">
        <v>2</v>
      </c>
      <c r="I899" s="43" t="n">
        <v>1499</v>
      </c>
      <c r="J899" s="40" t="n">
        <v>0.1</v>
      </c>
    </row>
    <row r="900" customFormat="false" ht="15" hidden="false" customHeight="false" outlineLevel="0" collapsed="false">
      <c r="A900" s="37" t="s">
        <v>1033</v>
      </c>
      <c r="B900" s="42" t="n">
        <v>45983</v>
      </c>
      <c r="C900" s="37" t="s">
        <v>134</v>
      </c>
      <c r="D900" s="37" t="s">
        <v>45</v>
      </c>
      <c r="E900" s="37" t="s">
        <v>96</v>
      </c>
      <c r="F900" s="37" t="s">
        <v>117</v>
      </c>
      <c r="G900" s="37" t="s">
        <v>91</v>
      </c>
      <c r="H900" s="37" t="n">
        <v>1</v>
      </c>
      <c r="I900" s="43" t="n">
        <v>1499</v>
      </c>
      <c r="J900" s="40" t="n">
        <v>0.05</v>
      </c>
    </row>
    <row r="901" customFormat="false" ht="15" hidden="false" customHeight="false" outlineLevel="0" collapsed="false">
      <c r="A901" s="37" t="s">
        <v>1034</v>
      </c>
      <c r="B901" s="42" t="n">
        <v>45977</v>
      </c>
      <c r="C901" s="37" t="s">
        <v>142</v>
      </c>
      <c r="D901" s="37" t="s">
        <v>47</v>
      </c>
      <c r="E901" s="37" t="s">
        <v>97</v>
      </c>
      <c r="F901" s="37" t="s">
        <v>111</v>
      </c>
      <c r="G901" s="37" t="s">
        <v>90</v>
      </c>
      <c r="H901" s="37" t="n">
        <v>4</v>
      </c>
      <c r="I901" s="43" t="n">
        <v>2499</v>
      </c>
      <c r="J901" s="40" t="n">
        <v>0.15</v>
      </c>
    </row>
    <row r="902" customFormat="false" ht="15" hidden="false" customHeight="false" outlineLevel="0" collapsed="false">
      <c r="A902" s="37" t="s">
        <v>1035</v>
      </c>
      <c r="B902" s="42" t="n">
        <v>45970</v>
      </c>
      <c r="C902" s="37" t="s">
        <v>134</v>
      </c>
      <c r="D902" s="37" t="s">
        <v>45</v>
      </c>
      <c r="E902" s="37" t="s">
        <v>96</v>
      </c>
      <c r="F902" s="37" t="s">
        <v>112</v>
      </c>
      <c r="G902" s="37" t="s">
        <v>92</v>
      </c>
      <c r="H902" s="37" t="n">
        <v>2</v>
      </c>
      <c r="I902" s="43" t="n">
        <v>3299</v>
      </c>
      <c r="J902" s="40" t="n">
        <v>0.05</v>
      </c>
    </row>
    <row r="903" customFormat="false" ht="15" hidden="false" customHeight="false" outlineLevel="0" collapsed="false">
      <c r="A903" s="37" t="s">
        <v>1035</v>
      </c>
      <c r="B903" s="42" t="n">
        <v>45970</v>
      </c>
      <c r="C903" s="37" t="s">
        <v>134</v>
      </c>
      <c r="D903" s="37" t="s">
        <v>45</v>
      </c>
      <c r="E903" s="37" t="s">
        <v>96</v>
      </c>
      <c r="F903" s="37" t="s">
        <v>112</v>
      </c>
      <c r="G903" s="37" t="s">
        <v>92</v>
      </c>
      <c r="H903" s="37" t="n">
        <v>2</v>
      </c>
      <c r="I903" s="43" t="n">
        <v>3299</v>
      </c>
      <c r="J903" s="40" t="n">
        <v>0.05</v>
      </c>
    </row>
    <row r="904" customFormat="false" ht="15" hidden="false" customHeight="false" outlineLevel="0" collapsed="false">
      <c r="A904" s="37" t="s">
        <v>1036</v>
      </c>
      <c r="B904" s="42" t="n">
        <v>45983</v>
      </c>
      <c r="C904" s="37" t="s">
        <v>146</v>
      </c>
      <c r="D904" s="37" t="s">
        <v>45</v>
      </c>
      <c r="E904" s="37" t="s">
        <v>96</v>
      </c>
      <c r="F904" s="37" t="s">
        <v>110</v>
      </c>
      <c r="G904" s="37" t="s">
        <v>90</v>
      </c>
      <c r="H904" s="37" t="n">
        <v>1</v>
      </c>
      <c r="I904" s="43" t="n">
        <v>1299</v>
      </c>
      <c r="J904" s="40" t="n">
        <v>0.25</v>
      </c>
    </row>
    <row r="905" customFormat="false" ht="15" hidden="false" customHeight="false" outlineLevel="0" collapsed="false">
      <c r="A905" s="37" t="s">
        <v>1037</v>
      </c>
      <c r="B905" s="42" t="n">
        <v>45973</v>
      </c>
      <c r="C905" s="37" t="s">
        <v>166</v>
      </c>
      <c r="D905" s="37" t="s">
        <v>44</v>
      </c>
      <c r="E905" s="37" t="s">
        <v>96</v>
      </c>
      <c r="F905" s="37" t="s">
        <v>120</v>
      </c>
      <c r="G905" s="37" t="s">
        <v>93</v>
      </c>
      <c r="H905" s="37" t="n">
        <v>1</v>
      </c>
      <c r="I905" s="43" t="n">
        <v>449</v>
      </c>
      <c r="J905" s="40" t="n">
        <v>0.3</v>
      </c>
    </row>
    <row r="906" customFormat="false" ht="15" hidden="false" customHeight="false" outlineLevel="0" collapsed="false">
      <c r="A906" s="37" t="s">
        <v>1038</v>
      </c>
      <c r="B906" s="42" t="n">
        <v>45982</v>
      </c>
      <c r="C906" s="37" t="s">
        <v>136</v>
      </c>
      <c r="D906" s="37" t="s">
        <v>47</v>
      </c>
      <c r="E906" s="37" t="s">
        <v>97</v>
      </c>
      <c r="F906" s="37" t="s">
        <v>118</v>
      </c>
      <c r="G906" s="37" t="s">
        <v>91</v>
      </c>
      <c r="H906" s="37" t="n">
        <v>1</v>
      </c>
      <c r="I906" s="43" t="n">
        <v>2299</v>
      </c>
      <c r="J906" s="40" t="n">
        <v>0.1</v>
      </c>
    </row>
    <row r="907" customFormat="false" ht="15" hidden="false" customHeight="false" outlineLevel="0" collapsed="false">
      <c r="A907" s="37" t="s">
        <v>1039</v>
      </c>
      <c r="B907" s="42" t="n">
        <v>45976</v>
      </c>
      <c r="C907" s="37" t="s">
        <v>166</v>
      </c>
      <c r="D907" s="37" t="s">
        <v>44</v>
      </c>
      <c r="E907" s="37" t="s">
        <v>97</v>
      </c>
      <c r="F907" s="37" t="s">
        <v>122</v>
      </c>
      <c r="G907" s="37" t="s">
        <v>93</v>
      </c>
      <c r="H907" s="37" t="n">
        <v>1</v>
      </c>
      <c r="I907" s="43" t="n">
        <v>1799</v>
      </c>
      <c r="J907" s="40" t="n">
        <v>0</v>
      </c>
    </row>
    <row r="908" customFormat="false" ht="15" hidden="false" customHeight="false" outlineLevel="0" collapsed="false">
      <c r="A908" s="37" t="s">
        <v>1040</v>
      </c>
      <c r="B908" s="42" t="n">
        <v>45991</v>
      </c>
      <c r="C908" s="37" t="s">
        <v>166</v>
      </c>
      <c r="D908" s="37" t="s">
        <v>44</v>
      </c>
      <c r="E908" s="37" t="s">
        <v>96</v>
      </c>
      <c r="F908" s="37" t="s">
        <v>119</v>
      </c>
      <c r="G908" s="37" t="s">
        <v>91</v>
      </c>
      <c r="H908" s="37" t="n">
        <v>3</v>
      </c>
      <c r="I908" s="43" t="n">
        <v>1099</v>
      </c>
      <c r="J908" s="40" t="n">
        <v>0.05</v>
      </c>
    </row>
    <row r="909" customFormat="false" ht="15" hidden="false" customHeight="false" outlineLevel="0" collapsed="false">
      <c r="A909" s="37" t="s">
        <v>1041</v>
      </c>
      <c r="B909" s="42" t="n">
        <v>45978</v>
      </c>
      <c r="C909" s="37" t="s">
        <v>154</v>
      </c>
      <c r="D909" s="37" t="s">
        <v>47</v>
      </c>
      <c r="E909" s="37" t="s">
        <v>96</v>
      </c>
      <c r="F909" s="37" t="s">
        <v>112</v>
      </c>
      <c r="G909" s="37" t="s">
        <v>92</v>
      </c>
      <c r="H909" s="37" t="n">
        <v>2</v>
      </c>
      <c r="I909" s="43" t="n">
        <v>3299</v>
      </c>
      <c r="J909" s="40" t="n">
        <v>0.05</v>
      </c>
    </row>
    <row r="910" customFormat="false" ht="15" hidden="false" customHeight="false" outlineLevel="0" collapsed="false">
      <c r="A910" s="37" t="s">
        <v>1042</v>
      </c>
      <c r="B910" s="42" t="n">
        <v>45985</v>
      </c>
      <c r="C910" s="37" t="s">
        <v>146</v>
      </c>
      <c r="D910" s="37" t="s">
        <v>45</v>
      </c>
      <c r="E910" s="37" t="s">
        <v>1153</v>
      </c>
      <c r="F910" s="37" t="s">
        <v>118</v>
      </c>
      <c r="G910" s="37" t="s">
        <v>91</v>
      </c>
      <c r="H910" s="37" t="n">
        <v>1</v>
      </c>
      <c r="I910" s="43" t="n">
        <v>2299</v>
      </c>
      <c r="J910" s="40" t="n">
        <v>0.1</v>
      </c>
    </row>
    <row r="911" customFormat="false" ht="15" hidden="false" customHeight="false" outlineLevel="0" collapsed="false">
      <c r="A911" s="37" t="s">
        <v>1043</v>
      </c>
      <c r="B911" s="42" t="n">
        <v>45988</v>
      </c>
      <c r="C911" s="37" t="s">
        <v>154</v>
      </c>
      <c r="D911" s="37" t="s">
        <v>47</v>
      </c>
      <c r="E911" s="37" t="s">
        <v>96</v>
      </c>
      <c r="F911" s="37" t="s">
        <v>122</v>
      </c>
      <c r="G911" s="37" t="s">
        <v>93</v>
      </c>
      <c r="H911" s="37" t="n">
        <v>1</v>
      </c>
      <c r="I911" s="43" t="n">
        <v>1799</v>
      </c>
      <c r="J911" s="40" t="n">
        <v>0.1</v>
      </c>
    </row>
    <row r="912" customFormat="false" ht="15" hidden="false" customHeight="false" outlineLevel="0" collapsed="false">
      <c r="A912" s="37" t="s">
        <v>1044</v>
      </c>
      <c r="B912" s="42" t="n">
        <v>45982</v>
      </c>
      <c r="C912" s="37" t="s">
        <v>136</v>
      </c>
      <c r="D912" s="37" t="s">
        <v>47</v>
      </c>
      <c r="E912" s="37" t="s">
        <v>97</v>
      </c>
      <c r="F912" s="37" t="s">
        <v>109</v>
      </c>
      <c r="G912" s="37" t="s">
        <v>90</v>
      </c>
      <c r="H912" s="37" t="n">
        <v>2</v>
      </c>
      <c r="I912" s="43" t="n">
        <v>3499</v>
      </c>
      <c r="J912" s="40" t="n">
        <v>0.1</v>
      </c>
    </row>
    <row r="913" customFormat="false" ht="15" hidden="false" customHeight="false" outlineLevel="0" collapsed="false">
      <c r="A913" s="37" t="s">
        <v>1045</v>
      </c>
      <c r="B913" s="42" t="n">
        <v>45986</v>
      </c>
      <c r="C913" s="37" t="s">
        <v>154</v>
      </c>
      <c r="D913" s="37" t="s">
        <v>47</v>
      </c>
      <c r="E913" s="37" t="s">
        <v>1148</v>
      </c>
      <c r="F913" s="37" t="s">
        <v>113</v>
      </c>
      <c r="G913" s="37" t="s">
        <v>92</v>
      </c>
      <c r="H913" s="37" t="n">
        <v>1</v>
      </c>
      <c r="I913" s="43" t="n">
        <v>2199</v>
      </c>
      <c r="J913" s="40" t="n">
        <v>0.15</v>
      </c>
    </row>
    <row r="914" customFormat="false" ht="15" hidden="false" customHeight="false" outlineLevel="0" collapsed="false">
      <c r="A914" s="37" t="s">
        <v>1046</v>
      </c>
      <c r="B914" s="42" t="n">
        <v>45990</v>
      </c>
      <c r="C914" s="37" t="s">
        <v>136</v>
      </c>
      <c r="D914" s="37" t="s">
        <v>47</v>
      </c>
      <c r="E914" s="37" t="s">
        <v>97</v>
      </c>
      <c r="F914" s="37" t="s">
        <v>116</v>
      </c>
      <c r="G914" s="37" t="s">
        <v>91</v>
      </c>
      <c r="H914" s="37" t="n">
        <v>3</v>
      </c>
      <c r="I914" s="43" t="n">
        <v>899</v>
      </c>
      <c r="J914" s="40" t="n">
        <v>0.05</v>
      </c>
    </row>
    <row r="915" customFormat="false" ht="15" hidden="false" customHeight="false" outlineLevel="0" collapsed="false">
      <c r="A915" s="37" t="s">
        <v>1047</v>
      </c>
      <c r="B915" s="42" t="n">
        <v>45977</v>
      </c>
      <c r="C915" s="37" t="s">
        <v>134</v>
      </c>
      <c r="D915" s="37" t="s">
        <v>45</v>
      </c>
      <c r="E915" s="37" t="s">
        <v>97</v>
      </c>
      <c r="F915" s="37" t="s">
        <v>121</v>
      </c>
      <c r="G915" s="37" t="s">
        <v>93</v>
      </c>
      <c r="H915" s="37" t="n">
        <v>4</v>
      </c>
      <c r="I915" s="43" t="n">
        <v>999</v>
      </c>
      <c r="J915" s="40" t="n">
        <v>0.2</v>
      </c>
    </row>
    <row r="916" customFormat="false" ht="15" hidden="false" customHeight="false" outlineLevel="0" collapsed="false">
      <c r="A916" s="37" t="s">
        <v>1048</v>
      </c>
      <c r="B916" s="42" t="n">
        <v>45987</v>
      </c>
      <c r="C916" s="37" t="s">
        <v>160</v>
      </c>
      <c r="D916" s="37" t="s">
        <v>46</v>
      </c>
      <c r="E916" s="37" t="s">
        <v>97</v>
      </c>
      <c r="F916" s="37" t="s">
        <v>116</v>
      </c>
      <c r="G916" s="37" t="s">
        <v>91</v>
      </c>
      <c r="H916" s="37" t="n">
        <v>1</v>
      </c>
      <c r="I916" s="43" t="n">
        <v>899</v>
      </c>
      <c r="J916" s="40" t="n">
        <v>0</v>
      </c>
    </row>
    <row r="917" customFormat="false" ht="15" hidden="false" customHeight="false" outlineLevel="0" collapsed="false">
      <c r="A917" s="37" t="s">
        <v>1049</v>
      </c>
      <c r="B917" s="42" t="n">
        <v>45991</v>
      </c>
      <c r="C917" s="37" t="s">
        <v>166</v>
      </c>
      <c r="D917" s="37" t="s">
        <v>44</v>
      </c>
      <c r="E917" s="37" t="s">
        <v>97</v>
      </c>
      <c r="F917" s="37" t="s">
        <v>108</v>
      </c>
      <c r="G917" s="37" t="s">
        <v>90</v>
      </c>
      <c r="H917" s="37" t="n">
        <v>1</v>
      </c>
      <c r="I917" s="43" t="n">
        <v>1999</v>
      </c>
      <c r="J917" s="40" t="n">
        <v>0</v>
      </c>
    </row>
    <row r="918" customFormat="false" ht="15" hidden="false" customHeight="false" outlineLevel="0" collapsed="false">
      <c r="A918" s="37" t="s">
        <v>1050</v>
      </c>
      <c r="B918" s="42" t="n">
        <v>45969</v>
      </c>
      <c r="C918" s="37" t="s">
        <v>154</v>
      </c>
      <c r="D918" s="37" t="s">
        <v>47</v>
      </c>
      <c r="E918" s="37" t="s">
        <v>97</v>
      </c>
      <c r="F918" s="37" t="s">
        <v>109</v>
      </c>
      <c r="G918" s="37" t="s">
        <v>90</v>
      </c>
      <c r="H918" s="37" t="n">
        <v>1</v>
      </c>
      <c r="I918" s="43" t="n">
        <v>3499</v>
      </c>
      <c r="J918" s="40" t="n">
        <v>0.05</v>
      </c>
    </row>
    <row r="919" customFormat="false" ht="15" hidden="false" customHeight="false" outlineLevel="0" collapsed="false">
      <c r="A919" s="37" t="s">
        <v>1051</v>
      </c>
      <c r="B919" s="42" t="n">
        <v>45985</v>
      </c>
      <c r="C919" s="37" t="s">
        <v>140</v>
      </c>
      <c r="D919" s="37" t="s">
        <v>44</v>
      </c>
      <c r="E919" s="37" t="s">
        <v>96</v>
      </c>
      <c r="F919" s="37" t="s">
        <v>117</v>
      </c>
      <c r="G919" s="37" t="s">
        <v>91</v>
      </c>
      <c r="H919" s="37" t="n">
        <v>1</v>
      </c>
      <c r="I919" s="43" t="n">
        <v>1499</v>
      </c>
      <c r="J919" s="40" t="n">
        <v>0.25</v>
      </c>
    </row>
    <row r="920" customFormat="false" ht="15" hidden="false" customHeight="false" outlineLevel="0" collapsed="false">
      <c r="A920" s="37" t="s">
        <v>1052</v>
      </c>
      <c r="B920" s="42" t="n">
        <v>45966</v>
      </c>
      <c r="C920" s="37" t="s">
        <v>169</v>
      </c>
      <c r="D920" s="37" t="s">
        <v>44</v>
      </c>
      <c r="E920" s="37" t="s">
        <v>96</v>
      </c>
      <c r="F920" s="37" t="s">
        <v>113</v>
      </c>
      <c r="G920" s="37" t="s">
        <v>92</v>
      </c>
      <c r="H920" s="37" t="n">
        <v>1</v>
      </c>
      <c r="I920" s="43" t="n">
        <v>2199</v>
      </c>
      <c r="J920" s="40" t="n">
        <v>0.1</v>
      </c>
    </row>
    <row r="921" customFormat="false" ht="15" hidden="false" customHeight="false" outlineLevel="0" collapsed="false">
      <c r="A921" s="37" t="s">
        <v>1053</v>
      </c>
      <c r="B921" s="42" t="n">
        <v>45977</v>
      </c>
      <c r="C921" s="37" t="s">
        <v>144</v>
      </c>
      <c r="D921" s="37" t="s">
        <v>45</v>
      </c>
      <c r="E921" s="37" t="s">
        <v>96</v>
      </c>
      <c r="F921" s="37" t="s">
        <v>122</v>
      </c>
      <c r="G921" s="37" t="s">
        <v>93</v>
      </c>
      <c r="H921" s="37" t="n">
        <v>1</v>
      </c>
      <c r="I921" s="43" t="n">
        <v>1799</v>
      </c>
      <c r="J921" s="40" t="n">
        <v>0</v>
      </c>
    </row>
    <row r="922" customFormat="false" ht="15" hidden="false" customHeight="false" outlineLevel="0" collapsed="false">
      <c r="A922" s="37" t="s">
        <v>1054</v>
      </c>
      <c r="B922" s="42" t="n">
        <v>45971</v>
      </c>
      <c r="C922" s="37" t="s">
        <v>160</v>
      </c>
      <c r="D922" s="37" t="s">
        <v>46</v>
      </c>
      <c r="E922" s="37" t="s">
        <v>97</v>
      </c>
      <c r="F922" s="37" t="s">
        <v>117</v>
      </c>
      <c r="G922" s="37" t="s">
        <v>91</v>
      </c>
      <c r="H922" s="37" t="n">
        <v>1</v>
      </c>
      <c r="I922" s="43" t="n">
        <v>1499</v>
      </c>
      <c r="J922" s="40" t="n">
        <v>0.25</v>
      </c>
    </row>
    <row r="923" customFormat="false" ht="15" hidden="false" customHeight="false" outlineLevel="0" collapsed="false">
      <c r="A923" s="37" t="s">
        <v>1055</v>
      </c>
      <c r="B923" s="42" t="n">
        <v>45970</v>
      </c>
      <c r="C923" s="37" t="s">
        <v>169</v>
      </c>
      <c r="D923" s="37" t="s">
        <v>44</v>
      </c>
      <c r="E923" s="37" t="s">
        <v>97</v>
      </c>
      <c r="F923" s="37" t="s">
        <v>109</v>
      </c>
      <c r="G923" s="37" t="s">
        <v>90</v>
      </c>
      <c r="H923" s="37" t="n">
        <v>1</v>
      </c>
      <c r="I923" s="43" t="n">
        <v>3499</v>
      </c>
      <c r="J923" s="40" t="n">
        <v>0.05</v>
      </c>
    </row>
    <row r="924" customFormat="false" ht="15" hidden="false" customHeight="false" outlineLevel="0" collapsed="false">
      <c r="A924" s="37" t="s">
        <v>1056</v>
      </c>
      <c r="B924" s="42" t="n">
        <v>45973</v>
      </c>
      <c r="C924" s="37" t="s">
        <v>136</v>
      </c>
      <c r="D924" s="37" t="s">
        <v>47</v>
      </c>
      <c r="E924" s="37" t="s">
        <v>96</v>
      </c>
      <c r="F924" s="37" t="s">
        <v>123</v>
      </c>
      <c r="G924" s="37" t="s">
        <v>93</v>
      </c>
      <c r="H924" s="37" t="n">
        <v>1</v>
      </c>
      <c r="I924" s="43" t="n">
        <v>1299</v>
      </c>
      <c r="J924" s="40" t="n">
        <v>0.1</v>
      </c>
    </row>
    <row r="925" customFormat="false" ht="15" hidden="false" customHeight="false" outlineLevel="0" collapsed="false">
      <c r="A925" s="37" t="s">
        <v>1057</v>
      </c>
      <c r="B925" s="42" t="n">
        <v>45981</v>
      </c>
      <c r="C925" s="37" t="s">
        <v>138</v>
      </c>
      <c r="D925" s="37" t="s">
        <v>46</v>
      </c>
      <c r="E925" s="37" t="s">
        <v>96</v>
      </c>
      <c r="F925" s="37" t="s">
        <v>115</v>
      </c>
      <c r="G925" s="37" t="s">
        <v>92</v>
      </c>
      <c r="H925" s="37" t="n">
        <v>2</v>
      </c>
      <c r="I925" s="43" t="n">
        <v>1799</v>
      </c>
      <c r="J925" s="40" t="n">
        <v>0.1</v>
      </c>
    </row>
    <row r="926" customFormat="false" ht="15" hidden="false" customHeight="false" outlineLevel="0" collapsed="false">
      <c r="A926" s="37" t="s">
        <v>1058</v>
      </c>
      <c r="B926" s="42" t="n">
        <v>45990</v>
      </c>
      <c r="C926" s="37" t="s">
        <v>166</v>
      </c>
      <c r="D926" s="37" t="s">
        <v>44</v>
      </c>
      <c r="E926" s="37" t="s">
        <v>96</v>
      </c>
      <c r="F926" s="37" t="s">
        <v>108</v>
      </c>
      <c r="G926" s="37" t="s">
        <v>90</v>
      </c>
      <c r="H926" s="37" t="n">
        <v>1</v>
      </c>
      <c r="I926" s="43" t="n">
        <v>1999</v>
      </c>
      <c r="J926" s="40" t="n">
        <v>0.2</v>
      </c>
    </row>
    <row r="927" customFormat="false" ht="15" hidden="false" customHeight="false" outlineLevel="0" collapsed="false">
      <c r="A927" s="37" t="s">
        <v>1059</v>
      </c>
      <c r="B927" s="42" t="n">
        <v>45977</v>
      </c>
      <c r="C927" s="37" t="s">
        <v>166</v>
      </c>
      <c r="D927" s="37" t="s">
        <v>44</v>
      </c>
      <c r="E927" s="37" t="s">
        <v>97</v>
      </c>
      <c r="F927" s="37" t="s">
        <v>111</v>
      </c>
      <c r="G927" s="37" t="s">
        <v>90</v>
      </c>
      <c r="H927" s="37" t="n">
        <v>1</v>
      </c>
      <c r="I927" s="43" t="n">
        <v>2499</v>
      </c>
      <c r="J927" s="40" t="n">
        <v>0.05</v>
      </c>
    </row>
    <row r="928" customFormat="false" ht="15" hidden="false" customHeight="false" outlineLevel="0" collapsed="false">
      <c r="A928" s="37" t="s">
        <v>1060</v>
      </c>
      <c r="B928" s="42" t="n">
        <v>45970</v>
      </c>
      <c r="C928" s="37" t="s">
        <v>1155</v>
      </c>
      <c r="D928" s="37" t="s">
        <v>45</v>
      </c>
      <c r="E928" s="37" t="s">
        <v>97</v>
      </c>
      <c r="F928" s="37" t="s">
        <v>119</v>
      </c>
      <c r="G928" s="37" t="s">
        <v>91</v>
      </c>
      <c r="H928" s="37" t="n">
        <v>1</v>
      </c>
      <c r="I928" s="43" t="n">
        <v>1099</v>
      </c>
      <c r="J928" s="40" t="n">
        <v>0.1</v>
      </c>
    </row>
    <row r="929" customFormat="false" ht="15" hidden="false" customHeight="false" outlineLevel="0" collapsed="false">
      <c r="A929" s="37" t="s">
        <v>1061</v>
      </c>
      <c r="B929" s="42" t="n">
        <v>45967</v>
      </c>
      <c r="C929" s="37" t="s">
        <v>1155</v>
      </c>
      <c r="D929" s="37" t="s">
        <v>45</v>
      </c>
      <c r="E929" s="37" t="s">
        <v>97</v>
      </c>
      <c r="F929" s="37" t="s">
        <v>110</v>
      </c>
      <c r="G929" s="37" t="s">
        <v>90</v>
      </c>
      <c r="H929" s="37" t="n">
        <v>1</v>
      </c>
      <c r="I929" s="43" t="n">
        <v>1299</v>
      </c>
      <c r="J929" s="40" t="n">
        <v>0.25</v>
      </c>
    </row>
    <row r="930" customFormat="false" ht="15" hidden="false" customHeight="false" outlineLevel="0" collapsed="false">
      <c r="A930" s="37" t="s">
        <v>1062</v>
      </c>
      <c r="B930" s="42" t="n">
        <v>45990</v>
      </c>
      <c r="C930" s="37" t="s">
        <v>142</v>
      </c>
      <c r="D930" s="37" t="s">
        <v>47</v>
      </c>
      <c r="E930" s="37" t="s">
        <v>96</v>
      </c>
      <c r="F930" s="37" t="s">
        <v>109</v>
      </c>
      <c r="G930" s="37" t="s">
        <v>90</v>
      </c>
      <c r="H930" s="37" t="n">
        <v>1</v>
      </c>
      <c r="I930" s="43" t="n">
        <v>3499</v>
      </c>
      <c r="J930" s="40" t="n">
        <v>0.15</v>
      </c>
    </row>
    <row r="931" customFormat="false" ht="15" hidden="false" customHeight="false" outlineLevel="0" collapsed="false">
      <c r="A931" s="37" t="s">
        <v>1063</v>
      </c>
      <c r="B931" s="42" t="n">
        <v>45970</v>
      </c>
      <c r="C931" s="37" t="s">
        <v>140</v>
      </c>
      <c r="D931" s="37" t="s">
        <v>44</v>
      </c>
      <c r="E931" s="37" t="s">
        <v>96</v>
      </c>
      <c r="F931" s="37" t="s">
        <v>117</v>
      </c>
      <c r="G931" s="37" t="s">
        <v>91</v>
      </c>
      <c r="H931" s="37" t="n">
        <v>1</v>
      </c>
      <c r="I931" s="43" t="n">
        <v>1499</v>
      </c>
      <c r="J931" s="40" t="n">
        <v>0.2</v>
      </c>
    </row>
    <row r="932" customFormat="false" ht="15" hidden="false" customHeight="false" outlineLevel="0" collapsed="false">
      <c r="A932" s="37" t="s">
        <v>1064</v>
      </c>
      <c r="B932" s="42" t="n">
        <v>45983</v>
      </c>
      <c r="C932" s="37" t="s">
        <v>138</v>
      </c>
      <c r="D932" s="37" t="s">
        <v>46</v>
      </c>
      <c r="E932" s="37" t="s">
        <v>97</v>
      </c>
      <c r="F932" s="37" t="s">
        <v>111</v>
      </c>
      <c r="G932" s="37" t="s">
        <v>90</v>
      </c>
      <c r="H932" s="37" t="n">
        <v>1</v>
      </c>
      <c r="I932" s="43" t="n">
        <v>2499</v>
      </c>
      <c r="J932" s="40" t="n">
        <v>0.15</v>
      </c>
    </row>
    <row r="933" customFormat="false" ht="15" hidden="false" customHeight="false" outlineLevel="0" collapsed="false">
      <c r="A933" s="37" t="s">
        <v>1065</v>
      </c>
      <c r="B933" s="42" t="n">
        <v>45985</v>
      </c>
      <c r="C933" s="37" t="s">
        <v>169</v>
      </c>
      <c r="D933" s="37" t="s">
        <v>44</v>
      </c>
      <c r="E933" s="37" t="s">
        <v>97</v>
      </c>
      <c r="F933" s="37" t="s">
        <v>123</v>
      </c>
      <c r="G933" s="37" t="s">
        <v>93</v>
      </c>
      <c r="H933" s="37" t="n">
        <v>1</v>
      </c>
      <c r="I933" s="43" t="n">
        <v>1299</v>
      </c>
      <c r="J933" s="40" t="n">
        <v>0.1</v>
      </c>
    </row>
    <row r="934" customFormat="false" ht="15" hidden="false" customHeight="false" outlineLevel="0" collapsed="false">
      <c r="A934" s="37" t="s">
        <v>1066</v>
      </c>
      <c r="B934" s="42" t="n">
        <v>45977</v>
      </c>
      <c r="C934" s="37" t="s">
        <v>142</v>
      </c>
      <c r="D934" s="37" t="s">
        <v>47</v>
      </c>
      <c r="E934" s="37" t="s">
        <v>96</v>
      </c>
      <c r="F934" s="37" t="s">
        <v>110</v>
      </c>
      <c r="G934" s="37" t="s">
        <v>90</v>
      </c>
      <c r="H934" s="37" t="n">
        <v>1</v>
      </c>
      <c r="I934" s="43" t="n">
        <v>1299</v>
      </c>
      <c r="J934" s="40" t="n">
        <v>0.3</v>
      </c>
    </row>
    <row r="935" customFormat="false" ht="15" hidden="false" customHeight="false" outlineLevel="0" collapsed="false">
      <c r="A935" s="37" t="s">
        <v>1067</v>
      </c>
      <c r="B935" s="42" t="n">
        <v>45990</v>
      </c>
      <c r="C935" s="37" t="s">
        <v>172</v>
      </c>
      <c r="D935" s="37" t="s">
        <v>46</v>
      </c>
      <c r="E935" s="37" t="s">
        <v>97</v>
      </c>
      <c r="F935" s="37" t="s">
        <v>122</v>
      </c>
      <c r="G935" s="37" t="s">
        <v>93</v>
      </c>
      <c r="H935" s="37" t="n">
        <v>5</v>
      </c>
      <c r="I935" s="43" t="n">
        <v>1799</v>
      </c>
      <c r="J935" s="40" t="n">
        <v>0.1</v>
      </c>
    </row>
    <row r="936" customFormat="false" ht="15" hidden="false" customHeight="false" outlineLevel="0" collapsed="false">
      <c r="A936" s="37" t="s">
        <v>1068</v>
      </c>
      <c r="B936" s="42" t="n">
        <v>45993</v>
      </c>
      <c r="C936" s="37" t="s">
        <v>140</v>
      </c>
      <c r="D936" s="37" t="s">
        <v>44</v>
      </c>
      <c r="E936" s="37" t="s">
        <v>96</v>
      </c>
      <c r="F936" s="37" t="s">
        <v>120</v>
      </c>
      <c r="G936" s="37" t="s">
        <v>93</v>
      </c>
      <c r="H936" s="37" t="n">
        <v>1</v>
      </c>
      <c r="I936" s="43" t="n">
        <v>449</v>
      </c>
      <c r="J936" s="40" t="n">
        <v>0.3</v>
      </c>
    </row>
    <row r="937" customFormat="false" ht="15" hidden="false" customHeight="false" outlineLevel="0" collapsed="false">
      <c r="A937" s="37" t="s">
        <v>1069</v>
      </c>
      <c r="B937" s="42" t="n">
        <v>46019</v>
      </c>
      <c r="C937" s="37" t="s">
        <v>160</v>
      </c>
      <c r="D937" s="37" t="s">
        <v>46</v>
      </c>
      <c r="E937" s="37" t="s">
        <v>96</v>
      </c>
      <c r="F937" s="37" t="s">
        <v>119</v>
      </c>
      <c r="G937" s="37" t="s">
        <v>91</v>
      </c>
      <c r="H937" s="37" t="n">
        <v>3</v>
      </c>
      <c r="I937" s="43" t="n">
        <v>1099</v>
      </c>
      <c r="J937" s="40" t="n">
        <v>0</v>
      </c>
    </row>
    <row r="938" customFormat="false" ht="15" hidden="false" customHeight="false" outlineLevel="0" collapsed="false">
      <c r="A938" s="37" t="s">
        <v>1070</v>
      </c>
      <c r="B938" s="42" t="n">
        <v>45999</v>
      </c>
      <c r="C938" s="37" t="s">
        <v>134</v>
      </c>
      <c r="D938" s="37" t="s">
        <v>45</v>
      </c>
      <c r="E938" s="37" t="s">
        <v>96</v>
      </c>
      <c r="F938" s="37" t="s">
        <v>110</v>
      </c>
      <c r="G938" s="37" t="s">
        <v>90</v>
      </c>
      <c r="H938" s="37" t="n">
        <v>1</v>
      </c>
      <c r="I938" s="43" t="n">
        <v>1299</v>
      </c>
      <c r="J938" s="40" t="n">
        <v>0.1</v>
      </c>
    </row>
    <row r="939" customFormat="false" ht="15" hidden="false" customHeight="false" outlineLevel="0" collapsed="false">
      <c r="A939" s="37" t="s">
        <v>1071</v>
      </c>
      <c r="B939" s="42" t="n">
        <v>45997</v>
      </c>
      <c r="C939" s="37" t="s">
        <v>172</v>
      </c>
      <c r="D939" s="37" t="s">
        <v>46</v>
      </c>
      <c r="E939" s="37" t="s">
        <v>97</v>
      </c>
      <c r="F939" s="37" t="s">
        <v>108</v>
      </c>
      <c r="G939" s="37" t="s">
        <v>90</v>
      </c>
      <c r="H939" s="37" t="n">
        <v>2</v>
      </c>
      <c r="I939" s="43" t="n">
        <v>1999</v>
      </c>
      <c r="J939" s="40" t="n">
        <v>0.1</v>
      </c>
    </row>
    <row r="940" customFormat="false" ht="15" hidden="false" customHeight="false" outlineLevel="0" collapsed="false">
      <c r="A940" s="37" t="s">
        <v>1072</v>
      </c>
      <c r="B940" s="42" t="n">
        <v>46021</v>
      </c>
      <c r="C940" s="37" t="s">
        <v>154</v>
      </c>
      <c r="D940" s="37" t="s">
        <v>47</v>
      </c>
      <c r="E940" s="37" t="s">
        <v>97</v>
      </c>
      <c r="F940" s="37" t="s">
        <v>122</v>
      </c>
      <c r="G940" s="37" t="s">
        <v>93</v>
      </c>
      <c r="H940" s="37" t="n">
        <v>2</v>
      </c>
      <c r="I940" s="43" t="n">
        <v>1799</v>
      </c>
      <c r="J940" s="40" t="n">
        <v>0.05</v>
      </c>
    </row>
    <row r="941" customFormat="false" ht="15" hidden="false" customHeight="false" outlineLevel="0" collapsed="false">
      <c r="A941" s="37" t="s">
        <v>1073</v>
      </c>
      <c r="B941" s="42" t="n">
        <v>46016</v>
      </c>
      <c r="C941" s="37" t="s">
        <v>144</v>
      </c>
      <c r="D941" s="37" t="s">
        <v>45</v>
      </c>
      <c r="E941" s="37" t="s">
        <v>97</v>
      </c>
      <c r="F941" s="37" t="s">
        <v>110</v>
      </c>
      <c r="G941" s="37" t="s">
        <v>90</v>
      </c>
      <c r="H941" s="37" t="n">
        <v>2</v>
      </c>
      <c r="I941" s="43" t="n">
        <v>1299</v>
      </c>
      <c r="J941" s="40" t="n">
        <v>0.1</v>
      </c>
    </row>
    <row r="942" customFormat="false" ht="15" hidden="false" customHeight="false" outlineLevel="0" collapsed="false">
      <c r="A942" s="37" t="s">
        <v>1074</v>
      </c>
      <c r="B942" s="42" t="n">
        <v>46011</v>
      </c>
      <c r="C942" s="37" t="s">
        <v>134</v>
      </c>
      <c r="D942" s="37" t="s">
        <v>45</v>
      </c>
      <c r="E942" s="37" t="s">
        <v>97</v>
      </c>
      <c r="F942" s="37" t="s">
        <v>112</v>
      </c>
      <c r="G942" s="37" t="s">
        <v>92</v>
      </c>
      <c r="H942" s="37" t="n">
        <v>3</v>
      </c>
      <c r="I942" s="43" t="n">
        <v>3299</v>
      </c>
      <c r="J942" s="40" t="n">
        <v>0.15</v>
      </c>
    </row>
    <row r="943" customFormat="false" ht="15" hidden="false" customHeight="false" outlineLevel="0" collapsed="false">
      <c r="A943" s="37" t="s">
        <v>1075</v>
      </c>
      <c r="B943" s="42" t="n">
        <v>45999</v>
      </c>
      <c r="C943" s="37" t="s">
        <v>146</v>
      </c>
      <c r="D943" s="37" t="s">
        <v>45</v>
      </c>
      <c r="E943" s="37" t="s">
        <v>96</v>
      </c>
      <c r="F943" s="37" t="s">
        <v>119</v>
      </c>
      <c r="G943" s="37" t="s">
        <v>91</v>
      </c>
      <c r="H943" s="37" t="n">
        <v>1</v>
      </c>
      <c r="I943" s="43" t="n">
        <v>1099</v>
      </c>
      <c r="J943" s="40" t="n">
        <v>0.15</v>
      </c>
    </row>
    <row r="944" customFormat="false" ht="15" hidden="false" customHeight="false" outlineLevel="0" collapsed="false">
      <c r="A944" s="37" t="s">
        <v>1076</v>
      </c>
      <c r="B944" s="42" t="n">
        <v>46021</v>
      </c>
      <c r="C944" s="37" t="s">
        <v>134</v>
      </c>
      <c r="D944" s="37" t="s">
        <v>45</v>
      </c>
      <c r="E944" s="37" t="s">
        <v>96</v>
      </c>
      <c r="F944" s="37" t="s">
        <v>119</v>
      </c>
      <c r="G944" s="37" t="s">
        <v>91</v>
      </c>
      <c r="H944" s="37" t="n">
        <v>3</v>
      </c>
      <c r="I944" s="43" t="n">
        <v>1099</v>
      </c>
      <c r="J944" s="40" t="n">
        <v>0</v>
      </c>
    </row>
    <row r="945" customFormat="false" ht="15" hidden="false" customHeight="false" outlineLevel="0" collapsed="false">
      <c r="A945" s="37" t="s">
        <v>1077</v>
      </c>
      <c r="B945" s="42" t="n">
        <v>45992</v>
      </c>
      <c r="C945" s="37" t="s">
        <v>134</v>
      </c>
      <c r="D945" s="37" t="s">
        <v>45</v>
      </c>
      <c r="E945" s="37" t="s">
        <v>96</v>
      </c>
      <c r="F945" s="37" t="s">
        <v>115</v>
      </c>
      <c r="G945" s="37" t="s">
        <v>92</v>
      </c>
      <c r="H945" s="37" t="n">
        <v>3</v>
      </c>
      <c r="I945" s="43" t="n">
        <v>1799</v>
      </c>
      <c r="J945" s="40" t="n">
        <v>0.1</v>
      </c>
    </row>
    <row r="946" customFormat="false" ht="15" hidden="false" customHeight="false" outlineLevel="0" collapsed="false">
      <c r="A946" s="37" t="s">
        <v>1078</v>
      </c>
      <c r="B946" s="42" t="n">
        <v>46000</v>
      </c>
      <c r="C946" s="37" t="s">
        <v>1155</v>
      </c>
      <c r="D946" s="37" t="s">
        <v>45</v>
      </c>
      <c r="E946" s="37" t="s">
        <v>96</v>
      </c>
      <c r="F946" s="37" t="s">
        <v>121</v>
      </c>
      <c r="G946" s="37" t="s">
        <v>93</v>
      </c>
      <c r="H946" s="37" t="n">
        <v>1</v>
      </c>
      <c r="I946" s="43" t="n">
        <v>999</v>
      </c>
      <c r="J946" s="40" t="n">
        <v>0</v>
      </c>
    </row>
    <row r="947" customFormat="false" ht="15" hidden="false" customHeight="false" outlineLevel="0" collapsed="false">
      <c r="A947" s="37" t="s">
        <v>1079</v>
      </c>
      <c r="B947" s="42" t="n">
        <v>46014</v>
      </c>
      <c r="C947" s="37" t="s">
        <v>140</v>
      </c>
      <c r="D947" s="37" t="s">
        <v>44</v>
      </c>
      <c r="E947" s="37" t="s">
        <v>1148</v>
      </c>
      <c r="F947" s="37" t="s">
        <v>108</v>
      </c>
      <c r="G947" s="37" t="s">
        <v>90</v>
      </c>
      <c r="H947" s="37" t="n">
        <v>1</v>
      </c>
      <c r="I947" s="43" t="n">
        <v>1999</v>
      </c>
      <c r="J947" s="40" t="n">
        <v>0.3</v>
      </c>
    </row>
    <row r="948" customFormat="false" ht="15" hidden="false" customHeight="false" outlineLevel="0" collapsed="false">
      <c r="A948" s="37" t="s">
        <v>1080</v>
      </c>
      <c r="B948" s="42" t="n">
        <v>46013</v>
      </c>
      <c r="C948" s="37" t="s">
        <v>1155</v>
      </c>
      <c r="D948" s="37" t="s">
        <v>45</v>
      </c>
      <c r="E948" s="37" t="s">
        <v>97</v>
      </c>
      <c r="F948" s="37" t="s">
        <v>113</v>
      </c>
      <c r="G948" s="37" t="s">
        <v>92</v>
      </c>
      <c r="H948" s="37" t="n">
        <v>1</v>
      </c>
      <c r="I948" s="43" t="n">
        <v>2199</v>
      </c>
      <c r="J948" s="40" t="n">
        <v>0.1</v>
      </c>
    </row>
    <row r="949" customFormat="false" ht="15" hidden="false" customHeight="false" outlineLevel="0" collapsed="false">
      <c r="A949" s="37" t="s">
        <v>1081</v>
      </c>
      <c r="B949" s="42" t="n">
        <v>46016</v>
      </c>
      <c r="C949" s="37" t="s">
        <v>1155</v>
      </c>
      <c r="D949" s="37" t="s">
        <v>45</v>
      </c>
      <c r="E949" s="37" t="s">
        <v>97</v>
      </c>
      <c r="F949" s="37" t="s">
        <v>118</v>
      </c>
      <c r="G949" s="37" t="s">
        <v>91</v>
      </c>
      <c r="H949" s="37" t="n">
        <v>1</v>
      </c>
      <c r="I949" s="43" t="n">
        <v>2299</v>
      </c>
      <c r="J949" s="40" t="n">
        <v>0</v>
      </c>
    </row>
    <row r="950" customFormat="false" ht="15" hidden="false" customHeight="false" outlineLevel="0" collapsed="false">
      <c r="A950" s="37" t="s">
        <v>1082</v>
      </c>
      <c r="B950" s="42" t="n">
        <v>46017</v>
      </c>
      <c r="C950" s="37" t="s">
        <v>166</v>
      </c>
      <c r="D950" s="37" t="s">
        <v>44</v>
      </c>
      <c r="E950" s="37" t="s">
        <v>96</v>
      </c>
      <c r="F950" s="37" t="s">
        <v>112</v>
      </c>
      <c r="G950" s="37" t="s">
        <v>92</v>
      </c>
      <c r="H950" s="37" t="n">
        <v>2</v>
      </c>
      <c r="I950" s="43" t="n">
        <v>3299</v>
      </c>
      <c r="J950" s="40" t="n">
        <v>0.1</v>
      </c>
    </row>
    <row r="951" customFormat="false" ht="15" hidden="false" customHeight="false" outlineLevel="0" collapsed="false">
      <c r="A951" s="37" t="s">
        <v>1083</v>
      </c>
      <c r="B951" s="42" t="n">
        <v>46005</v>
      </c>
      <c r="C951" s="37" t="s">
        <v>154</v>
      </c>
      <c r="D951" s="37" t="s">
        <v>47</v>
      </c>
      <c r="E951" s="37" t="s">
        <v>96</v>
      </c>
      <c r="F951" s="37" t="s">
        <v>114</v>
      </c>
      <c r="G951" s="37" t="s">
        <v>92</v>
      </c>
      <c r="H951" s="37" t="n">
        <v>1</v>
      </c>
      <c r="I951" s="43" t="n">
        <v>1199</v>
      </c>
      <c r="J951" s="40" t="n">
        <v>0.2</v>
      </c>
    </row>
    <row r="952" customFormat="false" ht="15" hidden="false" customHeight="false" outlineLevel="0" collapsed="false">
      <c r="A952" s="37" t="s">
        <v>1084</v>
      </c>
      <c r="B952" s="42" t="n">
        <v>46004</v>
      </c>
      <c r="C952" s="37" t="s">
        <v>144</v>
      </c>
      <c r="D952" s="37" t="s">
        <v>45</v>
      </c>
      <c r="E952" s="37" t="s">
        <v>97</v>
      </c>
      <c r="F952" s="37" t="s">
        <v>111</v>
      </c>
      <c r="G952" s="37" t="s">
        <v>90</v>
      </c>
      <c r="H952" s="37" t="n">
        <v>5</v>
      </c>
      <c r="I952" s="43" t="n">
        <v>2499</v>
      </c>
      <c r="J952" s="40" t="n">
        <v>0</v>
      </c>
    </row>
    <row r="953" customFormat="false" ht="15" hidden="false" customHeight="false" outlineLevel="0" collapsed="false">
      <c r="A953" s="37" t="s">
        <v>1085</v>
      </c>
      <c r="B953" s="42" t="n">
        <v>46022</v>
      </c>
      <c r="C953" s="37" t="s">
        <v>140</v>
      </c>
      <c r="D953" s="37" t="s">
        <v>44</v>
      </c>
      <c r="E953" s="37" t="s">
        <v>96</v>
      </c>
      <c r="F953" s="37" t="s">
        <v>108</v>
      </c>
      <c r="G953" s="37" t="s">
        <v>90</v>
      </c>
      <c r="H953" s="37" t="n">
        <v>1</v>
      </c>
      <c r="I953" s="43" t="n">
        <v>1999</v>
      </c>
      <c r="J953" s="40" t="n">
        <v>0.3</v>
      </c>
    </row>
    <row r="954" customFormat="false" ht="15" hidden="false" customHeight="false" outlineLevel="0" collapsed="false">
      <c r="A954" s="37" t="s">
        <v>1086</v>
      </c>
      <c r="B954" s="42" t="n">
        <v>46001</v>
      </c>
      <c r="C954" s="37" t="s">
        <v>169</v>
      </c>
      <c r="D954" s="37" t="s">
        <v>44</v>
      </c>
      <c r="E954" s="37" t="s">
        <v>96</v>
      </c>
      <c r="F954" s="37" t="s">
        <v>119</v>
      </c>
      <c r="G954" s="37" t="s">
        <v>91</v>
      </c>
      <c r="H954" s="37" t="n">
        <v>1</v>
      </c>
      <c r="I954" s="43" t="n">
        <v>1099</v>
      </c>
      <c r="J954" s="40" t="n">
        <v>0.15</v>
      </c>
    </row>
    <row r="955" customFormat="false" ht="15" hidden="false" customHeight="false" outlineLevel="0" collapsed="false">
      <c r="A955" s="37" t="s">
        <v>1087</v>
      </c>
      <c r="B955" s="42" t="n">
        <v>45996</v>
      </c>
      <c r="C955" s="37" t="s">
        <v>1167</v>
      </c>
      <c r="D955" s="37" t="s">
        <v>45</v>
      </c>
      <c r="E955" s="37" t="s">
        <v>97</v>
      </c>
      <c r="F955" s="37" t="s">
        <v>119</v>
      </c>
      <c r="G955" s="37" t="s">
        <v>91</v>
      </c>
      <c r="H955" s="37" t="n">
        <v>1</v>
      </c>
      <c r="I955" s="43" t="n">
        <v>1099</v>
      </c>
      <c r="J955" s="40" t="n">
        <v>0.15</v>
      </c>
    </row>
    <row r="956" customFormat="false" ht="15" hidden="false" customHeight="false" outlineLevel="0" collapsed="false">
      <c r="A956" s="37" t="s">
        <v>1088</v>
      </c>
      <c r="B956" s="42" t="n">
        <v>46019</v>
      </c>
      <c r="C956" s="37" t="s">
        <v>166</v>
      </c>
      <c r="D956" s="37" t="s">
        <v>44</v>
      </c>
      <c r="E956" s="37" t="s">
        <v>96</v>
      </c>
      <c r="F956" s="37" t="s">
        <v>119</v>
      </c>
      <c r="G956" s="37" t="s">
        <v>91</v>
      </c>
      <c r="H956" s="37" t="n">
        <v>1</v>
      </c>
      <c r="I956" s="43" t="n">
        <v>1099</v>
      </c>
      <c r="J956" s="40" t="n">
        <v>0</v>
      </c>
    </row>
    <row r="957" customFormat="false" ht="15" hidden="false" customHeight="false" outlineLevel="0" collapsed="false">
      <c r="A957" s="37" t="s">
        <v>1089</v>
      </c>
      <c r="B957" s="42" t="n">
        <v>46003</v>
      </c>
      <c r="C957" s="37" t="s">
        <v>146</v>
      </c>
      <c r="D957" s="37" t="s">
        <v>45</v>
      </c>
      <c r="E957" s="37" t="s">
        <v>97</v>
      </c>
      <c r="F957" s="37" t="s">
        <v>123</v>
      </c>
      <c r="G957" s="37" t="s">
        <v>93</v>
      </c>
      <c r="H957" s="37" t="n">
        <v>1</v>
      </c>
      <c r="I957" s="43" t="n">
        <v>1299</v>
      </c>
      <c r="J957" s="40" t="n">
        <v>0.2</v>
      </c>
    </row>
    <row r="958" customFormat="false" ht="15" hidden="false" customHeight="false" outlineLevel="0" collapsed="false">
      <c r="A958" s="37" t="s">
        <v>1090</v>
      </c>
      <c r="B958" s="42" t="n">
        <v>45995</v>
      </c>
      <c r="C958" s="37" t="s">
        <v>138</v>
      </c>
      <c r="D958" s="37" t="s">
        <v>46</v>
      </c>
      <c r="E958" s="37" t="s">
        <v>97</v>
      </c>
      <c r="F958" s="37" t="s">
        <v>117</v>
      </c>
      <c r="G958" s="37" t="s">
        <v>91</v>
      </c>
      <c r="H958" s="37" t="n">
        <v>1</v>
      </c>
      <c r="I958" s="43" t="n">
        <v>1499</v>
      </c>
      <c r="J958" s="40" t="n">
        <v>0.15</v>
      </c>
    </row>
    <row r="959" customFormat="false" ht="15" hidden="false" customHeight="false" outlineLevel="0" collapsed="false">
      <c r="A959" s="37" t="s">
        <v>1091</v>
      </c>
      <c r="B959" s="42" t="n">
        <v>46002</v>
      </c>
      <c r="C959" s="37" t="s">
        <v>160</v>
      </c>
      <c r="D959" s="37" t="s">
        <v>46</v>
      </c>
      <c r="E959" s="37" t="s">
        <v>1152</v>
      </c>
      <c r="F959" s="37" t="s">
        <v>109</v>
      </c>
      <c r="G959" s="37" t="s">
        <v>90</v>
      </c>
      <c r="H959" s="37" t="n">
        <v>1</v>
      </c>
      <c r="I959" s="43" t="n">
        <v>3499</v>
      </c>
      <c r="J959" s="40" t="n">
        <v>0.15</v>
      </c>
    </row>
    <row r="960" customFormat="false" ht="15" hidden="false" customHeight="false" outlineLevel="0" collapsed="false">
      <c r="A960" s="37" t="s">
        <v>1092</v>
      </c>
      <c r="B960" s="42" t="n">
        <v>46003</v>
      </c>
      <c r="C960" s="37" t="s">
        <v>134</v>
      </c>
      <c r="D960" s="37" t="s">
        <v>45</v>
      </c>
      <c r="E960" s="37" t="s">
        <v>96</v>
      </c>
      <c r="F960" s="37" t="s">
        <v>119</v>
      </c>
      <c r="G960" s="37" t="s">
        <v>91</v>
      </c>
      <c r="H960" s="37" t="n">
        <v>1</v>
      </c>
      <c r="I960" s="43" t="n">
        <v>1099</v>
      </c>
      <c r="J960" s="40" t="n">
        <v>0.15</v>
      </c>
    </row>
    <row r="961" customFormat="false" ht="15" hidden="false" customHeight="false" outlineLevel="0" collapsed="false">
      <c r="A961" s="37" t="s">
        <v>1093</v>
      </c>
      <c r="B961" s="42" t="n">
        <v>46014</v>
      </c>
      <c r="C961" s="37" t="s">
        <v>144</v>
      </c>
      <c r="D961" s="37" t="s">
        <v>45</v>
      </c>
      <c r="E961" s="37" t="s">
        <v>96</v>
      </c>
      <c r="F961" s="37" t="s">
        <v>117</v>
      </c>
      <c r="G961" s="37" t="s">
        <v>91</v>
      </c>
      <c r="H961" s="37" t="n">
        <v>2</v>
      </c>
      <c r="I961" s="43" t="n">
        <v>1499</v>
      </c>
      <c r="J961" s="40" t="n">
        <v>0.1</v>
      </c>
    </row>
    <row r="962" customFormat="false" ht="15" hidden="false" customHeight="false" outlineLevel="0" collapsed="false">
      <c r="A962" s="37" t="s">
        <v>1094</v>
      </c>
      <c r="B962" s="42" t="n">
        <v>46011</v>
      </c>
      <c r="C962" s="37" t="s">
        <v>169</v>
      </c>
      <c r="D962" s="37" t="s">
        <v>44</v>
      </c>
      <c r="E962" s="37" t="s">
        <v>1152</v>
      </c>
      <c r="F962" s="37" t="s">
        <v>120</v>
      </c>
      <c r="G962" s="37" t="s">
        <v>93</v>
      </c>
      <c r="H962" s="37" t="n">
        <v>1</v>
      </c>
      <c r="I962" s="43" t="n">
        <v>449</v>
      </c>
      <c r="J962" s="40" t="n">
        <v>0.05</v>
      </c>
    </row>
    <row r="963" customFormat="false" ht="15" hidden="false" customHeight="false" outlineLevel="0" collapsed="false">
      <c r="A963" s="37" t="s">
        <v>1095</v>
      </c>
      <c r="B963" s="42" t="n">
        <v>45998</v>
      </c>
      <c r="C963" s="37" t="s">
        <v>169</v>
      </c>
      <c r="D963" s="37" t="s">
        <v>44</v>
      </c>
      <c r="E963" s="37" t="s">
        <v>96</v>
      </c>
      <c r="F963" s="37" t="s">
        <v>109</v>
      </c>
      <c r="G963" s="37" t="s">
        <v>90</v>
      </c>
      <c r="H963" s="37" t="n">
        <v>1</v>
      </c>
      <c r="I963" s="43" t="n">
        <v>3499</v>
      </c>
      <c r="J963" s="40" t="n">
        <v>0.3</v>
      </c>
    </row>
    <row r="964" customFormat="false" ht="15" hidden="false" customHeight="false" outlineLevel="0" collapsed="false">
      <c r="A964" s="37" t="s">
        <v>1096</v>
      </c>
      <c r="B964" s="42" t="n">
        <v>46012</v>
      </c>
      <c r="C964" s="37" t="s">
        <v>144</v>
      </c>
      <c r="D964" s="37" t="s">
        <v>45</v>
      </c>
      <c r="E964" s="37" t="s">
        <v>97</v>
      </c>
      <c r="F964" s="37" t="s">
        <v>117</v>
      </c>
      <c r="G964" s="37" t="s">
        <v>91</v>
      </c>
      <c r="H964" s="37" t="n">
        <v>2</v>
      </c>
      <c r="I964" s="43" t="n">
        <v>1499</v>
      </c>
      <c r="J964" s="40" t="n">
        <v>0.05</v>
      </c>
    </row>
    <row r="965" customFormat="false" ht="15" hidden="false" customHeight="false" outlineLevel="0" collapsed="false">
      <c r="A965" s="37" t="s">
        <v>1097</v>
      </c>
      <c r="B965" s="42" t="n">
        <v>46018</v>
      </c>
      <c r="C965" s="37" t="s">
        <v>134</v>
      </c>
      <c r="D965" s="37" t="s">
        <v>45</v>
      </c>
      <c r="E965" s="37" t="s">
        <v>97</v>
      </c>
      <c r="F965" s="37" t="s">
        <v>119</v>
      </c>
      <c r="G965" s="37" t="s">
        <v>91</v>
      </c>
      <c r="H965" s="37" t="n">
        <v>1</v>
      </c>
      <c r="I965" s="43" t="n">
        <v>1099</v>
      </c>
      <c r="J965" s="40" t="n">
        <v>0.05</v>
      </c>
    </row>
    <row r="966" customFormat="false" ht="15" hidden="false" customHeight="false" outlineLevel="0" collapsed="false">
      <c r="A966" s="37" t="s">
        <v>1098</v>
      </c>
      <c r="B966" s="42" t="n">
        <v>46014</v>
      </c>
      <c r="C966" s="37" t="s">
        <v>154</v>
      </c>
      <c r="D966" s="37" t="s">
        <v>47</v>
      </c>
      <c r="E966" s="37" t="s">
        <v>96</v>
      </c>
      <c r="F966" s="37" t="s">
        <v>114</v>
      </c>
      <c r="G966" s="37" t="s">
        <v>92</v>
      </c>
      <c r="H966" s="37" t="n">
        <v>3</v>
      </c>
      <c r="I966" s="43" t="n">
        <v>1199</v>
      </c>
      <c r="J966" s="40" t="n">
        <v>0.1</v>
      </c>
    </row>
    <row r="967" customFormat="false" ht="15" hidden="false" customHeight="false" outlineLevel="0" collapsed="false">
      <c r="A967" s="37" t="s">
        <v>1099</v>
      </c>
      <c r="B967" s="42" t="n">
        <v>46002</v>
      </c>
      <c r="C967" s="37" t="s">
        <v>146</v>
      </c>
      <c r="D967" s="37" t="s">
        <v>45</v>
      </c>
      <c r="E967" s="37" t="s">
        <v>96</v>
      </c>
      <c r="F967" s="37" t="s">
        <v>114</v>
      </c>
      <c r="G967" s="37" t="s">
        <v>92</v>
      </c>
      <c r="H967" s="37" t="n">
        <v>1</v>
      </c>
      <c r="I967" s="43" t="n">
        <v>1199</v>
      </c>
      <c r="J967" s="40" t="n">
        <v>0.05</v>
      </c>
    </row>
    <row r="968" customFormat="false" ht="15" hidden="false" customHeight="false" outlineLevel="0" collapsed="false">
      <c r="A968" s="37" t="s">
        <v>1100</v>
      </c>
      <c r="B968" s="42" t="n">
        <v>46022</v>
      </c>
      <c r="C968" s="37" t="s">
        <v>142</v>
      </c>
      <c r="D968" s="37" t="s">
        <v>47</v>
      </c>
      <c r="E968" s="37" t="s">
        <v>97</v>
      </c>
      <c r="F968" s="37" t="s">
        <v>109</v>
      </c>
      <c r="G968" s="37" t="s">
        <v>90</v>
      </c>
      <c r="H968" s="37" t="n">
        <v>1</v>
      </c>
      <c r="I968" s="43" t="n">
        <v>3499</v>
      </c>
      <c r="J968" s="40" t="n">
        <v>0.1</v>
      </c>
    </row>
    <row r="969" customFormat="false" ht="15" hidden="false" customHeight="false" outlineLevel="0" collapsed="false">
      <c r="A969" s="37" t="s">
        <v>1101</v>
      </c>
      <c r="B969" s="42" t="n">
        <v>46010</v>
      </c>
      <c r="C969" s="37" t="s">
        <v>136</v>
      </c>
      <c r="D969" s="37" t="s">
        <v>47</v>
      </c>
      <c r="E969" s="37" t="s">
        <v>96</v>
      </c>
      <c r="F969" s="37" t="s">
        <v>113</v>
      </c>
      <c r="G969" s="37" t="s">
        <v>92</v>
      </c>
      <c r="H969" s="37" t="n">
        <v>1</v>
      </c>
      <c r="I969" s="43" t="n">
        <v>2199</v>
      </c>
      <c r="J969" s="40" t="n">
        <v>0.15</v>
      </c>
    </row>
    <row r="970" customFormat="false" ht="15" hidden="false" customHeight="false" outlineLevel="0" collapsed="false">
      <c r="A970" s="37" t="s">
        <v>1102</v>
      </c>
      <c r="B970" s="42" t="n">
        <v>46001</v>
      </c>
      <c r="C970" s="37" t="s">
        <v>1193</v>
      </c>
      <c r="D970" s="37" t="s">
        <v>45</v>
      </c>
      <c r="E970" s="37" t="s">
        <v>96</v>
      </c>
      <c r="F970" s="37" t="s">
        <v>119</v>
      </c>
      <c r="G970" s="37" t="s">
        <v>91</v>
      </c>
      <c r="H970" s="37" t="n">
        <v>1</v>
      </c>
      <c r="I970" s="43" t="n">
        <v>1099</v>
      </c>
      <c r="J970" s="40" t="n">
        <v>0.1</v>
      </c>
    </row>
    <row r="971" customFormat="false" ht="15" hidden="false" customHeight="false" outlineLevel="0" collapsed="false">
      <c r="A971" s="37" t="s">
        <v>1103</v>
      </c>
      <c r="B971" s="42" t="n">
        <v>46018</v>
      </c>
      <c r="C971" s="37" t="s">
        <v>146</v>
      </c>
      <c r="D971" s="37" t="s">
        <v>45</v>
      </c>
      <c r="E971" s="37" t="s">
        <v>1158</v>
      </c>
      <c r="F971" s="37" t="s">
        <v>108</v>
      </c>
      <c r="G971" s="37" t="s">
        <v>90</v>
      </c>
      <c r="H971" s="37" t="n">
        <v>3</v>
      </c>
      <c r="I971" s="43" t="n">
        <v>1999</v>
      </c>
      <c r="J971" s="40" t="n">
        <v>0.15</v>
      </c>
    </row>
    <row r="972" customFormat="false" ht="15" hidden="false" customHeight="false" outlineLevel="0" collapsed="false">
      <c r="A972" s="37" t="s">
        <v>1104</v>
      </c>
      <c r="B972" s="42" t="n">
        <v>46001</v>
      </c>
      <c r="C972" s="37" t="s">
        <v>169</v>
      </c>
      <c r="D972" s="37" t="s">
        <v>44</v>
      </c>
      <c r="E972" s="37" t="s">
        <v>96</v>
      </c>
      <c r="F972" s="37" t="s">
        <v>108</v>
      </c>
      <c r="G972" s="37" t="s">
        <v>90</v>
      </c>
      <c r="H972" s="37" t="n">
        <v>2</v>
      </c>
      <c r="I972" s="43" t="n">
        <v>1999</v>
      </c>
      <c r="J972" s="40" t="n">
        <v>0.15</v>
      </c>
    </row>
    <row r="973" customFormat="false" ht="15" hidden="false" customHeight="false" outlineLevel="0" collapsed="false">
      <c r="A973" s="37" t="s">
        <v>1105</v>
      </c>
      <c r="B973" s="42" t="n">
        <v>46017</v>
      </c>
      <c r="C973" s="37" t="s">
        <v>140</v>
      </c>
      <c r="D973" s="37" t="s">
        <v>44</v>
      </c>
      <c r="E973" s="37" t="s">
        <v>97</v>
      </c>
      <c r="F973" s="37" t="s">
        <v>116</v>
      </c>
      <c r="G973" s="37" t="s">
        <v>91</v>
      </c>
      <c r="H973" s="37" t="n">
        <v>2</v>
      </c>
      <c r="I973" s="43" t="n">
        <v>899</v>
      </c>
      <c r="J973" s="40" t="n">
        <v>0.2</v>
      </c>
    </row>
    <row r="974" customFormat="false" ht="15" hidden="false" customHeight="false" outlineLevel="0" collapsed="false">
      <c r="A974" s="37" t="s">
        <v>1106</v>
      </c>
      <c r="B974" s="42" t="n">
        <v>45994</v>
      </c>
      <c r="C974" s="37" t="s">
        <v>136</v>
      </c>
      <c r="D974" s="37" t="s">
        <v>47</v>
      </c>
      <c r="E974" s="37" t="s">
        <v>97</v>
      </c>
      <c r="F974" s="37" t="s">
        <v>118</v>
      </c>
      <c r="G974" s="37"/>
      <c r="H974" s="37" t="n">
        <v>1</v>
      </c>
      <c r="I974" s="43" t="n">
        <v>2299</v>
      </c>
      <c r="J974" s="40" t="n">
        <v>0.05</v>
      </c>
    </row>
    <row r="975" customFormat="false" ht="15" hidden="false" customHeight="false" outlineLevel="0" collapsed="false">
      <c r="A975" s="37" t="s">
        <v>1107</v>
      </c>
      <c r="B975" s="42" t="n">
        <v>46021</v>
      </c>
      <c r="C975" s="37" t="s">
        <v>146</v>
      </c>
      <c r="D975" s="37" t="s">
        <v>45</v>
      </c>
      <c r="E975" s="37" t="s">
        <v>97</v>
      </c>
      <c r="F975" s="37" t="s">
        <v>119</v>
      </c>
      <c r="G975" s="37" t="s">
        <v>91</v>
      </c>
      <c r="H975" s="37" t="n">
        <v>1</v>
      </c>
      <c r="I975" s="43" t="n">
        <v>1099</v>
      </c>
      <c r="J975" s="40" t="n">
        <v>0</v>
      </c>
    </row>
    <row r="976" customFormat="false" ht="15" hidden="false" customHeight="false" outlineLevel="0" collapsed="false">
      <c r="A976" s="37" t="s">
        <v>1108</v>
      </c>
      <c r="B976" s="42" t="n">
        <v>46022</v>
      </c>
      <c r="C976" s="37" t="s">
        <v>169</v>
      </c>
      <c r="D976" s="37" t="s">
        <v>44</v>
      </c>
      <c r="E976" s="37" t="s">
        <v>97</v>
      </c>
      <c r="F976" s="37" t="s">
        <v>118</v>
      </c>
      <c r="G976" s="37" t="s">
        <v>91</v>
      </c>
      <c r="H976" s="37" t="n">
        <v>1</v>
      </c>
      <c r="I976" s="43" t="n">
        <v>2299</v>
      </c>
      <c r="J976" s="40" t="n">
        <v>0.05</v>
      </c>
    </row>
    <row r="977" customFormat="false" ht="15" hidden="false" customHeight="false" outlineLevel="0" collapsed="false">
      <c r="A977" s="37" t="s">
        <v>1109</v>
      </c>
      <c r="B977" s="42" t="n">
        <v>46006</v>
      </c>
      <c r="C977" s="37" t="s">
        <v>166</v>
      </c>
      <c r="D977" s="37" t="s">
        <v>44</v>
      </c>
      <c r="E977" s="37" t="s">
        <v>96</v>
      </c>
      <c r="F977" s="37" t="s">
        <v>111</v>
      </c>
      <c r="G977" s="37" t="s">
        <v>90</v>
      </c>
      <c r="H977" s="37" t="n">
        <v>1</v>
      </c>
      <c r="I977" s="43" t="n">
        <v>2499</v>
      </c>
      <c r="J977" s="37" t="s">
        <v>1163</v>
      </c>
    </row>
    <row r="978" customFormat="false" ht="15" hidden="false" customHeight="false" outlineLevel="0" collapsed="false">
      <c r="A978" s="37" t="s">
        <v>1110</v>
      </c>
      <c r="B978" s="42" t="n">
        <v>46004</v>
      </c>
      <c r="C978" s="37" t="s">
        <v>134</v>
      </c>
      <c r="D978" s="37" t="s">
        <v>45</v>
      </c>
      <c r="E978" s="37" t="s">
        <v>97</v>
      </c>
      <c r="F978" s="37" t="s">
        <v>110</v>
      </c>
      <c r="G978" s="37" t="s">
        <v>90</v>
      </c>
      <c r="H978" s="37" t="n">
        <v>1</v>
      </c>
      <c r="I978" s="43" t="n">
        <v>1299</v>
      </c>
      <c r="J978" s="40" t="n">
        <v>0</v>
      </c>
    </row>
    <row r="979" customFormat="false" ht="15" hidden="false" customHeight="false" outlineLevel="0" collapsed="false">
      <c r="A979" s="37" t="s">
        <v>1111</v>
      </c>
      <c r="B979" s="42" t="n">
        <v>46011</v>
      </c>
      <c r="C979" s="37" t="s">
        <v>134</v>
      </c>
      <c r="D979" s="37" t="s">
        <v>45</v>
      </c>
      <c r="E979" s="37" t="s">
        <v>96</v>
      </c>
      <c r="F979" s="37" t="s">
        <v>112</v>
      </c>
      <c r="G979" s="37" t="s">
        <v>92</v>
      </c>
      <c r="H979" s="37" t="n">
        <v>2</v>
      </c>
      <c r="I979" s="43" t="n">
        <v>3299</v>
      </c>
      <c r="J979" s="40" t="n">
        <v>0.15</v>
      </c>
    </row>
    <row r="980" customFormat="false" ht="15" hidden="false" customHeight="false" outlineLevel="0" collapsed="false">
      <c r="A980" s="37" t="s">
        <v>1112</v>
      </c>
      <c r="B980" s="42" t="n">
        <v>45994</v>
      </c>
      <c r="C980" s="37" t="s">
        <v>1194</v>
      </c>
      <c r="D980" s="37" t="s">
        <v>47</v>
      </c>
      <c r="E980" s="37" t="s">
        <v>96</v>
      </c>
      <c r="F980" s="37" t="s">
        <v>109</v>
      </c>
      <c r="G980" s="37" t="s">
        <v>90</v>
      </c>
      <c r="H980" s="37" t="n">
        <v>2</v>
      </c>
      <c r="I980" s="43" t="n">
        <v>3499</v>
      </c>
      <c r="J980" s="40" t="n">
        <v>0.2</v>
      </c>
    </row>
    <row r="981" customFormat="false" ht="15" hidden="false" customHeight="false" outlineLevel="0" collapsed="false">
      <c r="A981" s="37" t="s">
        <v>1113</v>
      </c>
      <c r="B981" s="42" t="n">
        <v>46014</v>
      </c>
      <c r="C981" s="37" t="s">
        <v>144</v>
      </c>
      <c r="D981" s="37" t="s">
        <v>45</v>
      </c>
      <c r="E981" s="37" t="s">
        <v>96</v>
      </c>
      <c r="F981" s="37" t="s">
        <v>122</v>
      </c>
      <c r="G981" s="37" t="s">
        <v>93</v>
      </c>
      <c r="H981" s="37" t="n">
        <v>1</v>
      </c>
      <c r="I981" s="43" t="n">
        <v>1799</v>
      </c>
      <c r="J981" s="40" t="n">
        <v>0.05</v>
      </c>
    </row>
    <row r="982" customFormat="false" ht="15" hidden="false" customHeight="false" outlineLevel="0" collapsed="false">
      <c r="A982" s="37" t="s">
        <v>1114</v>
      </c>
      <c r="B982" s="42" t="n">
        <v>46010</v>
      </c>
      <c r="C982" s="37" t="s">
        <v>169</v>
      </c>
      <c r="D982" s="37" t="s">
        <v>44</v>
      </c>
      <c r="E982" s="37" t="s">
        <v>1148</v>
      </c>
      <c r="F982" s="37" t="s">
        <v>111</v>
      </c>
      <c r="G982" s="37" t="s">
        <v>90</v>
      </c>
      <c r="H982" s="37" t="n">
        <v>2</v>
      </c>
      <c r="I982" s="43" t="n">
        <v>2499</v>
      </c>
      <c r="J982" s="40" t="n">
        <v>0.15</v>
      </c>
    </row>
    <row r="983" customFormat="false" ht="15" hidden="false" customHeight="false" outlineLevel="0" collapsed="false">
      <c r="A983" s="37" t="s">
        <v>1115</v>
      </c>
      <c r="B983" s="42" t="n">
        <v>46004</v>
      </c>
      <c r="C983" s="37" t="s">
        <v>154</v>
      </c>
      <c r="D983" s="37" t="s">
        <v>47</v>
      </c>
      <c r="E983" s="37" t="s">
        <v>96</v>
      </c>
      <c r="F983" s="37" t="s">
        <v>110</v>
      </c>
      <c r="G983" s="37" t="s">
        <v>90</v>
      </c>
      <c r="H983" s="37" t="n">
        <v>1</v>
      </c>
      <c r="I983" s="43" t="n">
        <v>1299</v>
      </c>
      <c r="J983" s="40" t="n">
        <v>0.15</v>
      </c>
    </row>
    <row r="984" customFormat="false" ht="15" hidden="false" customHeight="false" outlineLevel="0" collapsed="false">
      <c r="A984" s="37" t="s">
        <v>1116</v>
      </c>
      <c r="B984" s="42" t="n">
        <v>46016</v>
      </c>
      <c r="C984" s="37" t="s">
        <v>144</v>
      </c>
      <c r="D984" s="37" t="s">
        <v>45</v>
      </c>
      <c r="E984" s="37" t="s">
        <v>96</v>
      </c>
      <c r="F984" s="37" t="s">
        <v>112</v>
      </c>
      <c r="G984" s="37" t="s">
        <v>92</v>
      </c>
      <c r="H984" s="37" t="n">
        <v>1</v>
      </c>
      <c r="I984" s="43" t="n">
        <v>3299</v>
      </c>
      <c r="J984" s="40" t="n">
        <v>0.1</v>
      </c>
    </row>
    <row r="985" customFormat="false" ht="15" hidden="false" customHeight="false" outlineLevel="0" collapsed="false">
      <c r="A985" s="37" t="s">
        <v>1117</v>
      </c>
      <c r="B985" s="42" t="n">
        <v>46006</v>
      </c>
      <c r="C985" s="37" t="s">
        <v>138</v>
      </c>
      <c r="D985" s="37" t="s">
        <v>46</v>
      </c>
      <c r="E985" s="37" t="s">
        <v>97</v>
      </c>
      <c r="F985" s="37" t="s">
        <v>119</v>
      </c>
      <c r="G985" s="37" t="s">
        <v>91</v>
      </c>
      <c r="H985" s="37" t="n">
        <v>3</v>
      </c>
      <c r="I985" s="43" t="n">
        <v>1099</v>
      </c>
      <c r="J985" s="40" t="n">
        <v>0</v>
      </c>
    </row>
    <row r="986" customFormat="false" ht="15" hidden="false" customHeight="false" outlineLevel="0" collapsed="false">
      <c r="A986" s="37" t="s">
        <v>1118</v>
      </c>
      <c r="B986" s="42" t="n">
        <v>46006</v>
      </c>
      <c r="C986" s="37" t="s">
        <v>138</v>
      </c>
      <c r="D986" s="37" t="s">
        <v>46</v>
      </c>
      <c r="E986" s="37" t="s">
        <v>96</v>
      </c>
      <c r="F986" s="37" t="s">
        <v>115</v>
      </c>
      <c r="G986" s="37" t="s">
        <v>92</v>
      </c>
      <c r="H986" s="37" t="n">
        <v>3</v>
      </c>
      <c r="I986" s="43" t="n">
        <v>1799</v>
      </c>
      <c r="J986" s="40" t="n">
        <v>0.15</v>
      </c>
    </row>
    <row r="987" customFormat="false" ht="15" hidden="false" customHeight="false" outlineLevel="0" collapsed="false">
      <c r="A987" s="37" t="s">
        <v>1119</v>
      </c>
      <c r="B987" s="42" t="n">
        <v>46021</v>
      </c>
      <c r="C987" s="37" t="s">
        <v>142</v>
      </c>
      <c r="D987" s="37" t="s">
        <v>47</v>
      </c>
      <c r="E987" s="37" t="s">
        <v>97</v>
      </c>
      <c r="F987" s="37" t="s">
        <v>112</v>
      </c>
      <c r="G987" s="37" t="s">
        <v>92</v>
      </c>
      <c r="H987" s="37" t="n">
        <v>1</v>
      </c>
      <c r="I987" s="43" t="n">
        <v>3299</v>
      </c>
      <c r="J987" s="40" t="n">
        <v>0</v>
      </c>
    </row>
    <row r="988" customFormat="false" ht="15" hidden="false" customHeight="false" outlineLevel="0" collapsed="false">
      <c r="A988" s="37" t="s">
        <v>1120</v>
      </c>
      <c r="B988" s="42" t="n">
        <v>46015</v>
      </c>
      <c r="C988" s="37" t="s">
        <v>166</v>
      </c>
      <c r="D988" s="37" t="s">
        <v>44</v>
      </c>
      <c r="E988" s="37" t="s">
        <v>96</v>
      </c>
      <c r="F988" s="37" t="s">
        <v>118</v>
      </c>
      <c r="G988" s="37" t="s">
        <v>91</v>
      </c>
      <c r="H988" s="37" t="n">
        <v>1</v>
      </c>
      <c r="I988" s="43" t="n">
        <v>2299</v>
      </c>
      <c r="J988" s="40" t="n">
        <v>0.1</v>
      </c>
    </row>
    <row r="989" customFormat="false" ht="15" hidden="false" customHeight="false" outlineLevel="0" collapsed="false">
      <c r="A989" s="37" t="s">
        <v>1121</v>
      </c>
      <c r="B989" s="42" t="n">
        <v>46013</v>
      </c>
      <c r="C989" s="37" t="s">
        <v>166</v>
      </c>
      <c r="D989" s="37" t="s">
        <v>44</v>
      </c>
      <c r="E989" s="37" t="s">
        <v>96</v>
      </c>
      <c r="F989" s="37" t="s">
        <v>117</v>
      </c>
      <c r="G989" s="37" t="s">
        <v>91</v>
      </c>
      <c r="H989" s="37" t="n">
        <v>3</v>
      </c>
      <c r="I989" s="43" t="n">
        <v>1499</v>
      </c>
      <c r="J989" s="40" t="n">
        <v>0.2</v>
      </c>
    </row>
    <row r="990" customFormat="false" ht="15" hidden="false" customHeight="false" outlineLevel="0" collapsed="false">
      <c r="A990" s="37" t="s">
        <v>1122</v>
      </c>
      <c r="B990" s="42" t="n">
        <v>45993</v>
      </c>
      <c r="C990" s="37" t="s">
        <v>166</v>
      </c>
      <c r="D990" s="37" t="s">
        <v>44</v>
      </c>
      <c r="E990" s="37" t="s">
        <v>96</v>
      </c>
      <c r="F990" s="37" t="s">
        <v>115</v>
      </c>
      <c r="G990" s="37" t="s">
        <v>92</v>
      </c>
      <c r="H990" s="37" t="n">
        <v>1</v>
      </c>
      <c r="I990" s="43" t="n">
        <v>1799</v>
      </c>
      <c r="J990" s="40" t="n">
        <v>0.15</v>
      </c>
    </row>
    <row r="991" customFormat="false" ht="15" hidden="false" customHeight="false" outlineLevel="0" collapsed="false">
      <c r="A991" s="37" t="s">
        <v>1123</v>
      </c>
      <c r="B991" s="42" t="n">
        <v>46000</v>
      </c>
      <c r="C991" s="37" t="s">
        <v>154</v>
      </c>
      <c r="D991" s="37" t="s">
        <v>47</v>
      </c>
      <c r="E991" s="37" t="s">
        <v>96</v>
      </c>
      <c r="F991" s="37" t="s">
        <v>119</v>
      </c>
      <c r="G991" s="37" t="s">
        <v>91</v>
      </c>
      <c r="H991" s="37" t="n">
        <v>2</v>
      </c>
      <c r="I991" s="43" t="n">
        <v>1099</v>
      </c>
      <c r="J991" s="40" t="n">
        <v>0.25</v>
      </c>
    </row>
    <row r="992" customFormat="false" ht="15" hidden="false" customHeight="false" outlineLevel="0" collapsed="false">
      <c r="A992" s="37" t="s">
        <v>1124</v>
      </c>
      <c r="B992" s="37" t="s">
        <v>1195</v>
      </c>
      <c r="C992" s="37" t="s">
        <v>169</v>
      </c>
      <c r="D992" s="37" t="s">
        <v>44</v>
      </c>
      <c r="E992" s="37" t="s">
        <v>96</v>
      </c>
      <c r="F992" s="37" t="s">
        <v>119</v>
      </c>
      <c r="G992" s="37" t="s">
        <v>91</v>
      </c>
      <c r="H992" s="37" t="n">
        <v>1</v>
      </c>
      <c r="I992" s="43" t="n">
        <v>1099</v>
      </c>
      <c r="J992" s="40" t="n">
        <v>0.05</v>
      </c>
    </row>
    <row r="993" customFormat="false" ht="15" hidden="false" customHeight="false" outlineLevel="0" collapsed="false">
      <c r="A993" s="37" t="s">
        <v>1125</v>
      </c>
      <c r="B993" s="42" t="n">
        <v>46019</v>
      </c>
      <c r="C993" s="37" t="s">
        <v>142</v>
      </c>
      <c r="D993" s="37" t="s">
        <v>47</v>
      </c>
      <c r="E993" s="37" t="s">
        <v>96</v>
      </c>
      <c r="F993" s="37" t="s">
        <v>115</v>
      </c>
      <c r="G993" s="37" t="s">
        <v>92</v>
      </c>
      <c r="H993" s="37" t="n">
        <v>1</v>
      </c>
      <c r="I993" s="43" t="n">
        <v>1799</v>
      </c>
      <c r="J993" s="40" t="n">
        <v>0.15</v>
      </c>
    </row>
    <row r="994" customFormat="false" ht="15" hidden="false" customHeight="false" outlineLevel="0" collapsed="false">
      <c r="A994" s="37" t="s">
        <v>1126</v>
      </c>
      <c r="B994" s="42" t="n">
        <v>46008</v>
      </c>
      <c r="C994" s="37" t="s">
        <v>172</v>
      </c>
      <c r="D994" s="37" t="s">
        <v>46</v>
      </c>
      <c r="E994" s="37" t="s">
        <v>96</v>
      </c>
      <c r="F994" s="37" t="s">
        <v>111</v>
      </c>
      <c r="G994" s="37" t="s">
        <v>90</v>
      </c>
      <c r="H994" s="37" t="n">
        <v>1</v>
      </c>
      <c r="I994" s="43" t="n">
        <v>2499</v>
      </c>
      <c r="J994" s="40" t="n">
        <v>0.1</v>
      </c>
    </row>
    <row r="995" customFormat="false" ht="15" hidden="false" customHeight="false" outlineLevel="0" collapsed="false">
      <c r="A995" s="37" t="s">
        <v>1127</v>
      </c>
      <c r="B995" s="42" t="n">
        <v>46013</v>
      </c>
      <c r="C995" s="37" t="s">
        <v>138</v>
      </c>
      <c r="D995" s="37" t="s">
        <v>46</v>
      </c>
      <c r="E995" s="37" t="s">
        <v>97</v>
      </c>
      <c r="F995" s="37" t="s">
        <v>112</v>
      </c>
      <c r="G995" s="37" t="s">
        <v>92</v>
      </c>
      <c r="H995" s="37" t="n">
        <v>3</v>
      </c>
      <c r="I995" s="43" t="n">
        <v>3299</v>
      </c>
      <c r="J995" s="40" t="n">
        <v>0</v>
      </c>
    </row>
    <row r="996" customFormat="false" ht="15" hidden="false" customHeight="false" outlineLevel="0" collapsed="false">
      <c r="A996" s="37" t="s">
        <v>1128</v>
      </c>
      <c r="B996" s="37" t="s">
        <v>1195</v>
      </c>
      <c r="C996" s="37" t="s">
        <v>169</v>
      </c>
      <c r="D996" s="37" t="s">
        <v>44</v>
      </c>
      <c r="E996" s="37" t="s">
        <v>97</v>
      </c>
      <c r="F996" s="37" t="s">
        <v>119</v>
      </c>
      <c r="G996" s="37" t="s">
        <v>91</v>
      </c>
      <c r="H996" s="37" t="n">
        <v>1</v>
      </c>
      <c r="I996" s="43" t="n">
        <v>1099</v>
      </c>
      <c r="J996" s="40" t="n">
        <v>0</v>
      </c>
    </row>
    <row r="997" customFormat="false" ht="15" hidden="false" customHeight="false" outlineLevel="0" collapsed="false">
      <c r="A997" s="37" t="s">
        <v>1129</v>
      </c>
      <c r="B997" s="42" t="n">
        <v>46017</v>
      </c>
      <c r="C997" s="37" t="s">
        <v>172</v>
      </c>
      <c r="D997" s="37" t="s">
        <v>46</v>
      </c>
      <c r="E997" s="37" t="s">
        <v>1148</v>
      </c>
      <c r="F997" s="37" t="s">
        <v>118</v>
      </c>
      <c r="G997" s="37" t="s">
        <v>91</v>
      </c>
      <c r="H997" s="37" t="n">
        <v>2</v>
      </c>
      <c r="I997" s="43" t="n">
        <v>2299</v>
      </c>
      <c r="J997" s="40" t="n">
        <v>0.05</v>
      </c>
    </row>
    <row r="998" customFormat="false" ht="15" hidden="false" customHeight="false" outlineLevel="0" collapsed="false">
      <c r="A998" s="37" t="s">
        <v>1130</v>
      </c>
      <c r="B998" s="42" t="n">
        <v>46012</v>
      </c>
      <c r="C998" s="37" t="s">
        <v>142</v>
      </c>
      <c r="D998" s="37" t="s">
        <v>47</v>
      </c>
      <c r="E998" s="37" t="s">
        <v>96</v>
      </c>
      <c r="F998" s="37" t="s">
        <v>119</v>
      </c>
      <c r="G998" s="37" t="s">
        <v>91</v>
      </c>
      <c r="H998" s="37" t="n">
        <v>1</v>
      </c>
      <c r="I998" s="43" t="n">
        <v>1099</v>
      </c>
      <c r="J998" s="40" t="n">
        <v>0</v>
      </c>
    </row>
    <row r="999" customFormat="false" ht="15" hidden="false" customHeight="false" outlineLevel="0" collapsed="false">
      <c r="A999" s="37" t="s">
        <v>1131</v>
      </c>
      <c r="B999" s="42" t="n">
        <v>45993</v>
      </c>
      <c r="C999" s="37" t="s">
        <v>166</v>
      </c>
      <c r="D999" s="37" t="s">
        <v>44</v>
      </c>
      <c r="E999" s="37" t="s">
        <v>97</v>
      </c>
      <c r="F999" s="37" t="s">
        <v>117</v>
      </c>
      <c r="G999" s="37" t="s">
        <v>91</v>
      </c>
      <c r="H999" s="37" t="n">
        <v>1</v>
      </c>
      <c r="I999" s="43" t="n">
        <v>1499</v>
      </c>
      <c r="J999" s="40" t="n">
        <v>0</v>
      </c>
    </row>
    <row r="1000" customFormat="false" ht="15" hidden="false" customHeight="false" outlineLevel="0" collapsed="false">
      <c r="A1000" s="37" t="s">
        <v>1132</v>
      </c>
      <c r="B1000" s="42" t="n">
        <v>46011</v>
      </c>
      <c r="C1000" s="37" t="s">
        <v>138</v>
      </c>
      <c r="D1000" s="37" t="s">
        <v>46</v>
      </c>
      <c r="E1000" s="37" t="s">
        <v>96</v>
      </c>
      <c r="F1000" s="37" t="s">
        <v>115</v>
      </c>
      <c r="G1000" s="37" t="s">
        <v>92</v>
      </c>
      <c r="H1000" s="37" t="n">
        <v>2</v>
      </c>
      <c r="I1000" s="43" t="n">
        <v>1799</v>
      </c>
      <c r="J1000" s="40" t="n">
        <v>0.05</v>
      </c>
    </row>
    <row r="1001" customFormat="false" ht="15" hidden="false" customHeight="false" outlineLevel="0" collapsed="false">
      <c r="A1001" s="37" t="s">
        <v>1133</v>
      </c>
      <c r="B1001" s="42" t="n">
        <v>46000</v>
      </c>
      <c r="C1001" s="37" t="s">
        <v>134</v>
      </c>
      <c r="D1001" s="37" t="s">
        <v>45</v>
      </c>
      <c r="E1001" s="37" t="s">
        <v>1156</v>
      </c>
      <c r="F1001" s="37" t="s">
        <v>122</v>
      </c>
      <c r="G1001" s="37" t="s">
        <v>93</v>
      </c>
      <c r="H1001" s="37" t="n">
        <v>1</v>
      </c>
      <c r="I1001" s="43" t="n">
        <v>1799</v>
      </c>
      <c r="J1001" s="40" t="n">
        <v>0.25</v>
      </c>
    </row>
    <row r="1002" customFormat="false" ht="15" hidden="false" customHeight="false" outlineLevel="0" collapsed="false">
      <c r="A1002" s="37" t="s">
        <v>1134</v>
      </c>
      <c r="B1002" s="42" t="n">
        <v>46019</v>
      </c>
      <c r="C1002" s="37" t="s">
        <v>134</v>
      </c>
      <c r="D1002" s="37" t="s">
        <v>45</v>
      </c>
      <c r="E1002" s="37" t="s">
        <v>96</v>
      </c>
      <c r="F1002" s="37" t="s">
        <v>115</v>
      </c>
      <c r="G1002" s="37" t="s">
        <v>92</v>
      </c>
      <c r="H1002" s="37" t="n">
        <v>2</v>
      </c>
      <c r="I1002" s="43" t="n">
        <v>1799</v>
      </c>
      <c r="J1002" s="40" t="n">
        <v>0.25</v>
      </c>
    </row>
    <row r="1003" customFormat="false" ht="15" hidden="false" customHeight="false" outlineLevel="0" collapsed="false">
      <c r="A1003" s="37" t="s">
        <v>1135</v>
      </c>
      <c r="B1003" s="42" t="n">
        <v>46021</v>
      </c>
      <c r="C1003" s="37" t="s">
        <v>160</v>
      </c>
      <c r="D1003" s="37" t="s">
        <v>46</v>
      </c>
      <c r="E1003" s="37" t="s">
        <v>96</v>
      </c>
      <c r="F1003" s="37" t="s">
        <v>123</v>
      </c>
      <c r="G1003" s="37" t="s">
        <v>93</v>
      </c>
      <c r="H1003" s="37" t="n">
        <v>1</v>
      </c>
      <c r="I1003" s="43" t="n">
        <v>1299</v>
      </c>
      <c r="J1003" s="40" t="n">
        <v>0.2</v>
      </c>
    </row>
    <row r="1004" customFormat="false" ht="15" hidden="false" customHeight="false" outlineLevel="0" collapsed="false">
      <c r="A1004" s="37" t="s">
        <v>1136</v>
      </c>
      <c r="B1004" s="42" t="n">
        <v>46019</v>
      </c>
      <c r="C1004" s="37" t="s">
        <v>134</v>
      </c>
      <c r="D1004" s="37" t="s">
        <v>45</v>
      </c>
      <c r="E1004" s="37" t="s">
        <v>96</v>
      </c>
      <c r="F1004" s="37" t="s">
        <v>114</v>
      </c>
      <c r="G1004" s="37" t="s">
        <v>92</v>
      </c>
      <c r="H1004" s="37" t="n">
        <v>1</v>
      </c>
      <c r="I1004" s="43" t="n">
        <v>1199</v>
      </c>
      <c r="J1004" s="40" t="n">
        <v>0</v>
      </c>
    </row>
    <row r="1005" customFormat="false" ht="15" hidden="false" customHeight="false" outlineLevel="0" collapsed="false">
      <c r="A1005" s="37" t="s">
        <v>1137</v>
      </c>
      <c r="B1005" s="42" t="n">
        <v>46022</v>
      </c>
      <c r="C1005" s="37" t="s">
        <v>138</v>
      </c>
      <c r="D1005" s="37" t="s">
        <v>46</v>
      </c>
      <c r="E1005" s="37" t="s">
        <v>96</v>
      </c>
      <c r="F1005" s="37" t="s">
        <v>108</v>
      </c>
      <c r="G1005" s="37" t="s">
        <v>90</v>
      </c>
      <c r="H1005" s="37" t="n">
        <v>1</v>
      </c>
      <c r="I1005" s="43" t="n">
        <v>1999</v>
      </c>
      <c r="J1005" s="40" t="n">
        <v>0.05</v>
      </c>
    </row>
    <row r="1006" customFormat="false" ht="15" hidden="false" customHeight="false" outlineLevel="0" collapsed="false">
      <c r="A1006" s="37" t="s">
        <v>1138</v>
      </c>
      <c r="B1006" s="42" t="n">
        <v>45999</v>
      </c>
      <c r="C1006" s="37" t="s">
        <v>154</v>
      </c>
      <c r="D1006" s="37" t="s">
        <v>47</v>
      </c>
      <c r="E1006" s="37" t="s">
        <v>97</v>
      </c>
      <c r="F1006" s="37" t="s">
        <v>115</v>
      </c>
      <c r="G1006" s="37" t="s">
        <v>92</v>
      </c>
      <c r="H1006" s="37" t="n">
        <v>3</v>
      </c>
      <c r="I1006" s="43" t="n">
        <v>1799</v>
      </c>
      <c r="J1006" s="40" t="n">
        <v>0</v>
      </c>
    </row>
    <row r="1007" customFormat="false" ht="15" hidden="false" customHeight="false" outlineLevel="0" collapsed="false">
      <c r="A1007" s="37" t="s">
        <v>1139</v>
      </c>
      <c r="B1007" s="42" t="n">
        <v>45998</v>
      </c>
      <c r="C1007" s="37" t="s">
        <v>166</v>
      </c>
      <c r="D1007" s="37" t="s">
        <v>44</v>
      </c>
      <c r="E1007" s="37" t="s">
        <v>96</v>
      </c>
      <c r="F1007" s="37" t="s">
        <v>123</v>
      </c>
      <c r="G1007" s="37" t="s">
        <v>93</v>
      </c>
      <c r="H1007" s="37" t="n">
        <v>1</v>
      </c>
      <c r="I1007" s="43" t="n">
        <v>1299</v>
      </c>
      <c r="J1007" s="40" t="n">
        <v>0.2</v>
      </c>
    </row>
    <row r="1008" customFormat="false" ht="15" hidden="false" customHeight="false" outlineLevel="0" collapsed="false">
      <c r="A1008" s="37" t="s">
        <v>1140</v>
      </c>
      <c r="B1008" s="42" t="n">
        <v>46003</v>
      </c>
      <c r="C1008" s="37" t="s">
        <v>142</v>
      </c>
      <c r="D1008" s="37" t="s">
        <v>47</v>
      </c>
      <c r="E1008" s="37" t="s">
        <v>96</v>
      </c>
      <c r="F1008" s="37" t="s">
        <v>116</v>
      </c>
      <c r="G1008" s="37" t="s">
        <v>91</v>
      </c>
      <c r="H1008" s="37" t="n">
        <v>1</v>
      </c>
      <c r="I1008" s="43" t="n">
        <v>899</v>
      </c>
      <c r="J1008" s="40" t="n">
        <v>0.1</v>
      </c>
    </row>
    <row r="1009" customFormat="false" ht="15" hidden="false" customHeight="false" outlineLevel="0" collapsed="false">
      <c r="A1009" s="37" t="s">
        <v>1141</v>
      </c>
      <c r="B1009" s="42" t="n">
        <v>45996</v>
      </c>
      <c r="C1009" s="37" t="s">
        <v>169</v>
      </c>
      <c r="D1009" s="37" t="s">
        <v>44</v>
      </c>
      <c r="E1009" s="37" t="s">
        <v>97</v>
      </c>
      <c r="F1009" s="37" t="s">
        <v>114</v>
      </c>
      <c r="G1009" s="37" t="s">
        <v>92</v>
      </c>
      <c r="H1009" s="37" t="n">
        <v>2</v>
      </c>
      <c r="I1009" s="43" t="n">
        <v>1199</v>
      </c>
      <c r="J1009" s="40" t="n">
        <v>0.05</v>
      </c>
    </row>
    <row r="1010" customFormat="false" ht="15" hidden="false" customHeight="false" outlineLevel="0" collapsed="false">
      <c r="A1010" s="37" t="s">
        <v>1142</v>
      </c>
      <c r="B1010" s="42" t="n">
        <v>46015</v>
      </c>
      <c r="C1010" s="37" t="s">
        <v>138</v>
      </c>
      <c r="D1010" s="37" t="s">
        <v>46</v>
      </c>
      <c r="E1010" s="37" t="s">
        <v>96</v>
      </c>
      <c r="F1010" s="37" t="s">
        <v>116</v>
      </c>
      <c r="G1010" s="37" t="s">
        <v>91</v>
      </c>
      <c r="H1010" s="37" t="n">
        <v>1</v>
      </c>
      <c r="I1010" s="43" t="n">
        <v>899</v>
      </c>
      <c r="J1010" s="40" t="n">
        <v>0.1</v>
      </c>
    </row>
    <row r="1011" customFormat="false" ht="15" hidden="false" customHeight="false" outlineLevel="0" collapsed="false">
      <c r="A1011" s="37" t="s">
        <v>1143</v>
      </c>
      <c r="B1011" s="42" t="n">
        <v>46012</v>
      </c>
      <c r="C1011" s="37" t="s">
        <v>146</v>
      </c>
      <c r="D1011" s="37" t="s">
        <v>45</v>
      </c>
      <c r="E1011" s="37" t="s">
        <v>96</v>
      </c>
      <c r="F1011" s="37" t="s">
        <v>110</v>
      </c>
      <c r="G1011" s="37" t="s">
        <v>90</v>
      </c>
      <c r="H1011" s="37" t="n">
        <v>2</v>
      </c>
      <c r="I1011" s="43" t="n">
        <v>1299</v>
      </c>
      <c r="J1011" s="40" t="n">
        <v>0.15</v>
      </c>
    </row>
    <row r="1012" customFormat="false" ht="15" hidden="false" customHeight="false" outlineLevel="0" collapsed="false">
      <c r="A1012" s="37" t="s">
        <v>1144</v>
      </c>
      <c r="B1012" s="42" t="n">
        <v>46012</v>
      </c>
      <c r="C1012" s="37" t="s">
        <v>136</v>
      </c>
      <c r="D1012" s="37" t="s">
        <v>47</v>
      </c>
      <c r="E1012" s="37" t="s">
        <v>97</v>
      </c>
      <c r="F1012" s="37" t="s">
        <v>113</v>
      </c>
      <c r="G1012" s="37" t="s">
        <v>92</v>
      </c>
      <c r="H1012" s="37" t="n">
        <v>1</v>
      </c>
      <c r="I1012" s="43" t="n">
        <v>2199</v>
      </c>
      <c r="J1012" s="40" t="n">
        <v>0</v>
      </c>
    </row>
    <row r="1013" customFormat="false" ht="15" hidden="false" customHeight="false" outlineLevel="0" collapsed="false">
      <c r="A1013" s="37" t="s">
        <v>1145</v>
      </c>
      <c r="B1013" s="42" t="n">
        <v>45994</v>
      </c>
      <c r="C1013" s="37" t="s">
        <v>138</v>
      </c>
      <c r="D1013" s="37" t="s">
        <v>46</v>
      </c>
      <c r="E1013" s="37" t="s">
        <v>96</v>
      </c>
      <c r="F1013" s="37" t="s">
        <v>116</v>
      </c>
      <c r="G1013" s="37" t="s">
        <v>91</v>
      </c>
      <c r="H1013" s="37" t="n">
        <v>1</v>
      </c>
      <c r="I1013" s="43" t="n">
        <v>899</v>
      </c>
      <c r="J1013" s="40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15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33" t="s">
        <v>1196</v>
      </c>
    </row>
    <row r="2" customFormat="false" ht="15" hidden="false" customHeight="false" outlineLevel="0" collapsed="false">
      <c r="A2" s="21" t="s">
        <v>107</v>
      </c>
      <c r="B2" s="21" t="s">
        <v>71</v>
      </c>
      <c r="C2" s="21" t="s">
        <v>1197</v>
      </c>
      <c r="D2" s="21" t="s">
        <v>1198</v>
      </c>
      <c r="E2" s="21" t="s">
        <v>1199</v>
      </c>
    </row>
    <row r="3" customFormat="false" ht="15" hidden="false" customHeight="false" outlineLevel="0" collapsed="false">
      <c r="A3" s="34" t="s">
        <v>108</v>
      </c>
      <c r="B3" s="34" t="s">
        <v>90</v>
      </c>
      <c r="C3" s="44" t="n">
        <v>1999</v>
      </c>
      <c r="D3" s="44" t="n">
        <v>1560</v>
      </c>
      <c r="E3" s="24" t="n">
        <f aca="false">(C3-D3)/C3</f>
        <v>0.219609804902451</v>
      </c>
    </row>
    <row r="4" customFormat="false" ht="15" hidden="false" customHeight="false" outlineLevel="0" collapsed="false">
      <c r="A4" s="34" t="s">
        <v>109</v>
      </c>
      <c r="B4" s="34" t="s">
        <v>90</v>
      </c>
      <c r="C4" s="44" t="n">
        <v>3499</v>
      </c>
      <c r="D4" s="44" t="n">
        <v>2750</v>
      </c>
      <c r="E4" s="24" t="n">
        <f aca="false">(C4-D4)/C4</f>
        <v>0.214061160331523</v>
      </c>
    </row>
    <row r="5" customFormat="false" ht="15" hidden="false" customHeight="false" outlineLevel="0" collapsed="false">
      <c r="A5" s="34" t="s">
        <v>110</v>
      </c>
      <c r="B5" s="34" t="s">
        <v>90</v>
      </c>
      <c r="C5" s="44" t="n">
        <v>1299</v>
      </c>
      <c r="D5" s="44" t="n">
        <v>1000</v>
      </c>
      <c r="E5" s="24" t="n">
        <f aca="false">(C5-D5)/C5</f>
        <v>0.230177059276366</v>
      </c>
    </row>
    <row r="6" customFormat="false" ht="15" hidden="false" customHeight="false" outlineLevel="0" collapsed="false">
      <c r="A6" s="34" t="s">
        <v>111</v>
      </c>
      <c r="B6" s="34" t="s">
        <v>90</v>
      </c>
      <c r="C6" s="44" t="n">
        <v>2499</v>
      </c>
      <c r="D6" s="44" t="n">
        <v>1950</v>
      </c>
      <c r="E6" s="24" t="n">
        <f aca="false">(C6-D6)/C6</f>
        <v>0.21968787515006</v>
      </c>
    </row>
    <row r="7" customFormat="false" ht="15" hidden="false" customHeight="false" outlineLevel="0" collapsed="false">
      <c r="A7" s="34" t="s">
        <v>112</v>
      </c>
      <c r="B7" s="34" t="s">
        <v>92</v>
      </c>
      <c r="C7" s="44" t="n">
        <v>3299</v>
      </c>
      <c r="D7" s="44" t="n">
        <v>2250</v>
      </c>
      <c r="E7" s="24" t="n">
        <f aca="false">(C7-D7)/C7</f>
        <v>0.317975143983025</v>
      </c>
    </row>
    <row r="8" customFormat="false" ht="15" hidden="false" customHeight="false" outlineLevel="0" collapsed="false">
      <c r="A8" s="34" t="s">
        <v>113</v>
      </c>
      <c r="B8" s="34" t="s">
        <v>92</v>
      </c>
      <c r="C8" s="44" t="n">
        <v>2199</v>
      </c>
      <c r="D8" s="44" t="n">
        <v>1400</v>
      </c>
      <c r="E8" s="24" t="n">
        <f aca="false">(C8-D8)/C8</f>
        <v>0.363346975898136</v>
      </c>
    </row>
    <row r="9" customFormat="false" ht="15" hidden="false" customHeight="false" outlineLevel="0" collapsed="false">
      <c r="A9" s="34" t="s">
        <v>114</v>
      </c>
      <c r="B9" s="34" t="s">
        <v>92</v>
      </c>
      <c r="C9" s="44" t="n">
        <v>1199</v>
      </c>
      <c r="D9" s="44" t="n">
        <v>780</v>
      </c>
      <c r="E9" s="24" t="n">
        <f aca="false">(C9-D9)/C9</f>
        <v>0.349457881567973</v>
      </c>
    </row>
    <row r="10" customFormat="false" ht="15" hidden="false" customHeight="false" outlineLevel="0" collapsed="false">
      <c r="A10" s="34" t="s">
        <v>115</v>
      </c>
      <c r="B10" s="34" t="s">
        <v>92</v>
      </c>
      <c r="C10" s="44" t="n">
        <v>1799</v>
      </c>
      <c r="D10" s="44" t="n">
        <v>1150</v>
      </c>
      <c r="E10" s="24" t="n">
        <f aca="false">(C10-D10)/C10</f>
        <v>0.360755975541968</v>
      </c>
    </row>
    <row r="11" customFormat="false" ht="15" hidden="false" customHeight="false" outlineLevel="0" collapsed="false">
      <c r="A11" s="34" t="s">
        <v>116</v>
      </c>
      <c r="B11" s="34" t="s">
        <v>91</v>
      </c>
      <c r="C11" s="44" t="n">
        <v>899</v>
      </c>
      <c r="D11" s="44" t="n">
        <v>430</v>
      </c>
      <c r="E11" s="24" t="n">
        <f aca="false">(C11-D11)/C11</f>
        <v>0.521690767519466</v>
      </c>
    </row>
    <row r="12" customFormat="false" ht="15" hidden="false" customHeight="false" outlineLevel="0" collapsed="false">
      <c r="A12" s="34" t="s">
        <v>117</v>
      </c>
      <c r="B12" s="34" t="s">
        <v>91</v>
      </c>
      <c r="C12" s="44" t="n">
        <v>1499</v>
      </c>
      <c r="D12" s="44" t="n">
        <v>780</v>
      </c>
      <c r="E12" s="24" t="n">
        <f aca="false">(C12-D12)/C12</f>
        <v>0.479653102068045</v>
      </c>
    </row>
    <row r="13" customFormat="false" ht="15" hidden="false" customHeight="false" outlineLevel="0" collapsed="false">
      <c r="A13" s="34" t="s">
        <v>118</v>
      </c>
      <c r="B13" s="34" t="s">
        <v>91</v>
      </c>
      <c r="C13" s="44" t="n">
        <v>2299</v>
      </c>
      <c r="D13" s="44" t="n">
        <v>1300</v>
      </c>
      <c r="E13" s="24" t="n">
        <f aca="false">(C13-D13)/C13</f>
        <v>0.434536755110918</v>
      </c>
    </row>
    <row r="14" customFormat="false" ht="15" hidden="false" customHeight="false" outlineLevel="0" collapsed="false">
      <c r="A14" s="34" t="s">
        <v>119</v>
      </c>
      <c r="B14" s="34" t="s">
        <v>91</v>
      </c>
      <c r="C14" s="44" t="n">
        <v>1099</v>
      </c>
      <c r="D14" s="44" t="n">
        <v>560</v>
      </c>
      <c r="E14" s="24" t="n">
        <f aca="false">(C14-D14)/C14</f>
        <v>0.490445859872611</v>
      </c>
    </row>
    <row r="15" customFormat="false" ht="15" hidden="false" customHeight="false" outlineLevel="0" collapsed="false">
      <c r="A15" s="34" t="s">
        <v>120</v>
      </c>
      <c r="B15" s="34" t="s">
        <v>93</v>
      </c>
      <c r="C15" s="44" t="n">
        <v>449</v>
      </c>
      <c r="D15" s="44" t="n">
        <v>240</v>
      </c>
      <c r="E15" s="24" t="n">
        <f aca="false">(C15-D15)/C15</f>
        <v>0.465478841870824</v>
      </c>
    </row>
    <row r="16" customFormat="false" ht="15" hidden="false" customHeight="false" outlineLevel="0" collapsed="false">
      <c r="A16" s="34" t="s">
        <v>121</v>
      </c>
      <c r="B16" s="34" t="s">
        <v>93</v>
      </c>
      <c r="C16" s="44" t="n">
        <v>999</v>
      </c>
      <c r="D16" s="44" t="n">
        <v>500</v>
      </c>
      <c r="E16" s="24" t="n">
        <f aca="false">(C16-D16)/C16</f>
        <v>0.4994994994995</v>
      </c>
    </row>
    <row r="17" customFormat="false" ht="15" hidden="false" customHeight="false" outlineLevel="0" collapsed="false">
      <c r="A17" s="34" t="s">
        <v>122</v>
      </c>
      <c r="B17" s="34" t="s">
        <v>93</v>
      </c>
      <c r="C17" s="44" t="n">
        <v>1799</v>
      </c>
      <c r="D17" s="44" t="n">
        <v>1250</v>
      </c>
      <c r="E17" s="24" t="n">
        <f aca="false">(C17-D17)/C17</f>
        <v>0.305169538632574</v>
      </c>
    </row>
    <row r="18" customFormat="false" ht="15" hidden="false" customHeight="false" outlineLevel="0" collapsed="false">
      <c r="A18" s="34" t="s">
        <v>123</v>
      </c>
      <c r="B18" s="34" t="s">
        <v>93</v>
      </c>
      <c r="C18" s="44" t="n">
        <v>1299</v>
      </c>
      <c r="D18" s="44" t="n">
        <v>700</v>
      </c>
      <c r="E18" s="24" t="n">
        <f aca="false">(C18-D18)/C18</f>
        <v>0.461123941493457</v>
      </c>
    </row>
    <row r="20" customFormat="false" ht="15" hidden="false" customHeight="false" outlineLevel="0" collapsed="false">
      <c r="A20" s="17" t="s">
        <v>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3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33" t="s">
        <v>1201</v>
      </c>
    </row>
    <row r="2" customFormat="false" ht="15" hidden="false" customHeight="false" outlineLevel="0" collapsed="false">
      <c r="A2" s="17" t="s">
        <v>1202</v>
      </c>
    </row>
    <row r="3" customFormat="false" ht="15" hidden="false" customHeight="false" outlineLevel="0" collapsed="false">
      <c r="A3" s="45" t="s">
        <v>1203</v>
      </c>
      <c r="B3" s="46" t="n">
        <v>0.26</v>
      </c>
    </row>
    <row r="4" customFormat="false" ht="15" hidden="false" customHeight="false" outlineLevel="0" collapsed="false">
      <c r="A4" s="47" t="s">
        <v>1204</v>
      </c>
    </row>
    <row r="5" customFormat="false" ht="15" hidden="false" customHeight="false" outlineLevel="0" collapsed="false">
      <c r="A5" s="21" t="s">
        <v>51</v>
      </c>
      <c r="B5" s="21" t="s">
        <v>44</v>
      </c>
      <c r="C5" s="21" t="s">
        <v>45</v>
      </c>
      <c r="D5" s="21" t="s">
        <v>46</v>
      </c>
      <c r="E5" s="21" t="s">
        <v>47</v>
      </c>
      <c r="F5" s="21" t="s">
        <v>48</v>
      </c>
    </row>
    <row r="6" customFormat="false" ht="15" hidden="false" customHeight="false" outlineLevel="0" collapsed="false">
      <c r="A6" s="22" t="s">
        <v>52</v>
      </c>
      <c r="B6" s="44" t="n">
        <v>48000</v>
      </c>
      <c r="C6" s="44" t="n">
        <v>60000</v>
      </c>
      <c r="D6" s="44" t="n">
        <v>27000</v>
      </c>
      <c r="E6" s="44" t="n">
        <v>58000</v>
      </c>
      <c r="F6" s="48" t="n">
        <f aca="false">SUM(B6:E6)</f>
        <v>193000</v>
      </c>
    </row>
    <row r="7" customFormat="false" ht="15" hidden="false" customHeight="false" outlineLevel="0" collapsed="false">
      <c r="A7" s="22" t="s">
        <v>53</v>
      </c>
      <c r="B7" s="44" t="n">
        <v>45000</v>
      </c>
      <c r="C7" s="44" t="n">
        <v>56000</v>
      </c>
      <c r="D7" s="44" t="n">
        <v>25000</v>
      </c>
      <c r="E7" s="44" t="n">
        <v>54000</v>
      </c>
      <c r="F7" s="48" t="n">
        <f aca="false">SUM(B7:E7)</f>
        <v>180000</v>
      </c>
    </row>
    <row r="8" customFormat="false" ht="15" hidden="false" customHeight="false" outlineLevel="0" collapsed="false">
      <c r="A8" s="22" t="s">
        <v>54</v>
      </c>
      <c r="B8" s="44" t="n">
        <v>52000</v>
      </c>
      <c r="C8" s="44" t="n">
        <v>64000</v>
      </c>
      <c r="D8" s="44" t="n">
        <v>29000</v>
      </c>
      <c r="E8" s="44" t="n">
        <v>62000</v>
      </c>
      <c r="F8" s="48" t="n">
        <f aca="false">SUM(B8:E8)</f>
        <v>207000</v>
      </c>
    </row>
    <row r="9" customFormat="false" ht="15" hidden="false" customHeight="false" outlineLevel="0" collapsed="false">
      <c r="A9" s="22" t="s">
        <v>55</v>
      </c>
      <c r="B9" s="44" t="n">
        <v>47000</v>
      </c>
      <c r="C9" s="44" t="n">
        <v>58000</v>
      </c>
      <c r="D9" s="44" t="n">
        <v>26000</v>
      </c>
      <c r="E9" s="44" t="n">
        <v>56000</v>
      </c>
      <c r="F9" s="48" t="n">
        <f aca="false">SUM(B9:E9)</f>
        <v>187000</v>
      </c>
    </row>
    <row r="10" customFormat="false" ht="15" hidden="false" customHeight="false" outlineLevel="0" collapsed="false">
      <c r="A10" s="22" t="s">
        <v>56</v>
      </c>
      <c r="B10" s="44" t="n">
        <v>48000</v>
      </c>
      <c r="C10" s="44" t="n">
        <v>60000</v>
      </c>
      <c r="D10" s="44" t="n">
        <v>27000</v>
      </c>
      <c r="E10" s="44" t="n">
        <v>58000</v>
      </c>
      <c r="F10" s="48" t="n">
        <f aca="false">SUM(B10:E10)</f>
        <v>193000</v>
      </c>
    </row>
    <row r="11" customFormat="false" ht="15" hidden="false" customHeight="false" outlineLevel="0" collapsed="false">
      <c r="A11" s="22" t="s">
        <v>57</v>
      </c>
      <c r="B11" s="44" t="n">
        <v>52000</v>
      </c>
      <c r="C11" s="44" t="n">
        <v>64000</v>
      </c>
      <c r="D11" s="44" t="n">
        <v>29000</v>
      </c>
      <c r="E11" s="44" t="n">
        <v>62000</v>
      </c>
      <c r="F11" s="48" t="n">
        <f aca="false">SUM(B11:E11)</f>
        <v>207000</v>
      </c>
    </row>
    <row r="12" customFormat="false" ht="15" hidden="false" customHeight="false" outlineLevel="0" collapsed="false">
      <c r="A12" s="22" t="s">
        <v>58</v>
      </c>
      <c r="B12" s="44" t="n">
        <v>48000</v>
      </c>
      <c r="C12" s="44" t="n">
        <v>60000</v>
      </c>
      <c r="D12" s="44" t="n">
        <v>27000</v>
      </c>
      <c r="E12" s="44" t="n">
        <v>58000</v>
      </c>
      <c r="F12" s="48" t="n">
        <f aca="false">SUM(B12:E12)</f>
        <v>193000</v>
      </c>
    </row>
    <row r="13" customFormat="false" ht="15" hidden="false" customHeight="false" outlineLevel="0" collapsed="false">
      <c r="A13" s="22" t="s">
        <v>59</v>
      </c>
      <c r="B13" s="44" t="n">
        <v>59000</v>
      </c>
      <c r="C13" s="44" t="n">
        <v>73000</v>
      </c>
      <c r="D13" s="44" t="n">
        <v>33000</v>
      </c>
      <c r="E13" s="44" t="n">
        <v>70000</v>
      </c>
      <c r="F13" s="48" t="n">
        <f aca="false">SUM(B13:E13)</f>
        <v>235000</v>
      </c>
    </row>
    <row r="14" customFormat="false" ht="15" hidden="false" customHeight="false" outlineLevel="0" collapsed="false">
      <c r="A14" s="22" t="s">
        <v>60</v>
      </c>
      <c r="B14" s="44" t="n">
        <v>59000</v>
      </c>
      <c r="C14" s="44" t="n">
        <v>73000</v>
      </c>
      <c r="D14" s="44" t="n">
        <v>33000</v>
      </c>
      <c r="E14" s="44" t="n">
        <v>70000</v>
      </c>
      <c r="F14" s="48" t="n">
        <f aca="false">SUM(B14:E14)</f>
        <v>235000</v>
      </c>
    </row>
    <row r="15" customFormat="false" ht="15" hidden="false" customHeight="false" outlineLevel="0" collapsed="false">
      <c r="A15" s="22" t="s">
        <v>30</v>
      </c>
      <c r="B15" s="44" t="n">
        <v>83000</v>
      </c>
      <c r="C15" s="44" t="n">
        <v>102000</v>
      </c>
      <c r="D15" s="44" t="n">
        <v>46000</v>
      </c>
      <c r="E15" s="44" t="n">
        <v>99000</v>
      </c>
      <c r="F15" s="48" t="n">
        <f aca="false">SUM(B15:E15)</f>
        <v>330000</v>
      </c>
    </row>
    <row r="16" customFormat="false" ht="15" hidden="false" customHeight="false" outlineLevel="0" collapsed="false">
      <c r="A16" s="22" t="s">
        <v>61</v>
      </c>
      <c r="B16" s="44" t="n">
        <v>79000</v>
      </c>
      <c r="C16" s="44" t="n">
        <v>98000</v>
      </c>
      <c r="D16" s="44" t="n">
        <v>44000</v>
      </c>
      <c r="E16" s="44" t="n">
        <v>95000</v>
      </c>
      <c r="F16" s="48" t="n">
        <f aca="false">SUM(B16:E16)</f>
        <v>316000</v>
      </c>
    </row>
    <row r="17" customFormat="false" ht="15" hidden="false" customHeight="false" outlineLevel="0" collapsed="false">
      <c r="A17" s="22" t="s">
        <v>62</v>
      </c>
      <c r="B17" s="44" t="n">
        <v>56000</v>
      </c>
      <c r="C17" s="44" t="n">
        <v>70000</v>
      </c>
      <c r="D17" s="44" t="n">
        <v>32000</v>
      </c>
      <c r="E17" s="44" t="n">
        <v>68000</v>
      </c>
      <c r="F17" s="48" t="n">
        <f aca="false">SUM(B17:E17)</f>
        <v>226000</v>
      </c>
    </row>
    <row r="18" customFormat="false" ht="15" hidden="false" customHeight="false" outlineLevel="0" collapsed="false">
      <c r="A18" s="26" t="s">
        <v>48</v>
      </c>
      <c r="B18" s="27" t="n">
        <f aca="false">SUM(B6:B17)</f>
        <v>676000</v>
      </c>
      <c r="C18" s="27" t="n">
        <f aca="false">SUM(C6:C17)</f>
        <v>838000</v>
      </c>
      <c r="D18" s="27" t="n">
        <f aca="false">SUM(D6:D17)</f>
        <v>378000</v>
      </c>
      <c r="E18" s="27" t="n">
        <f aca="false">SUM(E6:E17)</f>
        <v>810000</v>
      </c>
      <c r="F18" s="27" t="n">
        <f aca="false">SUM(F6:F17)</f>
        <v>2702000</v>
      </c>
    </row>
    <row r="20" customFormat="false" ht="15" hidden="false" customHeight="false" outlineLevel="0" collapsed="false">
      <c r="A20" s="47" t="s">
        <v>1205</v>
      </c>
    </row>
    <row r="21" customFormat="false" ht="15" hidden="false" customHeight="false" outlineLevel="0" collapsed="false">
      <c r="A21" s="21" t="s">
        <v>51</v>
      </c>
      <c r="B21" s="21" t="s">
        <v>44</v>
      </c>
      <c r="C21" s="21" t="s">
        <v>45</v>
      </c>
      <c r="D21" s="21" t="s">
        <v>46</v>
      </c>
      <c r="E21" s="21" t="s">
        <v>47</v>
      </c>
      <c r="F21" s="21" t="s">
        <v>48</v>
      </c>
    </row>
    <row r="22" customFormat="false" ht="15" hidden="false" customHeight="false" outlineLevel="0" collapsed="false">
      <c r="A22" s="22" t="s">
        <v>52</v>
      </c>
      <c r="B22" s="23" t="n">
        <f aca="false">B6*$B$3</f>
        <v>12480</v>
      </c>
      <c r="C22" s="23" t="n">
        <f aca="false">C6*$B$3</f>
        <v>15600</v>
      </c>
      <c r="D22" s="23" t="n">
        <f aca="false">D6*$B$3</f>
        <v>7020</v>
      </c>
      <c r="E22" s="23" t="n">
        <f aca="false">E6*$B$3</f>
        <v>15080</v>
      </c>
      <c r="F22" s="48" t="n">
        <f aca="false">SUM(B22:E22)</f>
        <v>50180</v>
      </c>
    </row>
    <row r="23" customFormat="false" ht="15" hidden="false" customHeight="false" outlineLevel="0" collapsed="false">
      <c r="A23" s="22" t="s">
        <v>53</v>
      </c>
      <c r="B23" s="23" t="n">
        <f aca="false">B7*$B$3</f>
        <v>11700</v>
      </c>
      <c r="C23" s="23" t="n">
        <f aca="false">C7*$B$3</f>
        <v>14560</v>
      </c>
      <c r="D23" s="23" t="n">
        <f aca="false">D7*$B$3</f>
        <v>6500</v>
      </c>
      <c r="E23" s="23" t="n">
        <f aca="false">E7*$B$3</f>
        <v>14040</v>
      </c>
      <c r="F23" s="48" t="n">
        <f aca="false">SUM(B23:E23)</f>
        <v>46800</v>
      </c>
    </row>
    <row r="24" customFormat="false" ht="15" hidden="false" customHeight="false" outlineLevel="0" collapsed="false">
      <c r="A24" s="22" t="s">
        <v>54</v>
      </c>
      <c r="B24" s="23" t="n">
        <f aca="false">B8*$B$3</f>
        <v>13520</v>
      </c>
      <c r="C24" s="23" t="n">
        <f aca="false">C8*$B$3</f>
        <v>16640</v>
      </c>
      <c r="D24" s="23" t="n">
        <f aca="false">D8*$B$3</f>
        <v>7540</v>
      </c>
      <c r="E24" s="23" t="n">
        <f aca="false">E8*$B$3</f>
        <v>16120</v>
      </c>
      <c r="F24" s="48" t="n">
        <f aca="false">SUM(B24:E24)</f>
        <v>53820</v>
      </c>
    </row>
    <row r="25" customFormat="false" ht="15" hidden="false" customHeight="false" outlineLevel="0" collapsed="false">
      <c r="A25" s="22" t="s">
        <v>55</v>
      </c>
      <c r="B25" s="23" t="n">
        <f aca="false">B9*$B$3</f>
        <v>12220</v>
      </c>
      <c r="C25" s="23" t="n">
        <f aca="false">C9*$B$3</f>
        <v>15080</v>
      </c>
      <c r="D25" s="23" t="n">
        <f aca="false">D9*$B$3</f>
        <v>6760</v>
      </c>
      <c r="E25" s="23" t="n">
        <f aca="false">E9*$B$3</f>
        <v>14560</v>
      </c>
      <c r="F25" s="48" t="n">
        <f aca="false">SUM(B25:E25)</f>
        <v>48620</v>
      </c>
    </row>
    <row r="26" customFormat="false" ht="15" hidden="false" customHeight="false" outlineLevel="0" collapsed="false">
      <c r="A26" s="22" t="s">
        <v>56</v>
      </c>
      <c r="B26" s="23" t="n">
        <f aca="false">B10*$B$3</f>
        <v>12480</v>
      </c>
      <c r="C26" s="23" t="n">
        <f aca="false">C10*$B$3</f>
        <v>15600</v>
      </c>
      <c r="D26" s="23" t="n">
        <f aca="false">D10*$B$3</f>
        <v>7020</v>
      </c>
      <c r="E26" s="23" t="n">
        <f aca="false">E10*$B$3</f>
        <v>15080</v>
      </c>
      <c r="F26" s="48" t="n">
        <f aca="false">SUM(B26:E26)</f>
        <v>50180</v>
      </c>
    </row>
    <row r="27" customFormat="false" ht="15" hidden="false" customHeight="false" outlineLevel="0" collapsed="false">
      <c r="A27" s="22" t="s">
        <v>57</v>
      </c>
      <c r="B27" s="23" t="n">
        <f aca="false">B11*$B$3</f>
        <v>13520</v>
      </c>
      <c r="C27" s="23" t="n">
        <f aca="false">C11*$B$3</f>
        <v>16640</v>
      </c>
      <c r="D27" s="23" t="n">
        <f aca="false">D11*$B$3</f>
        <v>7540</v>
      </c>
      <c r="E27" s="23" t="n">
        <f aca="false">E11*$B$3</f>
        <v>16120</v>
      </c>
      <c r="F27" s="48" t="n">
        <f aca="false">SUM(B27:E27)</f>
        <v>53820</v>
      </c>
    </row>
    <row r="28" customFormat="false" ht="15" hidden="false" customHeight="false" outlineLevel="0" collapsed="false">
      <c r="A28" s="22" t="s">
        <v>58</v>
      </c>
      <c r="B28" s="23" t="n">
        <f aca="false">B12*$B$3</f>
        <v>12480</v>
      </c>
      <c r="C28" s="23" t="n">
        <f aca="false">C12*$B$3</f>
        <v>15600</v>
      </c>
      <c r="D28" s="23" t="n">
        <f aca="false">D12*$B$3</f>
        <v>7020</v>
      </c>
      <c r="E28" s="23" t="n">
        <f aca="false">E12*$B$3</f>
        <v>15080</v>
      </c>
      <c r="F28" s="48" t="n">
        <f aca="false">SUM(B28:E28)</f>
        <v>50180</v>
      </c>
    </row>
    <row r="29" customFormat="false" ht="15" hidden="false" customHeight="false" outlineLevel="0" collapsed="false">
      <c r="A29" s="22" t="s">
        <v>59</v>
      </c>
      <c r="B29" s="23" t="n">
        <f aca="false">B13*$B$3</f>
        <v>15340</v>
      </c>
      <c r="C29" s="23" t="n">
        <f aca="false">C13*$B$3</f>
        <v>18980</v>
      </c>
      <c r="D29" s="23" t="n">
        <f aca="false">D13*$B$3</f>
        <v>8580</v>
      </c>
      <c r="E29" s="23" t="n">
        <f aca="false">E13*$B$3</f>
        <v>18200</v>
      </c>
      <c r="F29" s="48" t="n">
        <f aca="false">SUM(B29:E29)</f>
        <v>61100</v>
      </c>
    </row>
    <row r="30" customFormat="false" ht="15" hidden="false" customHeight="false" outlineLevel="0" collapsed="false">
      <c r="A30" s="22" t="s">
        <v>60</v>
      </c>
      <c r="B30" s="23" t="n">
        <f aca="false">B14*$B$3</f>
        <v>15340</v>
      </c>
      <c r="C30" s="23" t="n">
        <f aca="false">C14*$B$3</f>
        <v>18980</v>
      </c>
      <c r="D30" s="23" t="n">
        <f aca="false">D14*$B$3</f>
        <v>8580</v>
      </c>
      <c r="E30" s="23" t="n">
        <f aca="false">E14*$B$3</f>
        <v>18200</v>
      </c>
      <c r="F30" s="48" t="n">
        <f aca="false">SUM(B30:E30)</f>
        <v>61100</v>
      </c>
    </row>
    <row r="31" customFormat="false" ht="15" hidden="false" customHeight="false" outlineLevel="0" collapsed="false">
      <c r="A31" s="22" t="s">
        <v>30</v>
      </c>
      <c r="B31" s="23" t="n">
        <f aca="false">B15*$B$3</f>
        <v>21580</v>
      </c>
      <c r="C31" s="23" t="n">
        <f aca="false">C15*$B$3</f>
        <v>26520</v>
      </c>
      <c r="D31" s="23" t="n">
        <f aca="false">D15*$B$3</f>
        <v>11960</v>
      </c>
      <c r="E31" s="23" t="n">
        <f aca="false">E15*$B$3</f>
        <v>25740</v>
      </c>
      <c r="F31" s="48" t="n">
        <f aca="false">SUM(B31:E31)</f>
        <v>85800</v>
      </c>
    </row>
    <row r="32" customFormat="false" ht="15" hidden="false" customHeight="false" outlineLevel="0" collapsed="false">
      <c r="A32" s="22" t="s">
        <v>61</v>
      </c>
      <c r="B32" s="23" t="n">
        <f aca="false">B16*$B$3</f>
        <v>20540</v>
      </c>
      <c r="C32" s="23" t="n">
        <f aca="false">C16*$B$3</f>
        <v>25480</v>
      </c>
      <c r="D32" s="23" t="n">
        <f aca="false">D16*$B$3</f>
        <v>11440</v>
      </c>
      <c r="E32" s="23" t="n">
        <f aca="false">E16*$B$3</f>
        <v>24700</v>
      </c>
      <c r="F32" s="48" t="n">
        <f aca="false">SUM(B32:E32)</f>
        <v>82160</v>
      </c>
    </row>
    <row r="33" customFormat="false" ht="15" hidden="false" customHeight="false" outlineLevel="0" collapsed="false">
      <c r="A33" s="22" t="s">
        <v>62</v>
      </c>
      <c r="B33" s="23" t="n">
        <f aca="false">B17*$B$3</f>
        <v>14560</v>
      </c>
      <c r="C33" s="23" t="n">
        <f aca="false">C17*$B$3</f>
        <v>18200</v>
      </c>
      <c r="D33" s="23" t="n">
        <f aca="false">D17*$B$3</f>
        <v>8320</v>
      </c>
      <c r="E33" s="23" t="n">
        <f aca="false">E17*$B$3</f>
        <v>17680</v>
      </c>
      <c r="F33" s="48" t="n">
        <f aca="false">SUM(B33:E33)</f>
        <v>58760</v>
      </c>
    </row>
    <row r="34" customFormat="false" ht="15" hidden="false" customHeight="false" outlineLevel="0" collapsed="false">
      <c r="A34" s="26" t="s">
        <v>48</v>
      </c>
      <c r="B34" s="27" t="n">
        <f aca="false">SUM(B22:B33)</f>
        <v>175760</v>
      </c>
      <c r="C34" s="27" t="n">
        <f aca="false">SUM(C22:C33)</f>
        <v>217880</v>
      </c>
      <c r="D34" s="27" t="n">
        <f aca="false">SUM(D22:D33)</f>
        <v>98280</v>
      </c>
      <c r="E34" s="27" t="n">
        <f aca="false">SUM(E22:E33)</f>
        <v>210600</v>
      </c>
      <c r="F34" s="27" t="n">
        <f aca="false">SUM(F22:F33)</f>
        <v>702520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44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33" t="s">
        <v>1206</v>
      </c>
    </row>
    <row r="2" customFormat="false" ht="15" hidden="false" customHeight="false" outlineLevel="0" collapsed="false">
      <c r="A2" s="47" t="s">
        <v>1207</v>
      </c>
    </row>
    <row r="4" customFormat="false" ht="23.85" hidden="false" customHeight="false" outlineLevel="0" collapsed="false">
      <c r="A4" s="21" t="s">
        <v>1208</v>
      </c>
      <c r="B4" s="21" t="s">
        <v>1209</v>
      </c>
      <c r="C4" s="21" t="s">
        <v>1210</v>
      </c>
      <c r="D4" s="21" t="s">
        <v>1211</v>
      </c>
      <c r="E4" s="21" t="s">
        <v>1212</v>
      </c>
    </row>
    <row r="5" customFormat="false" ht="31.5" hidden="false" customHeight="true" outlineLevel="0" collapsed="false">
      <c r="A5" s="49" t="n">
        <v>1</v>
      </c>
      <c r="B5" s="50" t="s">
        <v>1213</v>
      </c>
      <c r="C5" s="49" t="n">
        <v>12</v>
      </c>
      <c r="D5" s="50" t="s">
        <v>1214</v>
      </c>
      <c r="E5" s="50" t="s">
        <v>1215</v>
      </c>
    </row>
    <row r="6" customFormat="false" ht="31.5" hidden="false" customHeight="true" outlineLevel="0" collapsed="false">
      <c r="A6" s="49" t="n">
        <v>2</v>
      </c>
      <c r="B6" s="50" t="s">
        <v>1216</v>
      </c>
      <c r="C6" s="49" t="n">
        <v>64</v>
      </c>
      <c r="D6" s="50" t="s">
        <v>1217</v>
      </c>
      <c r="E6" s="50" t="s">
        <v>1218</v>
      </c>
    </row>
    <row r="7" customFormat="false" ht="31.5" hidden="false" customHeight="true" outlineLevel="0" collapsed="false">
      <c r="A7" s="49" t="n">
        <v>3</v>
      </c>
      <c r="B7" s="50" t="s">
        <v>1219</v>
      </c>
      <c r="C7" s="49" t="n">
        <v>60</v>
      </c>
      <c r="D7" s="50" t="s">
        <v>1220</v>
      </c>
      <c r="E7" s="50" t="s">
        <v>1218</v>
      </c>
    </row>
    <row r="8" customFormat="false" ht="31.5" hidden="false" customHeight="true" outlineLevel="0" collapsed="false">
      <c r="A8" s="49" t="n">
        <v>4</v>
      </c>
      <c r="B8" s="50" t="s">
        <v>1221</v>
      </c>
      <c r="C8" s="49" t="n">
        <v>6</v>
      </c>
      <c r="D8" s="50" t="s">
        <v>1222</v>
      </c>
      <c r="E8" s="50" t="s">
        <v>1223</v>
      </c>
    </row>
    <row r="9" customFormat="false" ht="31.5" hidden="false" customHeight="true" outlineLevel="0" collapsed="false">
      <c r="A9" s="49" t="n">
        <v>5</v>
      </c>
      <c r="B9" s="50" t="s">
        <v>1224</v>
      </c>
      <c r="C9" s="49" t="n">
        <v>9</v>
      </c>
      <c r="D9" s="50" t="s">
        <v>1225</v>
      </c>
      <c r="E9" s="50" t="s">
        <v>1226</v>
      </c>
    </row>
    <row r="10" customFormat="false" ht="31.5" hidden="false" customHeight="true" outlineLevel="0" collapsed="false">
      <c r="A10" s="49" t="n">
        <v>6</v>
      </c>
      <c r="B10" s="50" t="s">
        <v>1227</v>
      </c>
      <c r="C10" s="49" t="n">
        <v>25</v>
      </c>
      <c r="D10" s="50" t="s">
        <v>1228</v>
      </c>
      <c r="E10" s="50" t="s">
        <v>1229</v>
      </c>
    </row>
    <row r="11" customFormat="false" ht="31.5" hidden="false" customHeight="true" outlineLevel="0" collapsed="false">
      <c r="A11" s="49" t="n">
        <v>7</v>
      </c>
      <c r="B11" s="50" t="s">
        <v>1230</v>
      </c>
      <c r="C11" s="49" t="n">
        <v>18</v>
      </c>
      <c r="D11" s="50" t="s">
        <v>1231</v>
      </c>
      <c r="E11" s="50" t="s">
        <v>1232</v>
      </c>
    </row>
    <row r="13" customFormat="false" ht="15" hidden="false" customHeight="false" outlineLevel="0" collapsed="false">
      <c r="A13" s="17" t="s">
        <v>1233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2026-10-29T07:50:06Z</dcterms:created>
  <dc:creator>openpyxl</dc:creator>
  <dc:description/>
  <dc:language>en-US</dc:language>
  <cp:lastModifiedBy/>
  <dcterms:modified xsi:type="dcterms:W3CDTF">2026-10-29T07:50:08Z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